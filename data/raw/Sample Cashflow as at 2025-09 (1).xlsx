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6557469-567D-451A-951F-840D0751CA7C}" xr6:coauthVersionLast="47" xr6:coauthVersionMax="47" xr10:uidLastSave="{00000000-0000-0000-0000-000000000000}"/>
  <bookViews>
    <workbookView xWindow="-110" yWindow="-110" windowWidth="19420" windowHeight="10300" tabRatio="748" firstSheet="12" activeTab="17" xr2:uid="{F0F7A091-DB23-493F-943A-BC254E6032E5}"/>
  </bookViews>
  <sheets>
    <sheet name="Dropdown COB" sheetId="18" state="hidden" r:id="rId1"/>
    <sheet name="Instructions" sheetId="145" r:id="rId2"/>
    <sheet name="User Input&gt;&gt;" sheetId="123" r:id="rId3"/>
    <sheet name="ValuationDate" sheetId="127" r:id="rId4"/>
    <sheet name="ICG" sheetId="121" r:id="rId5"/>
    <sheet name="Earned" sheetId="122" r:id="rId6"/>
    <sheet name="Expected_CF" sheetId="125" r:id="rId7"/>
    <sheet name="Actual_CF" sheetId="131" r:id="rId8"/>
    <sheet name="Locked_in_Rate" sheetId="130" r:id="rId9"/>
    <sheet name="Current_Rate" sheetId="134" r:id="rId10"/>
    <sheet name="Assumptions" sheetId="132" r:id="rId11"/>
    <sheet name="Cashflow Generator &gt;&gt;" sheetId="133" r:id="rId12"/>
    <sheet name="CF_Gen_1" sheetId="135" r:id="rId13"/>
    <sheet name="CF_Gen_2" sheetId="136" r:id="rId14"/>
    <sheet name="CF_Gen_3" sheetId="143" r:id="rId15"/>
    <sheet name="CF_Gen_4" sheetId="144" r:id="rId16"/>
    <sheet name="CSM Engine Input &gt;&gt;" sheetId="137" r:id="rId17"/>
    <sheet name="Expected Cashflow" sheetId="138" r:id="rId18"/>
    <sheet name="Actual" sheetId="141" r:id="rId19"/>
    <sheet name="Asumsi" sheetId="142" r:id="rId20"/>
  </sheets>
  <externalReferences>
    <externalReference r:id="rId21"/>
  </externalReferences>
  <definedNames>
    <definedName name="_______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2" localSheetId="1" hidden="1">{"YTDACT1",#N/A,TRUE,"YTDACTAUST";"YTDACT2",#N/A,TRUE,"YTDACTAUST";"YTDACT3",#N/A,TRUE,"YTDACTAUST";"CCTR",#N/A,TRUE,"YTDACTCC"}</definedName>
    <definedName name="_____________________w2" hidden="1">{"YTDACT1",#N/A,TRUE,"YTDACTAUST";"YTDACT2",#N/A,TRUE,"YTDACTAUST";"YTDACT3",#N/A,TRUE,"YTDACTAUST";"CCTR",#N/A,TRUE,"YTDACTCC"}</definedName>
    <definedName name="_____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2" localSheetId="1" hidden="1">{"YTDACT1",#N/A,TRUE,"YTDACTAUST";"YTDACT2",#N/A,TRUE,"YTDACTAUST";"YTDACT3",#N/A,TRUE,"YTDACTAUST";"CCTR",#N/A,TRUE,"YTDACTCC"}</definedName>
    <definedName name="____________________w2" hidden="1">{"YTDACT1",#N/A,TRUE,"YTDACTAUST";"YTDACT2",#N/A,TRUE,"YTDACTAUST";"YTDACT3",#N/A,TRUE,"YTDACTAUST";"CCTR",#N/A,TRUE,"YTDACTCC"}</definedName>
    <definedName name="____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2" localSheetId="1" hidden="1">{"YTDACT1",#N/A,TRUE,"YTDACTAUST";"YTDACT2",#N/A,TRUE,"YTDACTAUST";"YTDACT3",#N/A,TRUE,"YTDACTAUST";"CCTR",#N/A,TRUE,"YTDACTCC"}</definedName>
    <definedName name="___________________w2" hidden="1">{"YTDACT1",#N/A,TRUE,"YTDACTAUST";"YTDACT2",#N/A,TRUE,"YTDACTAUST";"YTDACT3",#N/A,TRUE,"YTDACTAUST";"CCTR",#N/A,TRUE,"YTDACTCC"}</definedName>
    <definedName name="___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2" localSheetId="1" hidden="1">{"YTDACT1",#N/A,TRUE,"YTDACTAUST";"YTDACT2",#N/A,TRUE,"YTDACTAUST";"YTDACT3",#N/A,TRUE,"YTDACTAUST";"CCTR",#N/A,TRUE,"YTDACTCC"}</definedName>
    <definedName name="__________________w2" hidden="1">{"YTDACT1",#N/A,TRUE,"YTDACTAUST";"YTDACT2",#N/A,TRUE,"YTDACTAUST";"YTDACT3",#N/A,TRUE,"YTDACTAUST";"CCTR",#N/A,TRUE,"YTDACTCC"}</definedName>
    <definedName name="__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2" localSheetId="1" hidden="1">{"YTDACT1",#N/A,TRUE,"YTDACTAUST";"YTDACT2",#N/A,TRUE,"YTDACTAUST";"YTDACT3",#N/A,TRUE,"YTDACTAUST";"CCTR",#N/A,TRUE,"YTDACTCC"}</definedName>
    <definedName name="_________________w2" hidden="1">{"YTDACT1",#N/A,TRUE,"YTDACTAUST";"YTDACT2",#N/A,TRUE,"YTDACTAUST";"YTDACT3",#N/A,TRUE,"YTDACTAUST";"CCTR",#N/A,TRUE,"YTDACTCC"}</definedName>
    <definedName name="_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2" localSheetId="1" hidden="1">{"YTDACT1",#N/A,TRUE,"YTDACTAUST";"YTDACT2",#N/A,TRUE,"YTDACTAUST";"YTDACT3",#N/A,TRUE,"YTDACTAUST";"CCTR",#N/A,TRUE,"YTDACTCC"}</definedName>
    <definedName name="________________w2" hidden="1">{"YTDACT1",#N/A,TRUE,"YTDACTAUST";"YTDACT2",#N/A,TRUE,"YTDACTAUST";"YTDACT3",#N/A,TRUE,"YTDACTAUST";"CCTR",#N/A,TRUE,"YTDACTCC"}</definedName>
    <definedName name="_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2" localSheetId="1" hidden="1">{"YTDACT1",#N/A,TRUE,"YTDACTAUST";"YTDACT2",#N/A,TRUE,"YTDACTAUST";"YTDACT3",#N/A,TRUE,"YTDACTAUST";"CCTR",#N/A,TRUE,"YTDACTCC"}</definedName>
    <definedName name="_______________w2" hidden="1">{"YTDACT1",#N/A,TRUE,"YTDACTAUST";"YTDACT2",#N/A,TRUE,"YTDACTAUST";"YTDACT3",#N/A,TRUE,"YTDACTAUST";"CCTR",#N/A,TRUE,"YTDACTCC"}</definedName>
    <definedName name="_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2" localSheetId="1" hidden="1">{"YTDACT1",#N/A,TRUE,"YTDACTAUST";"YTDACT2",#N/A,TRUE,"YTDACTAUST";"YTDACT3",#N/A,TRUE,"YTDACTAUST";"CCTR",#N/A,TRUE,"YTDACTCC"}</definedName>
    <definedName name="______________w2" hidden="1">{"YTDACT1",#N/A,TRUE,"YTDACTAUST";"YTDACT2",#N/A,TRUE,"YTDACTAUST";"YTDACT3",#N/A,TRUE,"YTDACTAUST";"CCTR",#N/A,TRUE,"YTDACTCC"}</definedName>
    <definedName name="_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dl1" localSheetId="1" hidden="1">{"'OTARI- IKAHO'!$A$11:$AF$42"}</definedName>
    <definedName name="_____________dl1" hidden="1">{"'OTARI- IKAHO'!$A$11:$AF$42"}</definedName>
    <definedName name="_____________lrh0502" hidden="1">#REF!</definedName>
    <definedName name="_____________sed0502" hidden="1">#REF!</definedName>
    <definedName name="_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w2" localSheetId="1" hidden="1">{"YTDACT1",#N/A,TRUE,"YTDACTAUST";"YTDACT2",#N/A,TRUE,"YTDACTAUST";"YTDACT3",#N/A,TRUE,"YTDACTAUST";"CCTR",#N/A,TRUE,"YTDACTCC"}</definedName>
    <definedName name="_____________w2" hidden="1">{"YTDACT1",#N/A,TRUE,"YTDACTAUST";"YTDACT2",#N/A,TRUE,"YTDACTAUST";"YTDACT3",#N/A,TRUE,"YTDACTAUST";"CCTR",#N/A,TRUE,"YTDACTCC"}</definedName>
    <definedName name="_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dl1" localSheetId="1" hidden="1">{"'OTARI- IKAHO'!$A$11:$AF$42"}</definedName>
    <definedName name="____________dl1" hidden="1">{"'OTARI- IKAHO'!$A$11:$AF$42"}</definedName>
    <definedName name="____________lrh0502" hidden="1">#REF!</definedName>
    <definedName name="____________sed0502" hidden="1">#REF!</definedName>
    <definedName name="_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w2" localSheetId="1" hidden="1">{"YTDACT1",#N/A,TRUE,"YTDACTAUST";"YTDACT2",#N/A,TRUE,"YTDACTAUST";"YTDACT3",#N/A,TRUE,"YTDACTAUST";"CCTR",#N/A,TRUE,"YTDACTCC"}</definedName>
    <definedName name="____________w2" hidden="1">{"YTDACT1",#N/A,TRUE,"YTDACTAUST";"YTDACT2",#N/A,TRUE,"YTDACTAUST";"YTDACT3",#N/A,TRUE,"YTDACTAUST";"CCTR",#N/A,TRUE,"YTDACTCC"}</definedName>
    <definedName name="_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dl1" localSheetId="1" hidden="1">{"'OTARI- IKAHO'!$A$11:$AF$42"}</definedName>
    <definedName name="___________dl1" hidden="1">{"'OTARI- IKAHO'!$A$11:$AF$42"}</definedName>
    <definedName name="___________lrh0502" hidden="1">#REF!</definedName>
    <definedName name="___________sed0502" hidden="1">#REF!</definedName>
    <definedName name="_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w2" localSheetId="1" hidden="1">{"YTDACT1",#N/A,TRUE,"YTDACTAUST";"YTDACT2",#N/A,TRUE,"YTDACTAUST";"YTDACT3",#N/A,TRUE,"YTDACTAUST";"CCTR",#N/A,TRUE,"YTDACTCC"}</definedName>
    <definedName name="___________w2" hidden="1">{"YTDACT1",#N/A,TRUE,"YTDACTAUST";"YTDACT2",#N/A,TRUE,"YTDACTAUST";"YTDACT3",#N/A,TRUE,"YTDACTAUST";"CCTR",#N/A,TRUE,"YTDACTCC"}</definedName>
    <definedName name="_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dl1" localSheetId="1" hidden="1">{"'OTARI- IKAHO'!$A$11:$AF$42"}</definedName>
    <definedName name="__________dl1" hidden="1">{"'OTARI- IKAHO'!$A$11:$AF$42"}</definedName>
    <definedName name="__________lrh0502" hidden="1">#REF!</definedName>
    <definedName name="__________sed0502" hidden="1">#REF!</definedName>
    <definedName name="_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w2" localSheetId="1" hidden="1">{"YTDACT1",#N/A,TRUE,"YTDACTAUST";"YTDACT2",#N/A,TRUE,"YTDACTAUST";"YTDACT3",#N/A,TRUE,"YTDACTAUST";"CCTR",#N/A,TRUE,"YTDACTCC"}</definedName>
    <definedName name="__________w2" hidden="1">{"YTDACT1",#N/A,TRUE,"YTDACTAUST";"YTDACT2",#N/A,TRUE,"YTDACTAUST";"YTDACT3",#N/A,TRUE,"YTDACTAUST";"CCTR",#N/A,TRUE,"YTDACTCC"}</definedName>
    <definedName name="_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dl1" localSheetId="1" hidden="1">{"'OTARI- IKAHO'!$A$11:$AF$42"}</definedName>
    <definedName name="_________dl1" hidden="1">{"'OTARI- IKAHO'!$A$11:$AF$42"}</definedName>
    <definedName name="_________lrh0502" hidden="1">#REF!</definedName>
    <definedName name="_________sed0502" hidden="1">#REF!</definedName>
    <definedName name="_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w2" localSheetId="1" hidden="1">{"YTDACT1",#N/A,TRUE,"YTDACTAUST";"YTDACT2",#N/A,TRUE,"YTDACTAUST";"YTDACT3",#N/A,TRUE,"YTDACTAUST";"CCTR",#N/A,TRUE,"YTDACTCC"}</definedName>
    <definedName name="_________w2" hidden="1">{"YTDACT1",#N/A,TRUE,"YTDACTAUST";"YTDACT2",#N/A,TRUE,"YTDACTAUST";"YTDACT3",#N/A,TRUE,"YTDACTAUST";"CCTR",#N/A,TRUE,"YTDACTCC"}</definedName>
    <definedName name="_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dl1" localSheetId="1" hidden="1">{"'OTARI- IKAHO'!$A$11:$AF$42"}</definedName>
    <definedName name="________dl1" hidden="1">{"'OTARI- IKAHO'!$A$11:$AF$42"}</definedName>
    <definedName name="________lrh0502" hidden="1">#REF!</definedName>
    <definedName name="________sed0502" hidden="1">#REF!</definedName>
    <definedName name="_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w2" localSheetId="1" hidden="1">{"YTDACT1",#N/A,TRUE,"YTDACTAUST";"YTDACT2",#N/A,TRUE,"YTDACTAUST";"YTDACT3",#N/A,TRUE,"YTDACTAUST";"CCTR",#N/A,TRUE,"YTDACTCC"}</definedName>
    <definedName name="________w2" hidden="1">{"YTDACT1",#N/A,TRUE,"YTDACTAUST";"YTDACT2",#N/A,TRUE,"YTDACTAUST";"YTDACT3",#N/A,TRUE,"YTDACTAUST";"CCTR",#N/A,TRUE,"YTDACTCC"}</definedName>
    <definedName name="_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dl1" localSheetId="1" hidden="1">{"'OTARI- IKAHO'!$A$11:$AF$42"}</definedName>
    <definedName name="_______dl1" hidden="1">{"'OTARI- IKAHO'!$A$11:$AF$42"}</definedName>
    <definedName name="_______lrh0502" hidden="1">#REF!</definedName>
    <definedName name="_______sed0502" hidden="1">#REF!</definedName>
    <definedName name="_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w2" localSheetId="1" hidden="1">{"YTDACT1",#N/A,TRUE,"YTDACTAUST";"YTDACT2",#N/A,TRUE,"YTDACTAUST";"YTDACT3",#N/A,TRUE,"YTDACTAUST";"CCTR",#N/A,TRUE,"YTDACTCC"}</definedName>
    <definedName name="_______w2" hidden="1">{"YTDACT1",#N/A,TRUE,"YTDACTAUST";"YTDACT2",#N/A,TRUE,"YTDACTAUST";"YTDACT3",#N/A,TRUE,"YTDACTAUST";"CCTR",#N/A,TRUE,"YTDACTCC"}</definedName>
    <definedName name="_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dl1" localSheetId="1" hidden="1">{"'OTARI- IKAHO'!$A$11:$AF$42"}</definedName>
    <definedName name="______dl1" hidden="1">{"'OTARI- IKAHO'!$A$11:$AF$42"}</definedName>
    <definedName name="______lrh0502" hidden="1">#REF!</definedName>
    <definedName name="______sed0502" hidden="1">#REF!</definedName>
    <definedName name="_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w2" localSheetId="1" hidden="1">{"YTDACT1",#N/A,TRUE,"YTDACTAUST";"YTDACT2",#N/A,TRUE,"YTDACTAUST";"YTDACT3",#N/A,TRUE,"YTDACTAUST";"CCTR",#N/A,TRUE,"YTDACTCC"}</definedName>
    <definedName name="______w2" hidden="1">{"YTDACT1",#N/A,TRUE,"YTDACTAUST";"YTDACT2",#N/A,TRUE,"YTDACTAUST";"YTDACT3",#N/A,TRUE,"YTDACTAUST";"CCTR",#N/A,TRUE,"YTDACTCC"}</definedName>
    <definedName name="_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dl1" localSheetId="1" hidden="1">{"'OTARI- IKAHO'!$A$11:$AF$42"}</definedName>
    <definedName name="_____dl1" hidden="1">{"'OTARI- IKAHO'!$A$11:$AF$42"}</definedName>
    <definedName name="_____lrh0502" hidden="1">#REF!</definedName>
    <definedName name="_____sed0502" hidden="1">#REF!</definedName>
    <definedName name="_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w2" localSheetId="1" hidden="1">{"YTDACT1",#N/A,TRUE,"YTDACTAUST";"YTDACT2",#N/A,TRUE,"YTDACTAUST";"YTDACT3",#N/A,TRUE,"YTDACTAUST";"CCTR",#N/A,TRUE,"YTDACTCC"}</definedName>
    <definedName name="_____w2" hidden="1">{"YTDACT1",#N/A,TRUE,"YTDACTAUST";"YTDACT2",#N/A,TRUE,"YTDACTAUST";"YTDACT3",#N/A,TRUE,"YTDACTAUST";"CCTR",#N/A,TRUE,"YTDACTCC"}</definedName>
    <definedName name="_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dl1" localSheetId="1" hidden="1">{"'OTARI- IKAHO'!$A$11:$AF$42"}</definedName>
    <definedName name="____dl1" hidden="1">{"'OTARI- IKAHO'!$A$11:$AF$42"}</definedName>
    <definedName name="____lrh0502" hidden="1">#REF!</definedName>
    <definedName name="____Mar2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sed0502" hidden="1">#REF!</definedName>
    <definedName name="_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w2" localSheetId="1" hidden="1">{"YTDACT1",#N/A,TRUE,"YTDACTAUST";"YTDACT2",#N/A,TRUE,"YTDACTAUST";"YTDACT3",#N/A,TRUE,"YTDACTAUST";"CCTR",#N/A,TRUE,"YTDACTCC"}</definedName>
    <definedName name="____w2" hidden="1">{"YTDACT1",#N/A,TRUE,"YTDACTAUST";"YTDACT2",#N/A,TRUE,"YTDACTAUST";"YTDACT3",#N/A,TRUE,"YTDACTAUST";"CCTR",#N/A,TRUE,"YTDACTCC"}</definedName>
    <definedName name="_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dl1" localSheetId="1" hidden="1">{"'OTARI- IKAHO'!$A$11:$AF$42"}</definedName>
    <definedName name="___dl1" hidden="1">{"'OTARI- IKAHO'!$A$11:$AF$42"}</definedName>
    <definedName name="___lrh0502" hidden="1">#REF!</definedName>
    <definedName name="___Mar2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sed0502" hidden="1">#REF!</definedName>
    <definedName name="_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w2" localSheetId="1" hidden="1">{"YTDACT1",#N/A,TRUE,"YTDACTAUST";"YTDACT2",#N/A,TRUE,"YTDACTAUST";"YTDACT3",#N/A,TRUE,"YTDACTAUST";"CCTR",#N/A,TRUE,"YTDACTCC"}</definedName>
    <definedName name="___w2" hidden="1">{"YTDACT1",#N/A,TRUE,"YTDACTAUST";"YTDACT2",#N/A,TRUE,"YTDACTAUST";"YTDACT3",#N/A,TRUE,"YTDACTAUST";"CCTR",#N/A,TRUE,"YTDACTCC"}</definedName>
    <definedName name="__123Graph_A" hidden="1">#REF!</definedName>
    <definedName name="__123Graph_AGRAPH1" hidden="1">#REF!</definedName>
    <definedName name="__123Graph_AGRAPH2" hidden="1">#REF!</definedName>
    <definedName name="__123Graph_APL" hidden="1">#REF!</definedName>
    <definedName name="__123Graph_AWEAKNESS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PL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GRAPH2" hidden="1">#REF!</definedName>
    <definedName name="__123Graph_CPL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PL" hidden="1">#REF!</definedName>
    <definedName name="__123Graph_E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PL" hidden="1">#REF!</definedName>
    <definedName name="__123Graph_F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PL" hidden="1">#REF!</definedName>
    <definedName name="__123Graph_LBL_AWEAKNESS" hidden="1">#REF!</definedName>
    <definedName name="__123Graph_X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PL" hidden="1">#REF!</definedName>
    <definedName name="__123Graph_XWEAKNESS" hidden="1">#REF!</definedName>
    <definedName name="_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dl1" localSheetId="1" hidden="1">{"'OTARI- IKAHO'!$A$11:$AF$42"}</definedName>
    <definedName name="__dl1" hidden="1">{"'OTARI- IKAHO'!$A$11:$AF$42"}</definedName>
    <definedName name="__IntlFixup" hidden="1">TRUE</definedName>
    <definedName name="__lrh0502" hidden="1">#REF!</definedName>
    <definedName name="__Mar2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sed0502" hidden="1">#REF!</definedName>
    <definedName name="_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w2" localSheetId="1" hidden="1">{"YTDACT1",#N/A,TRUE,"YTDACTAUST";"YTDACT2",#N/A,TRUE,"YTDACTAUST";"YTDACT3",#N/A,TRUE,"YTDACTAUST";"CCTR",#N/A,TRUE,"YTDACTCC"}</definedName>
    <definedName name="__w2" hidden="1">{"YTDACT1",#N/A,TRUE,"YTDACTAUST";"YTDACT2",#N/A,TRUE,"YTDACTAUST";"YTDACT3",#N/A,TRUE,"YTDACTAUST";"CCTR",#N/A,TRUE,"YTDACTCC"}</definedName>
    <definedName name="__WTC2" localSheetId="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1__123Graph_LBL_ACHART_1" hidden="1">#REF!</definedName>
    <definedName name="_2__123Graph_LBL_BCHART_1" hidden="1">#REF!</definedName>
    <definedName name="_3__123Graph_LBL_ACHART_1" hidden="1">#REF!</definedName>
    <definedName name="_6__123Graph_LBL_BCHART_1" hidden="1">#REF!</definedName>
    <definedName name="_b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dl1" localSheetId="1" hidden="1">{"'OTARI- IKAHO'!$A$11:$AF$42"}</definedName>
    <definedName name="_dl1" hidden="1">{"'OTARI- IKAHO'!$A$11:$AF$42"}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Fill6" hidden="1">#REF!</definedName>
    <definedName name="_xlnm._FilterDatabase" localSheetId="18" hidden="1">Actual!$A$1:$F$8</definedName>
    <definedName name="_xlnm._FilterDatabase" localSheetId="19" hidden="1">Asumsi!$A$1:$A$2</definedName>
    <definedName name="_xlnm._FilterDatabase" localSheetId="17" hidden="1">'Expected Cashflow'!$A$1:$L$210</definedName>
    <definedName name="_xlnm._FilterDatabase" hidden="1">#REF!</definedName>
    <definedName name="_Key1" hidden="1">#REF!</definedName>
    <definedName name="_Key2" hidden="1">#REF!</definedName>
    <definedName name="_lrh0502" hidden="1">#REF!</definedName>
    <definedName name="_Mar2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MatInverse_In" hidden="1">#REF!</definedName>
    <definedName name="_MatMult_A" hidden="1">#REF!</definedName>
    <definedName name="_Mkt2" hidden="1">#REF!</definedName>
    <definedName name="_mkt3" hidden="1">#REF!</definedName>
    <definedName name="_Order1" hidden="1">0</definedName>
    <definedName name="_Order2" hidden="1">0</definedName>
    <definedName name="_Parse_In" hidden="1">#REF!</definedName>
    <definedName name="_Regression_X" hidden="1">#REF!</definedName>
    <definedName name="_Regression_Y" hidden="1">#REF!</definedName>
    <definedName name="_sed0502" hidden="1">#REF!</definedName>
    <definedName name="_Sort" hidden="1">#REF!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w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w2" localSheetId="1" hidden="1">{"YTDACT1",#N/A,TRUE,"YTDACTAUST";"YTDACT2",#N/A,TRUE,"YTDACTAUST";"YTDACT3",#N/A,TRUE,"YTDACTAUST";"CCTR",#N/A,TRUE,"YTDACTCC"}</definedName>
    <definedName name="_w2" hidden="1">{"YTDACT1",#N/A,TRUE,"YTDACTAUST";"YTDACT2",#N/A,TRUE,"YTDACTAUST";"YTDACT3",#N/A,TRUE,"YTDACTAUST";"CCTR",#N/A,TRUE,"YTDACTCC"}</definedName>
    <definedName name="a" localSheetId="1" hidden="1">{"Panel",#N/A,FALSE,"Panel";"Price",#N/A,FALSE,"Price"}</definedName>
    <definedName name="a" hidden="1">{"Panel",#N/A,FALSE,"Panel";"Price",#N/A,FALSE,"Price"}</definedName>
    <definedName name="aa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aa" localSheetId="1" hidden="1">{#N/A,#N/A,FALSE,"DATA"}</definedName>
    <definedName name="aaa" hidden="1">{#N/A,#N/A,FALSE,"DATA"}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de" localSheetId="1" hidden="1">{#N/A,#N/A,FALSE,"DATA"}</definedName>
    <definedName name="abcde" hidden="1">{#N/A,#N/A,FALSE,"DATA"}</definedName>
    <definedName name="Access_Button" hidden="1">"Book2_Sheet1_List"</definedName>
    <definedName name="AccessCode" hidden="1">64</definedName>
    <definedName name="AccessDatabase" hidden="1">"C:\My Documents\db1.mdb"</definedName>
    <definedName name="ACCU98" localSheetId="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CU98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d" hidden="1">#REF!</definedName>
    <definedName name="actions" localSheetId="1" hidden="1">{"YTDACT1",#N/A,TRUE,"YTDACTAUST";"YTDACT2",#N/A,TRUE,"YTDACTAUST";"YTDACT3",#N/A,TRUE,"YTDACTAUST";"CCTR",#N/A,TRUE,"YTDACTCC"}</definedName>
    <definedName name="actions" hidden="1">{"YTDACT1",#N/A,TRUE,"YTDACTAUST";"YTDACT2",#N/A,TRUE,"YTDACTAUST";"YTDACT3",#N/A,TRUE,"YTDACTAUST";"CCTR",#N/A,TRUE,"YTDACTCC"}</definedName>
    <definedName name="ACwvu.CapersView." hidden="1">#REF!</definedName>
    <definedName name="ACwvu.cf." hidden="1">#REF!</definedName>
    <definedName name="ACwvu.cfpa." hidden="1">#REF!</definedName>
    <definedName name="ACwvu.cfpb." hidden="1">#REF!</definedName>
    <definedName name="ACwvu.cfpc." hidden="1">#REF!</definedName>
    <definedName name="ACwvu.cfpd." hidden="1">#REF!</definedName>
    <definedName name="ACwvu.isp." hidden="1">#REF!</definedName>
    <definedName name="ACwvu.ispa." hidden="1">#REF!</definedName>
    <definedName name="ACwvu.Japan_Capers_Ed_Pub." hidden="1">#REF!</definedName>
    <definedName name="ACwvu.KJP_CC." hidden="1">#REF!</definedName>
    <definedName name="ada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d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dg" localSheetId="1" hidden="1">{#N/A,#N/A,FALSE,"DATA"}</definedName>
    <definedName name="adg" hidden="1">{#N/A,#N/A,FALSE,"DATA"}</definedName>
    <definedName name="afdsfsdf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mort" hidden="1">#REF!</definedName>
    <definedName name="anscount" hidden="1">4</definedName>
    <definedName name="apadong.data" localSheetId="1" hidden="1">{#N/A,#N/A,FALSE,"DATA"}</definedName>
    <definedName name="apadong.data" hidden="1">{#N/A,#N/A,FALSE,"DATA"}</definedName>
    <definedName name="aqa" localSheetId="1" hidden="1">{#N/A,#N/A,FALSE,"Ventilation";#N/A,#N/A,FALSE,"Courbe1";#N/A,#N/A,FALSE,"Courbe2"}</definedName>
    <definedName name="aqa" hidden="1">{#N/A,#N/A,FALSE,"Ventilation";#N/A,#N/A,FALSE,"Courbe1";#N/A,#N/A,FALSE,"Courbe2"}</definedName>
    <definedName name="as_bf" localSheetId="1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as_bf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AS2DocOpenMode" hidden="1">"AS2DocumentEdit"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T">#REF!</definedName>
    <definedName name="asdads" localSheetId="1" hidden="1">{"Panel",#N/A,FALSE,"Panel";"Price",#N/A,FALSE,"Price"}</definedName>
    <definedName name="asdads" hidden="1">{"Panel",#N/A,FALSE,"Panel";"Price",#N/A,FALSE,"Price"}</definedName>
    <definedName name="asdas" localSheetId="1" hidden="1">{#N/A,#N/A,FALSE,"Aging Summary";#N/A,#N/A,FALSE,"Ratio Analysis";#N/A,#N/A,FALSE,"Test 120 Day Accts";#N/A,#N/A,FALSE,"Tickmarks"}</definedName>
    <definedName name="asdas" hidden="1">{#N/A,#N/A,FALSE,"Aging Summary";#N/A,#N/A,FALSE,"Ratio Analysis";#N/A,#N/A,FALSE,"Test 120 Day Accts";#N/A,#N/A,FALSE,"Tickmarks"}</definedName>
    <definedName name="asdf" localSheetId="1" hidden="1">{#N/A,#N/A,FALSE,"DATA"}</definedName>
    <definedName name="asdf" hidden="1">{#N/A,#N/A,FALSE,"DATA"}</definedName>
    <definedName name="asdfghfghdfjhthysrt" localSheetId="1" hidden="1">{#N/A,#N/A,FALSE,"DATA"}</definedName>
    <definedName name="asdfghfghdfjhthysrt" hidden="1">{#N/A,#N/A,FALSE,"DATA"}</definedName>
    <definedName name="asfdfgd" localSheetId="1" hidden="1">{#N/A,#N/A,FALSE,"DATA"}</definedName>
    <definedName name="asfdfgd" hidden="1">{#N/A,#N/A,FALSE,"DATA"}</definedName>
    <definedName name="AUG_99" localSheetId="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UG_99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vDec" localSheetId="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Dec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ER98" localSheetId="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ER98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" localSheetId="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WTC" localSheetId="1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AWTC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b" localSheetId="1" hidden="1">{"CapCost",#N/A,TRUE,"CAP";"Revenue",#N/A,TRUE,"Rev";"OpCost",#N/A,TRUE,"Costs";"WorkCap",#N/A,TRUE,"WorkCap";"Depreciation",#N/A,TRUE,"Dep";"Fin_Report",#N/A,TRUE,"FS"}</definedName>
    <definedName name="b" hidden="1">{"CapCost",#N/A,TRUE,"CAP";"Revenue",#N/A,TRUE,"Rev";"OpCost",#N/A,TRUE,"Costs";"WorkCap",#N/A,TRUE,"WorkCap";"Depreciation",#N/A,TRUE,"Dep";"Fin_Report",#N/A,TRUE,"FS"}</definedName>
    <definedName name="bahasaindo" localSheetId="1" hidden="1">{#N/A,#N/A,FALSE,"DATA"}</definedName>
    <definedName name="bahasaindo" hidden="1">{#N/A,#N/A,FALSE,"DATA"}</definedName>
    <definedName name="BANKHALL" hidden="1">#REF!</definedName>
    <definedName name="baru" hidden="1">#REF!</definedName>
    <definedName name="bb" localSheetId="1" hidden="1">{"YTDACT1",#N/A,TRUE,"YTDACTAUST";"YTDACT2",#N/A,TRUE,"YTDACTAUST";"YTDACT3",#N/A,TRUE,"YTDACTAUST";"CCTR",#N/A,TRUE,"YTDACTCC"}</definedName>
    <definedName name="bb" hidden="1">{"YTDACT1",#N/A,TRUE,"YTDACTAUST";"YTDACT2",#N/A,TRUE,"YTDACTAUST";"YTDACT3",#N/A,TRUE,"YTDACTAUST";"CCTR",#N/A,TRUE,"YTDACTCC"}</definedName>
    <definedName name="bbb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2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Ex0170FKWDTLJRG505P0T10G7X6" hidden="1">#N/A</definedName>
    <definedName name="BEx022BV2ZUXWARDG254Z10EN0HK" hidden="1">#N/A</definedName>
    <definedName name="BEx026TOODYKWVSERMO6WLGG0J1Z" hidden="1">#N/A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PA110IBEYWMI8L8D8NZF80QB" hidden="1">#N/A</definedName>
    <definedName name="BEx1Q2Y6C78G2RPAT9KY9GYQAPBN" hidden="1">#N/A</definedName>
    <definedName name="BEx1UFZQTPGHPTMYELN22613X5GU" hidden="1">#N/A</definedName>
    <definedName name="BEx1UHC8UWV87GWQCTQBZZ2U6WLX" hidden="1">#N/A</definedName>
    <definedName name="BEx1X7XVT1YL9NHYXPID6SEQ3EWX" hidden="1">#N/A</definedName>
    <definedName name="BEx1X9W28V2XT5IHVIQAL36NO8NI" hidden="1">#N/A</definedName>
    <definedName name="BEx1XPBPFQFRQ9VYA4VWIGHVH0M5" hidden="1">#N/A</definedName>
    <definedName name="BEx3C3CBK529MJ99C52ZKBJNVUO3" hidden="1">#N/A</definedName>
    <definedName name="BEx3CBA6UOPGY43GZRHR1UB1O5WR" hidden="1">#N/A</definedName>
    <definedName name="BEx3CURGZDHO1P6377CPTZPC1EKW" hidden="1">#N/A</definedName>
    <definedName name="BEx3E6KCWDHXECC1XS2HKIJD25EL" hidden="1">#N/A</definedName>
    <definedName name="BEx3FG4DJQZHIBUOP3ZYNPPU5CKX" hidden="1">#N/A</definedName>
    <definedName name="BEx3FRNPN23AEIDIY1AMMLUPFSPP" hidden="1">#N/A</definedName>
    <definedName name="BEx3HTJA14SOGXA1EC0L34FG631P" hidden="1">#N/A</definedName>
    <definedName name="BEx3I5IUS6ECWA1H3DHK97BBLK6L" hidden="1">#N/A</definedName>
    <definedName name="BEx3LHUP5LR62A6VA6WJYK768F1Y" hidden="1">#N/A</definedName>
    <definedName name="BEx3MI9I8OUT6MYTKKN0Y8KUIPNA" hidden="1">#N/A</definedName>
    <definedName name="BEx3MVG9A58HPK13BZ7Y1FNBIHK6" hidden="1">#N/A</definedName>
    <definedName name="BEx3O7EKWAWVWX0U5VG972TXT7GZ" hidden="1">#N/A</definedName>
    <definedName name="BEx3OIXYZQCK2MD1E5WOQT48V1E6" hidden="1">#N/A</definedName>
    <definedName name="BEx3PGNOQD7U6R961HZ1U7IBX68U" hidden="1">#N/A</definedName>
    <definedName name="BEx3PUAOD7L85ITI1L71T0C76JPX" hidden="1">#N/A</definedName>
    <definedName name="BEx3RHC3WFR8X0U227FW05CG6XQJ" hidden="1">#N/A</definedName>
    <definedName name="BEx3S55SHEYEPIFFDO0GS7KRM5MD" hidden="1">#N/A</definedName>
    <definedName name="BEx3T9X5X4YG4M4WQI5A16HP5A88" hidden="1">#N/A</definedName>
    <definedName name="BEx3UM0U29AXDIUI40TYLJK6P985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ZIR331WOLDRPGKBX5BXEXYE" hidden="1">#N/A</definedName>
    <definedName name="BEx5EOVS0M8XCT3EQ9XD3O5RLVAI" hidden="1">#N/A</definedName>
    <definedName name="BEx5FAB67AOJ5G28OPFF6WUAMGT8" hidden="1">#N/A</definedName>
    <definedName name="BEx5HBL6Q95MVYZZD5D4PPNBJ0IW" hidden="1">#N/A</definedName>
    <definedName name="BEx5HQ4J35ZIEPTABIBZK9TTX6HA" hidden="1">#N/A</definedName>
    <definedName name="BEx5KBBZ8ZQ8B0IYE67T8FMV6A6R" hidden="1">#N/A</definedName>
    <definedName name="BEx5KVK75OS2AZCNBGZJ3EMK0ZMK" hidden="1">#N/A</definedName>
    <definedName name="BEx5M729I4RLUHILVWSAVPM0NB73" hidden="1">#N/A</definedName>
    <definedName name="BEx5MDCT6PB368XYSUV5A72107UZ" hidden="1">#N/A</definedName>
    <definedName name="BEx5N28DGOQ7ITB72BXY6SN77VVW" hidden="1">#N/A</definedName>
    <definedName name="BEx5N28EETQOWPW1DJIHG1TST5BF" hidden="1">#N/A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76D2L81TQJT7CRSOPK82ZY07V" hidden="1">#N/A</definedName>
    <definedName name="BEx77JH9DJ0LAYVI8P72VCBMC3T3" hidden="1">#N/A</definedName>
    <definedName name="BEx7DWG84TMHFS3HAOZ7EY2KSTI0" hidden="1">#N/A</definedName>
    <definedName name="BEx7EDOJ7AAQ7FAP5RCS1K9222OI" hidden="1">#N/A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HF831DCECFD6P4NNPY2WJZ2Z" hidden="1">#N/A</definedName>
    <definedName name="BEx7HY945IRK1DK5PK157GPULL9O" hidden="1">#N/A</definedName>
    <definedName name="BEx7I48XPAGXLTNTR2RTGHRZEXIK" hidden="1">#N/A</definedName>
    <definedName name="BEx7IORYOELCYB353OGP3RM9T8DD" hidden="1">#N/A</definedName>
    <definedName name="BEx7JOAEHKWGP4HBEXGDBLAYJVJB" hidden="1">#N/A</definedName>
    <definedName name="BEx8Z0X74F701UJMCG4TCVRIRBHI" hidden="1">#N/A</definedName>
    <definedName name="BEx8ZS71WRAYJ5U0ZZSO3C0DK4FH" hidden="1">#N/A</definedName>
    <definedName name="BEx91MFE484HYO2L6TSN6JANZQOU" hidden="1">#N/A</definedName>
    <definedName name="BEx91UTHPPF9MKOISQEZBUWUFGQH" hidden="1">#N/A</definedName>
    <definedName name="BEx92BGEQMJASP96MUVX4ZNRBDL4" hidden="1">#N/A</definedName>
    <definedName name="BEx92GEDSWZWBKVXWDGMBOJIO8S2" hidden="1">#N/A</definedName>
    <definedName name="BEx92QFRMFZR33YI778N0P4M9W4Q" hidden="1">#N/A</definedName>
    <definedName name="BEx93E49W44GK8WS6KNXZW1BOUSI" hidden="1">#N/A</definedName>
    <definedName name="BEx93V7A9C1GD1EB3JZLEF6PJNSA" hidden="1">#N/A</definedName>
    <definedName name="BEx9458NEBNTBN0FIOPVKPVIZHAA" hidden="1">#N/A</definedName>
    <definedName name="BEx94FFHM6QE0AGYKV598MMAFSLA" hidden="1">#N/A</definedName>
    <definedName name="BEx96BRD2VNJC3QE79QZV8428BZ2" hidden="1">#N/A</definedName>
    <definedName name="BEx96JP8K1FVMB6IFD0UJUL0B4P5" hidden="1">#N/A</definedName>
    <definedName name="BEx97RRAPB86GVFN7J3R4FGRM8NX" hidden="1">#N/A</definedName>
    <definedName name="BEx995NOC27PDJO0BI7VAKPMN1DW" hidden="1">#N/A</definedName>
    <definedName name="BEx9AONIUFL9J33KCQSFVUYKXQJ7" hidden="1">#N/A</definedName>
    <definedName name="BEx9FFS2QSYF0S6XD3QS63PO33GK" hidden="1">#N/A</definedName>
    <definedName name="BEx9G4SY0P9B8H44N7CFHO3I71EZ" hidden="1">#N/A</definedName>
    <definedName name="BExAZPU5MGHSVBMRRRYQXKJWBIY3" hidden="1">#N/A</definedName>
    <definedName name="BExB1889E5TNR8ZRCW90AEDJY78D" hidden="1">#N/A</definedName>
    <definedName name="BExB5PGWM0GVGQUQA373K52QCQ0I" hidden="1">#N/A</definedName>
    <definedName name="BExB7SOYZL41R0DCJANKGD9Y024Q" hidden="1">#N/A</definedName>
    <definedName name="BExB8C69AGMZA4L5OY1MEFUT2YJO" hidden="1">#N/A</definedName>
    <definedName name="BExBABCPZHVQN681UY5AH75YUIRT" hidden="1">#N/A</definedName>
    <definedName name="BExBAK1MFI1LHEP3OTMQRACFDCMS" hidden="1">#N/A</definedName>
    <definedName name="BExBCQPTNSB29NSEBHCUJ0R3TLCZ" hidden="1">#N/A</definedName>
    <definedName name="BExBEYFQ0ENUT2XFPNJU2U0XW4L5" hidden="1">#N/A</definedName>
    <definedName name="BExCT47K28HSYGDK4KYX5ZADB7M1" hidden="1">#N/A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WWVGVYT7IV2TTVJGJSGTB98N" hidden="1">#N/A</definedName>
    <definedName name="BExCXUL80YH9SPJ6AL9PAN0F53IA" hidden="1">#N/A</definedName>
    <definedName name="BExCY5OFD6MRG6L59PXB9LXOMRD5" hidden="1">#N/A</definedName>
    <definedName name="BExCYLEYSVSSJWF1QMUQADFB1MU0" hidden="1">#N/A</definedName>
    <definedName name="BExD11TMC7G974WHXC60VTAU5UOJ" hidden="1">#N/A</definedName>
    <definedName name="BExD1SY4HJ0WH4OF2K6ELBMD9JNF" hidden="1">#N/A</definedName>
    <definedName name="BExD2IF3U6LM3NVULRQ0HY91LE7S" hidden="1">#N/A</definedName>
    <definedName name="BExD3MA49DRGNYD7ATUJ27MUFLJB" hidden="1">#N/A</definedName>
    <definedName name="BExD5QK13KWZWPNMDPLPPK0XKPQ5" hidden="1">#N/A</definedName>
    <definedName name="BExD6SMBHB2BNCN96SV00A29ENMI" hidden="1">#N/A</definedName>
    <definedName name="BExD7UZ7R8ECF7TWJYHT4A37BB8O" hidden="1">#N/A</definedName>
    <definedName name="BExD9PYLV1J7VGQ4G5PL0F4NNXK4" hidden="1">#N/A</definedName>
    <definedName name="BExDAP6BXPMSQOE0DKQJKUA8DLYJ" hidden="1">#N/A</definedName>
    <definedName name="BExEOV3MYSBF5QLBUFL3GMB8VO83" hidden="1">#N/A</definedName>
    <definedName name="BExEQSS43Y9LSBOEG8YSNJWQBJ9R" hidden="1">#N/A</definedName>
    <definedName name="BExESDF8VV3TTJBBKTBKLGONTDJ4" hidden="1">#N/A</definedName>
    <definedName name="BExESFO8G834NVIKU0PW3PSY7JLI" hidden="1">#N/A</definedName>
    <definedName name="BExEXIXVC4EQ9QM9DLL1WU3KAPOO" hidden="1">#N/A</definedName>
    <definedName name="BExEXO15A9T0TBFMVBYNC3U3J97X" hidden="1">#N/A</definedName>
    <definedName name="BExEXO6LDQ46YBVNNAVEV4C08VBH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6NUXRTL4O26PCE4NW8MIFKPO" hidden="1">#N/A</definedName>
    <definedName name="BExF8QMVZNETR6TT84EDEB0132GU" hidden="1">#N/A</definedName>
    <definedName name="BExGLG3ZPFH39U03MVJNODOD2AVB" hidden="1">#N/A</definedName>
    <definedName name="BExGLKLT4UH48IA1ZUU2SAN38309" hidden="1">#N/A</definedName>
    <definedName name="BExGMEA0VNPBVGT0ZQT8I41G974Z" hidden="1">#N/A</definedName>
    <definedName name="BExGMGZ3JCW9ZLQXMBF3SKEO56LE" hidden="1">#N/A</definedName>
    <definedName name="BExGNFL8K0W1BRFWUC6HYXUWWFTK" hidden="1">#N/A</definedName>
    <definedName name="BExGO0KJHE1S872QSBCNA1I4VGEI" hidden="1">#N/A</definedName>
    <definedName name="BExGOH79DKYLT81AF057CM8P13EH" hidden="1">#N/A</definedName>
    <definedName name="BExGUQQ2XSF3HRF4TLK3KG7O3EJB" hidden="1">#N/A</definedName>
    <definedName name="BExGVXQGT0VOE6WSVJ8GBZXR2QCC" hidden="1">#N/A</definedName>
    <definedName name="BExGWDGUGUW2YMWI6T4BU9VA6QA6" hidden="1">#N/A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Z249J4MKSPDY5LKL4BM8ZDUW" hidden="1">#N/A</definedName>
    <definedName name="BExH0TCVR29FT90NK6Q3KSZO9GKF" hidden="1">#N/A</definedName>
    <definedName name="BExH38F56OOVBEIBP602643GLG5B" hidden="1">#N/A</definedName>
    <definedName name="BExIH7LOL9Q0NBX366KJ0PIG87OW" hidden="1">#N/A</definedName>
    <definedName name="BExIITQPKXBGY4KQC2ZBQ5G9LGJK" hidden="1">#N/A</definedName>
    <definedName name="BExIMCYTJI84LJAWJND8CX2G51VC" hidden="1">#N/A</definedName>
    <definedName name="BExIMTLJYWHLYF9MEWM3XSGG6L46" hidden="1">#N/A</definedName>
    <definedName name="BExIOI4VCN4LZ24SN63UUF3SFHYA" hidden="1">#N/A</definedName>
    <definedName name="BExIR9XV6I4GOXR1NDC8QSIQ5FKB" hidden="1">#N/A</definedName>
    <definedName name="BExITCV36I4I1HKIKHUQFQWD8CXZ" hidden="1">#N/A</definedName>
    <definedName name="BExITPASMA9IRAQRRZ5K3KH1YDZL" hidden="1">#N/A</definedName>
    <definedName name="BExIUUT2YFOJR8OD9OWLEKZY4UD4" hidden="1">#N/A</definedName>
    <definedName name="BExIVJJA14SK8VNH7W0RUHSG68FO" hidden="1">#N/A</definedName>
    <definedName name="BExIYHH6XSC1E251VLVNWJBASRIW" hidden="1">#N/A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F8GFSKWR0PM1YADGL8GQJ6D1" hidden="1">#N/A</definedName>
    <definedName name="BExKG66CJOBF0JV4UP20X3XJ0O39" hidden="1">#N/A</definedName>
    <definedName name="BExKHEOKVGAGDI0UP2R82N2UB479" hidden="1">#N/A</definedName>
    <definedName name="BExKIL8OHRMM61EFPDQ5TPIMF76U" hidden="1">#N/A</definedName>
    <definedName name="BExKKIM8PKEEFVOYZ391STDIBZVQ" hidden="1">#N/A</definedName>
    <definedName name="BExKMVVU1WYO37AG1HWUK6F1R8D6" hidden="1">#N/A</definedName>
    <definedName name="BExKOY7IF4CNYMUAR6NGT0O0LLI6" hidden="1">#N/A</definedName>
    <definedName name="BExKQ9ERJ67IMVLZK0STBU0U3IXR" hidden="1">#N/A</definedName>
    <definedName name="BExKRCO6Q6GULRSXIZA5TEIQWAO8" hidden="1">#N/A</definedName>
    <definedName name="BExKSJOG96NKO1O3XB5S7MT21GN4" hidden="1">#N/A</definedName>
    <definedName name="BExKT1NUWL6W7IXA51WG9TORJ2WR" hidden="1">#N/A</definedName>
    <definedName name="BExKTOAENUXHRTKGEWGNY631OOUI" hidden="1">#N/A</definedName>
    <definedName name="BExMATI84IGKQC9W5T5F41N5ICE2" hidden="1">#N/A</definedName>
    <definedName name="BExMBDL567CYKIBZCEPTWB658VVN" hidden="1">#N/A</definedName>
    <definedName name="BExMC805YBTLBCGTZIU1FQ6PTL0L" hidden="1">#N/A</definedName>
    <definedName name="BExMDY1ITX9085L7MEAI474C92EZ" hidden="1">#N/A</definedName>
    <definedName name="BExMGLSQ4JNCDDWC6LYN9Z6UW3PI" hidden="1">#N/A</definedName>
    <definedName name="BExMH06M1EXOV4XLBI2EO1TDIIR9" hidden="1">#N/A</definedName>
    <definedName name="BExMI76UN4UZPSC6JXEY4ALK1VZL" hidden="1">#N/A</definedName>
    <definedName name="BExMNQHMHHJEXHDH5S03F5MNWUDT" hidden="1">#N/A</definedName>
    <definedName name="BExMODEXWE7UNANO6WUXST6VTADQ" hidden="1">#N/A</definedName>
    <definedName name="BExMP3CD3FLA8SVTIO0K6DH6IAR5" hidden="1">#N/A</definedName>
    <definedName name="BExO7P5P1HDMOF39OZ7BAJ8T2QN1" hidden="1">#N/A</definedName>
    <definedName name="BExOAF0AGXPP2YIFWQ0HQYCHNVM1" hidden="1">#N/A</definedName>
    <definedName name="BExOCBC51MGOM01WS46NRKV1OLN8" hidden="1">#N/A</definedName>
    <definedName name="BExOLA9ETCG6T74XQ7065X3Y8YRX" hidden="1">#N/A</definedName>
    <definedName name="BExOMVT14U7R3E310HB5L9S7GNA9" hidden="1">#N/A</definedName>
    <definedName name="BExQ2PISDJ227QRWHTL271HTUZJ4" hidden="1">#N/A</definedName>
    <definedName name="BExQ34IADQQ3YSJQMOBKGC355VN0" hidden="1">#N/A</definedName>
    <definedName name="BExQ3RL2WL8F4GMWFDQREPDCUZRL" hidden="1">#N/A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C07GHLSGBGP7RWL1TBHSDLP" hidden="1">#N/A</definedName>
    <definedName name="BExQ9U295SJ67ENVKSOWOWBUXU3T" hidden="1">#N/A</definedName>
    <definedName name="BExQAHLC2W6AUSJ8BHR9GZWZEGY9" hidden="1">#N/A</definedName>
    <definedName name="BExQAUS2MUOH64PNU4APSR8IGOAL" hidden="1">#N/A</definedName>
    <definedName name="BExQEJP0FJXH8GYVJI65F9UNS3QH" hidden="1">#N/A</definedName>
    <definedName name="BExQF29ZRIPRAN7UOZSCR22B8BNP" hidden="1">#N/A</definedName>
    <definedName name="BExQFTP6GMMAKQX4UA5TYQZGOFJM" hidden="1">#N/A</definedName>
    <definedName name="BExQGR44NGUNC0Q4MOPLC91XE40A" hidden="1">#N/A</definedName>
    <definedName name="BExQGSRE3ZO25U5VR2K6K1WOZLNQ" hidden="1">#N/A</definedName>
    <definedName name="BExQHHMWN8RPABF31FLT54RO2YUN" hidden="1">#N/A</definedName>
    <definedName name="BExQI80FDESDB6CJ8DR99HEYD44Z" hidden="1">#N/A</definedName>
    <definedName name="BExQJ3S5UGIEC5DPD96BRRR7TB59" hidden="1">#N/A</definedName>
    <definedName name="BExQKASDGBXZCPHIRGSW6KUCN5PJ" hidden="1">#N/A</definedName>
    <definedName name="BExQKIA40FP0IORK41MRGP4IYHQV" hidden="1">#N/A</definedName>
    <definedName name="BExS1TCAASDOB6SZ16D4LJB0N784" hidden="1">#N/A</definedName>
    <definedName name="BExS4ZOGCW69ZLFAG2P7R8R13YYO" hidden="1">#N/A</definedName>
    <definedName name="BExSA33DC9QX1XSX0C4CEYGS6CGW" hidden="1">#N/A</definedName>
    <definedName name="BExSAFJ2HLH2UK5HNOX110E3GPIE" hidden="1">#N/A</definedName>
    <definedName name="BExSBVDORQNJJ5MM6RHT3C3UDN2K" hidden="1">#N/A</definedName>
    <definedName name="BExSDYLPZPHT3DM8YVYTOF0RV0QW" hidden="1">#N/A</definedName>
    <definedName name="BExSF0TBU7AXD6GO17GBKCRIAQ05" hidden="1">#N/A</definedName>
    <definedName name="BExTUMFSHWTWBWK5QQUILZYA6B8I" hidden="1">#N/A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IMI0UFK98Q441PLJG5CX0I9" hidden="1">#N/A</definedName>
    <definedName name="BExU2ARC5RDX7VIEQHKXHQ40HNC8" hidden="1">#N/A</definedName>
    <definedName name="BExU5HEBQABXKO62ZNTQ8V3S25KR" hidden="1">#N/A</definedName>
    <definedName name="BExU6ARNQG8EC8R4S0RJV66166T6" hidden="1">#N/A</definedName>
    <definedName name="BExU7XT1Z5VSJU0HK7H7D6CSWF0O" hidden="1">#N/A</definedName>
    <definedName name="BExU8DE5H651E3BRQ3DEGUMVDEBH" hidden="1">#N/A</definedName>
    <definedName name="BExU8QVNNHH4WH4DSQUCLPWA3DF1" hidden="1">#N/A</definedName>
    <definedName name="BExVQ6L1GRC8LT88ZO5LKJ25ISZM" hidden="1">#N/A</definedName>
    <definedName name="BExVSP3GMO7T2HQGVBKC431HN5KQ" hidden="1">#N/A</definedName>
    <definedName name="BExVTMCZ5F60JEAQ58TIHNTLN7ST" hidden="1">#N/A</definedName>
    <definedName name="BExVUAMXI1A1U167HCNWKW7MF04C" hidden="1">#N/A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W50RFUH4JJA01P7PVNQXEM5A" hidden="1">#N/A</definedName>
    <definedName name="BExVWEWSX8MCW9XL61Q6BA9RYY34" hidden="1">#N/A</definedName>
    <definedName name="BExVYS0W2TC4Z501AAHKRAYARH00" hidden="1">#N/A</definedName>
    <definedName name="BExW223VCSYHV678D4LKPOPMBSUK" hidden="1">#N/A</definedName>
    <definedName name="BExW2CG1I2ULG5W1F3XRL1ZL2W8P" hidden="1">#N/A</definedName>
    <definedName name="BExW2EUCVL1NGKEW8BMJ264DZNUN" hidden="1">#N/A</definedName>
    <definedName name="BExW42S96V7ZAEC2KVDS1HQ9D5YL" hidden="1">#N/A</definedName>
    <definedName name="BExW4DF707EEQT6OLXAUE3ZDM2PW" hidden="1">#N/A</definedName>
    <definedName name="BExW4OYJ1610HEOEFPOSP73H5755" hidden="1">#N/A</definedName>
    <definedName name="BExW67T2MM2O02QAZILHFBOCC503" hidden="1">#N/A</definedName>
    <definedName name="BExW6W8BK7DVLLKOB8FYEGKXW7VH" hidden="1">#N/A</definedName>
    <definedName name="BExW75Z2VK0PFVVUIQDT6GQL9BPV" hidden="1">#N/A</definedName>
    <definedName name="BExW799MA3J3A6WTE1UHH8W1WHAV" hidden="1">#N/A</definedName>
    <definedName name="BExW90I8M31S10UWTO2LV12LRO9N" hidden="1">#N/A</definedName>
    <definedName name="BExXLPZCFHP2BF00EJNBFNUUF2HR" hidden="1">#N/A</definedName>
    <definedName name="BExXMT8SKUNS5I6TUX9NAOML6LMZ" hidden="1">#N/A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R350QNBDPBVAO09KO7A3SGZX" hidden="1">#N/A</definedName>
    <definedName name="BExXTW4ZVIXLUN9APHU3LT9FAVB6" hidden="1">#N/A</definedName>
    <definedName name="BExXV5JIHGLTCYU9RICBT6UDP99I" hidden="1">#N/A</definedName>
    <definedName name="BExXVPX7AUDP07XWOTRNKG6YYST9" hidden="1">#N/A</definedName>
    <definedName name="BExXWAWHQPN550JYQC3WHUL0EN4G" hidden="1">#N/A</definedName>
    <definedName name="BExY1QGBKQHQPZST140TAWBWPQVX" hidden="1">#N/A</definedName>
    <definedName name="BExY3UVJH7082NH3QAOUYOW7L7M9" hidden="1">#N/A</definedName>
    <definedName name="BExY64P31TT9VQ296ZOTEF5QZ4QX" hidden="1">#N/A</definedName>
    <definedName name="BExZNRG2EIS2EMZMQGJ07IE1Q0WO" hidden="1">#N/A</definedName>
    <definedName name="BExZP98PG8JAXI4JGRXGOI5JM36D" hidden="1">#N/A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THXSMKDM85GQ6X1GKVH31T3E" hidden="1">#N/A</definedName>
    <definedName name="BExZTO8EQTW6H676ETSJO1QTL4VQ" hidden="1">#N/A</definedName>
    <definedName name="BExZWJXFC3EFBA1ZDQPFLD0BQPWQ" hidden="1">#N/A</definedName>
    <definedName name="BExZYH5OXF8X7QGEQJ6P9FHNSQI2" hidden="1">#N/A</definedName>
    <definedName name="BExZZ8A7VC39JMYFNUZK5RYGY0VZ" hidden="1">#N/A</definedName>
    <definedName name="BExZZ9S1QJHESO9WH21G0ROO3ZUR" hidden="1">#N/A</definedName>
    <definedName name="BG_Del" hidden="1">15</definedName>
    <definedName name="BG_Ins" hidden="1">4</definedName>
    <definedName name="BG_Mod" hidden="1">6</definedName>
    <definedName name="bingung" localSheetId="1" hidden="1">{#N/A,#N/A,FALSE,"DATA"}</definedName>
    <definedName name="bingung" hidden="1">{#N/A,#N/A,FALSE,"DATA"}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NE" hidden="1">#REF!</definedName>
    <definedName name="board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reak" hidden="1">#REF!</definedName>
    <definedName name="BTLG" hidden="1">#REF!</definedName>
    <definedName name="capexnov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c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f" hidden="1">0</definedName>
    <definedName name="CHUSWTC" localSheetId="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HUSWTC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IPHSJ" hidden="1">#REF!</definedName>
    <definedName name="coba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b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ba1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ba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ver" localSheetId="1" hidden="1">{#N/A,#N/A,FALSE,"Development Spend"}</definedName>
    <definedName name="Cover" hidden="1">{#N/A,#N/A,FALSE,"Development Spend"}</definedName>
    <definedName name="CS" hidden="1">#REF!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d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an" localSheetId="1" hidden="1">{#N/A,#N/A,FALSE,"Aging Summary";#N/A,#N/A,FALSE,"Ratio Analysis";#N/A,#N/A,FALSE,"Test 120 Day Accts";#N/A,#N/A,FALSE,"Tickmarks"}</definedName>
    <definedName name="dan" hidden="1">{#N/A,#N/A,FALSE,"Aging Summary";#N/A,#N/A,FALSE,"Ratio Analysis";#N/A,#N/A,FALSE,"Test 120 Day Accts";#N/A,#N/A,FALSE,"Tickmarks"}</definedName>
    <definedName name="Dec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e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ede" localSheetId="1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ede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hjkl" localSheetId="1" hidden="1">{#N/A,#N/A,FALSE,"DATA"}</definedName>
    <definedName name="dhjkl" hidden="1">{#N/A,#N/A,FALSE,"DATA"}</definedName>
    <definedName name="djf" localSheetId="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jf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kfj" localSheetId="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kfj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N" hidden="1">#REF!</definedName>
    <definedName name="e" localSheetId="1" hidden="1">{"YTDACT1",#N/A,TRUE,"YTDACTAUST";"YTDACT2",#N/A,TRUE,"YTDACTAUST";"YTDACT3",#N/A,TRUE,"YTDACTAUST";"CCTR",#N/A,TRUE,"YTDACTCC"}</definedName>
    <definedName name="e" hidden="1">{"YTDACT1",#N/A,TRUE,"YTDACTAUST";"YTDACT2",#N/A,TRUE,"YTDACTAUST";"YTDACT3",#N/A,TRUE,"YTDACTAUST";"CCTR",#N/A,TRUE,"YTDACTCC"}</definedName>
    <definedName name="ee" localSheetId="1" hidden="1">{"YTDACT1",#N/A,TRUE,"YTDACTAUST";"YTDACT2",#N/A,TRUE,"YTDACTAUST";"YTDACT3",#N/A,TRUE,"YTDACTAUST";"CCTR",#N/A,TRUE,"YTDACTCC"}</definedName>
    <definedName name="ee" hidden="1">{"YTDACT1",#N/A,TRUE,"YTDACTAUST";"YTDACT2",#N/A,TRUE,"YTDACTAUST";"YTDACT3",#N/A,TRUE,"YTDACTAUST";"CCTR",#N/A,TRUE,"YTDACTCC"}</definedName>
    <definedName name="ENM" hidden="1">#REF!</definedName>
    <definedName name="eta" localSheetId="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ta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fail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ds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d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il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ggg" hidden="1">#REF!</definedName>
    <definedName name="fs" hidden="1">#REF!</definedName>
    <definedName name="gfd" hidden="1">#REF!</definedName>
    <definedName name="GFDDF" localSheetId="1" hidden="1">{#N/A,#N/A,FALSE,"DATA"}</definedName>
    <definedName name="GFDDF" hidden="1">{#N/A,#N/A,FALSE,"DATA"}</definedName>
    <definedName name="Ggoal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k" localSheetId="1" hidden="1">{"YTDACT1",#N/A,TRUE,"YTDACTAUST";"YTDACT2",#N/A,TRUE,"YTDACTAUST";"YTDACT3",#N/A,TRUE,"YTDACTAUST";"CCTR",#N/A,TRUE,"YTDACTCC"}</definedName>
    <definedName name="gk" hidden="1">{"YTDACT1",#N/A,TRUE,"YTDACTAUST";"YTDACT2",#N/A,TRUE,"YTDACTAUST";"YTDACT3",#N/A,TRUE,"YTDACTAUST";"CCTR",#N/A,TRUE,"YTDACTCC"}</definedName>
    <definedName name="GOAL3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raph123" hidden="1">#REF!</definedName>
    <definedName name="GraphX" hidden="1">#REF!</definedName>
    <definedName name="grapik" hidden="1">#REF!</definedName>
    <definedName name="GrqphLabel" hidden="1">#REF!</definedName>
    <definedName name="hgf" hidden="1">#REF!</definedName>
    <definedName name="HTML_CodePage" hidden="1">1252</definedName>
    <definedName name="HTML_Control" localSheetId="1" hidden="1">{"'OTARI- IKAHO'!$A$11:$AF$42"}</definedName>
    <definedName name="HTML_Control" hidden="1">{"'OTARI- IKAHO'!$A$11:$AF$42"}</definedName>
    <definedName name="HTML_Control2" localSheetId="1" hidden="1">{"'OTARI- IKAHO'!$A$11:$AF$42"}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"Customer Financial Analysis"</definedName>
    <definedName name="HTML_LastUpdate" hidden="1">"4/19/99"</definedName>
    <definedName name="HTML_LineAfter" hidden="1">FALSE</definedName>
    <definedName name="HTML_LineBefore" hidden="1">FALSE</definedName>
    <definedName name="HTML_Name" hidden="1">"Terry Callahan"</definedName>
    <definedName name="HTML_OBDlg2" hidden="1">TRUE</definedName>
    <definedName name="HTML_OBDlg4" hidden="1">TRUE</definedName>
    <definedName name="HTML_OS" hidden="1">0</definedName>
    <definedName name="HTML_PathFile" hidden="1">"C:\My Documents\EXCEL\crf spread Income Statement.htm"</definedName>
    <definedName name="HTML_Title" hidden="1">"Credit Research Foundation"</definedName>
    <definedName name="HTML1_1" hidden="1">"[indices.xls]MEMO!$A$3:$S$72"</definedName>
    <definedName name="HTML1_10" hidden="1">""</definedName>
    <definedName name="HTML1_11" hidden="1">-4146</definedName>
    <definedName name="HTML1_12" hidden="1">"C:\Stephen\HTML Files\IND9712.htm"</definedName>
    <definedName name="HTML1_2" hidden="1">1</definedName>
    <definedName name="HTML1_3" hidden="1">"December 1997 Indices"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"15-Jan-98"</definedName>
    <definedName name="HTML1_9" hidden="1">"Stephen Howard"</definedName>
    <definedName name="HTML2_1" hidden="1">"[indices.xls]MEMO!$A$3:$S$46"</definedName>
    <definedName name="HTML2_10" hidden="1">""</definedName>
    <definedName name="HTML2_11" hidden="1">1</definedName>
    <definedName name="HTML2_12" hidden="1">"c:\IND.htm"</definedName>
    <definedName name="HTML2_2" hidden="1">1</definedName>
    <definedName name="HTML2_3" hidden="1">"indices"</definedName>
    <definedName name="HTML2_4" hidden="1">"MEMO"</definedName>
    <definedName name="HTML2_5" hidden="1">""</definedName>
    <definedName name="HTML2_6" hidden="1">-4146</definedName>
    <definedName name="HTML2_7" hidden="1">-4146</definedName>
    <definedName name="HTML2_8" hidden="1">"22-Jan-98"</definedName>
    <definedName name="HTML2_9" hidden="1">"Stephen Howard"</definedName>
    <definedName name="HTMLCount" hidden="1">2</definedName>
    <definedName name="IInvcomm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khtisar1" hidden="1">#REF!</definedName>
    <definedName name="indonesia" localSheetId="1" hidden="1">{#N/A,#N/A,FALSE,"DATA"}</definedName>
    <definedName name="indonesia" hidden="1">{#N/A,#N/A,FALSE,"DATA"}</definedName>
    <definedName name="indonesiaversion" localSheetId="1" hidden="1">{#N/A,#N/A,FALSE,"DATA"}</definedName>
    <definedName name="indonesiaversion" hidden="1">{#N/A,#N/A,FALSE,"DATA"}</definedName>
    <definedName name="InvComm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rev" hidden="1">#REF!</definedName>
    <definedName name="joel" localSheetId="1" hidden="1">{#N/A,#N/A,FALSE,"Development Spend"}</definedName>
    <definedName name="joel" hidden="1">{#N/A,#N/A,FALSE,"Development Spend"}</definedName>
    <definedName name="K11.1.2" hidden="1">#REF!</definedName>
    <definedName name="KENI" localSheetId="1" hidden="1">{"Panel",#N/A,FALSE,"Panel";"Price",#N/A,FALSE,"Price"}</definedName>
    <definedName name="KENI" hidden="1">{"Panel",#N/A,FALSE,"Panel";"Price",#N/A,FALSE,"Price"}</definedName>
    <definedName name="keyz" hidden="1">#REF!</definedName>
    <definedName name="KINE" localSheetId="1" hidden="1">{"Panel",#N/A,FALSE,"Panel";"Price",#N/A,FALSE,"Price"}</definedName>
    <definedName name="KINE" hidden="1">{"Panel",#N/A,FALSE,"Panel";"Price",#N/A,FALSE,"Price"}</definedName>
    <definedName name="KINERJA" localSheetId="1" hidden="1">{"CapCost",#N/A,TRUE,"CAP";"Revenue",#N/A,TRUE,"Rev";"OpCost",#N/A,TRUE,"Costs";"WorkCap",#N/A,TRUE,"WorkCap";"Depreciation",#N/A,TRUE,"Dep";"Fin_Report",#N/A,TRUE,"FS"}</definedName>
    <definedName name="KINERJA" hidden="1">{"CapCost",#N/A,TRUE,"CAP";"Revenue",#N/A,TRUE,"Rev";"OpCost",#N/A,TRUE,"Costs";"WorkCap",#N/A,TRUE,"WorkCap";"Depreciation",#N/A,TRUE,"Dep";"Fin_Report",#N/A,TRUE,"FS"}</definedName>
    <definedName name="KJH" hidden="1">#REF!</definedName>
    <definedName name="kjkili" localSheetId="1" hidden="1">{#N/A,#N/A,FALSE,"DATA"}</definedName>
    <definedName name="kjkili" hidden="1">{#N/A,#N/A,FALSE,"DATA"}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localSheetId="1" hidden="1">{"'OTARI- IKAHO'!$A$11:$AF$42"}</definedName>
    <definedName name="L" hidden="1">{"'OTARI- IKAHO'!$A$11:$AF$42"}</definedName>
    <definedName name="labatut" hidden="1">#REF!</definedName>
    <definedName name="laporan" localSheetId="1" hidden="1">{#N/A,#N/A,FALSE,"DATA"}</definedName>
    <definedName name="laporan" hidden="1">{#N/A,#N/A,FALSE,"DATA"}</definedName>
    <definedName name="limcount" hidden="1">3</definedName>
    <definedName name="LK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asfjas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asfj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ljytrvhj" localSheetId="1" hidden="1">{#N/A,#N/A,FALSE,"DATA"}</definedName>
    <definedName name="lkjljytrvhj" hidden="1">{#N/A,#N/A,FALSE,"DATA"}</definedName>
    <definedName name="lrh" hidden="1">#REF!</definedName>
    <definedName name="LVH" hidden="1">#REF!</definedName>
    <definedName name="mate" localSheetId="1" hidden="1">{"CapCost",#N/A,TRUE,"CAP";"Revenue",#N/A,TRUE,"Rev";"OpCost",#N/A,TRUE,"Costs";"WorkCap",#N/A,TRUE,"WorkCap";"Depreciation",#N/A,TRUE,"Dep";"Fin_Report",#N/A,TRUE,"FS"}</definedName>
    <definedName name="mate" hidden="1">{"CapCost",#N/A,TRUE,"CAP";"Revenue",#N/A,TRUE,"Rev";"OpCost",#N/A,TRUE,"Costs";"WorkCap",#N/A,TRUE,"WorkCap";"Depreciation",#N/A,TRUE,"Dep";"Fin_Report",#N/A,TRUE,"FS"}</definedName>
    <definedName name="maturity" hidden="1">#REF!</definedName>
    <definedName name="MMProfit" localSheetId="1" hidden="1">{"YTDACT1",#N/A,TRUE,"YTDACTAUST";"YTDACT2",#N/A,TRUE,"YTDACTAUST";"YTDACT3",#N/A,TRUE,"YTDACTAUST";"CCTR",#N/A,TRUE,"YTDACTCC"}</definedName>
    <definedName name="MMProfit" hidden="1">{"YTDACT1",#N/A,TRUE,"YTDACTAUST";"YTDACT2",#N/A,TRUE,"YTDACTAUST";"YTDACT3",#N/A,TRUE,"YTDACTAUST";"CCTR",#N/A,TRUE,"YTDACTCC"}</definedName>
    <definedName name="Monthly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moth" localSheetId="1" hidden="1">{"YTDACT1",#N/A,TRUE,"YTDACTAUST";"YTDACT2",#N/A,TRUE,"YTDACTAUST";"YTDACT3",#N/A,TRUE,"YTDACTAUST";"CCTR",#N/A,TRUE,"YTDACTCC"}</definedName>
    <definedName name="moth" hidden="1">{"YTDACT1",#N/A,TRUE,"YTDACTAUST";"YTDACT2",#N/A,TRUE,"YTDACTAUST";"YTDACT3",#N/A,TRUE,"YTDACTAUST";"CCTR",#N/A,TRUE,"YTDACTCC"}</definedName>
    <definedName name="nmbmb" localSheetId="1" hidden="1">{"YTDACT1",#N/A,TRUE,"YTDACTAUST";"YTDACT2",#N/A,TRUE,"YTDACTAUST";"YTDACT3",#N/A,TRUE,"YTDACTAUST";"CCTR",#N/A,TRUE,"YTDACTCC"}</definedName>
    <definedName name="nmbmb" hidden="1">{"YTDACT1",#N/A,TRUE,"YTDACTAUST";"YTDACT2",#N/A,TRUE,"YTDACTAUST";"YTDACT3",#N/A,TRUE,"YTDACTAUST";"CCTR",#N/A,TRUE,"YTDACTCC"}</definedName>
    <definedName name="no" localSheetId="1" hidden="1">{"Panel",#N/A,FALSE,"Panel";"Price",#N/A,FALSE,"Price"}</definedName>
    <definedName name="no" hidden="1">{"Panel",#N/A,FALSE,"Panel";"Price",#N/A,FALSE,"Price"}</definedName>
    <definedName name="notes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V" hidden="1">#REF!,#REF!</definedName>
    <definedName name="o" localSheetId="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CT" hidden="1">#REF!,#REF!</definedName>
    <definedName name="ok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o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OKE" localSheetId="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KE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LD" hidden="1">#REF!</definedName>
    <definedName name="OrderTable" hidden="1">#REF!</definedName>
    <definedName name="P" localSheetId="1" hidden="1">{"'OTARI- IKAHO'!$A$11:$AF$42"}</definedName>
    <definedName name="P" hidden="1">{"'OTARI- IKAHO'!$A$11:$AF$42"}</definedName>
    <definedName name="Pems" hidden="1">#REF!</definedName>
    <definedName name="Pems_RKAP" hidden="1">#REF!</definedName>
    <definedName name="Perhitungan" localSheetId="1" hidden="1">{#N/A,#N/A,FALSE,"DATA"}</definedName>
    <definedName name="Perhitungan" hidden="1">{#N/A,#N/A,FALSE,"DATA"}</definedName>
    <definedName name="ppp" hidden="1">#REF!</definedName>
    <definedName name="pppp" hidden="1">#REF!</definedName>
    <definedName name="Prog0507" hidden="1">#REF!</definedName>
    <definedName name="pusing" localSheetId="1" hidden="1">{#N/A,#N/A,FALSE,"DATA"}</definedName>
    <definedName name="pusing" hidden="1">{#N/A,#N/A,FALSE,"DATA"}</definedName>
    <definedName name="q" localSheetId="1" hidden="1">{"Panel",#N/A,FALSE,"Panel";"Price",#N/A,FALSE,"Price"}</definedName>
    <definedName name="q" hidden="1">{"Panel",#N/A,FALSE,"Panel";"Price",#N/A,FALSE,"Price"}</definedName>
    <definedName name="RAB" hidden="1">#REF!</definedName>
    <definedName name="rage" localSheetId="1" hidden="1">{#N/A,#N/A,FALSE,"Aging Summary";#N/A,#N/A,FALSE,"Ratio Analysis";#N/A,#N/A,FALSE,"Test 120 Day Accts";#N/A,#N/A,FALSE,"Tickmarks"}</definedName>
    <definedName name="rage" hidden="1">{#N/A,#N/A,FALSE,"Aging Summary";#N/A,#N/A,FALSE,"Ratio Analysis";#N/A,#N/A,FALSE,"Test 120 Day Accts";#N/A,#N/A,FALSE,"Tickmarks"}</definedName>
    <definedName name="rr" hidden="1">#REF!</definedName>
    <definedName name="Rwvu.CapersView." hidden="1">#REF!</definedName>
    <definedName name="Rwvu.Japan_Capers_Ed_Pub." hidden="1">#REF!</definedName>
    <definedName name="Rwvu.KJP_CC." hidden="1">#REF!</definedName>
    <definedName name="s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e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PBEXbbsBack" hidden="1">"xSAPtemp823.xls"</definedName>
    <definedName name="SAPBEXdnldView" hidden="1">"47Q2BPXJFA2WELFEHROT5S5KU"</definedName>
    <definedName name="SAPBEXhrIndnt" hidden="1">1</definedName>
    <definedName name="SAPBEXrevision" hidden="1">1</definedName>
    <definedName name="SAPBEXsysID" hidden="1">"BW1"</definedName>
    <definedName name="SAPBEXwbID" hidden="1">"479OIBYVD7R6GMGCFY0TIQIYT"</definedName>
    <definedName name="SASA" hidden="1">#REF!</definedName>
    <definedName name="SD" hidden="1">#REF!</definedName>
    <definedName name="sed" localSheetId="1" hidden="1">{#N/A,#N/A,FALSE,"Bank Rec Cover Sheet";#N/A,#N/A,FALSE,"Bank Rec Details"}</definedName>
    <definedName name="sed" hidden="1">{#N/A,#N/A,FALSE,"Bank Rec Cover Sheet";#N/A,#N/A,FALSE,"Bank Rec Details"}</definedName>
    <definedName name="sedlrh" hidden="1">#REF!</definedName>
    <definedName name="sencount" hidden="1">3</definedName>
    <definedName name="Sept08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ept08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hort" localSheetId="1" hidden="1">{"'OTARI- IKAHO'!$A$11:$AF$42"}</definedName>
    <definedName name="short" hidden="1">{"'OTARI- IKAHO'!$A$11:$AF$42"}</definedName>
    <definedName name="sih" hidden="1">#REF!</definedName>
    <definedName name="Singapore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inga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re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ss" hidden="1">#REF!</definedName>
    <definedName name="Sum" hidden="1">#REF!</definedName>
    <definedName name="Swvu.CapersView." hidden="1">#REF!</definedName>
    <definedName name="Swvu.cf." hidden="1">#REF!</definedName>
    <definedName name="Swvu.cfpa." hidden="1">#REF!</definedName>
    <definedName name="Swvu.cfpb." hidden="1">#REF!</definedName>
    <definedName name="Swvu.cfpc." hidden="1">#REF!</definedName>
    <definedName name="Swvu.cfpd." hidden="1">#REF!</definedName>
    <definedName name="Swvu.isp." hidden="1">#REF!</definedName>
    <definedName name="Swvu.ispa." hidden="1">#REF!</definedName>
    <definedName name="Swvu.Japan_Capers_Ed_Pub." hidden="1">#REF!</definedName>
    <definedName name="Swvu.KJP_CC." hidden="1">#REF!</definedName>
    <definedName name="tau" hidden="1">#REF!</definedName>
    <definedName name="ter" localSheetId="1" hidden="1">{#N/A,#N/A,FALSE,"Aging Summary";#N/A,#N/A,FALSE,"Ratio Analysis";#N/A,#N/A,FALSE,"Test 120 Day Accts";#N/A,#N/A,FALSE,"Tickmarks"}</definedName>
    <definedName name="ter" hidden="1">{#N/A,#N/A,FALSE,"Aging Summary";#N/A,#N/A,FALSE,"Ratio Analysis";#N/A,#N/A,FALSE,"Test 120 Day Accts";#N/A,#N/A,FALSE,"Tickmarks"}</definedName>
    <definedName name="TES" hidden="1">#REF!</definedName>
    <definedName name="TextRefCopyRangeCount" hidden="1">40</definedName>
    <definedName name="tri" hidden="1">#REF!</definedName>
    <definedName name="ttp" hidden="1">#REF!</definedName>
    <definedName name="UL_With_New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L_With_New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PAHA" hidden="1">#REF!</definedName>
    <definedName name="ValuationDate" localSheetId="1">[1]ValuationDate!$B$2</definedName>
    <definedName name="ValuationDate">ValuationDate!$B$2</definedName>
    <definedName name="VAT" hidden="1">#REF!</definedName>
    <definedName name="WAS" localSheetId="1" hidden="1">{"'OTARI- IKAHO'!$A$11:$AF$42"}</definedName>
    <definedName name="WAS" hidden="1">{"'OTARI- IKAHO'!$A$11:$AF$42"}</definedName>
    <definedName name="WASH" localSheetId="1" hidden="1">{"'OTARI- IKAHO'!$A$11:$AF$42"}</definedName>
    <definedName name="WASH" hidden="1">{"'OTARI- IKAHO'!$A$11:$AF$42"}</definedName>
    <definedName name="wrn.Actual._.vs.._.Planned." localSheetId="1" hidden="1">{#N/A,#N/A,FALSE,"Development Spend"}</definedName>
    <definedName name="wrn.Actual._.vs.._.Planned." hidden="1">{#N/A,#N/A,FALSE,"Development Spend"}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Pages." localSheetId="1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PPV1295." localSheetId="1" hidden="1">{#N/A,#N/A,FALSE,"Inforce from PROPHET";#N/A,#N/A,FALSE,"NB from PROPHET"}</definedName>
    <definedName name="wrn.APPV1295." hidden="1">{#N/A,#N/A,FALSE,"Inforce from PROPHET";#N/A,#N/A,FALSE,"NB from PROPHET"}</definedName>
    <definedName name="wrn.CapersPlotter." localSheetId="1" hidden="1">{#N/A,#N/A,FALSE,"DI 2 YEAR MASTER SCHEDULE"}</definedName>
    <definedName name="wrn.CapersPlotter." hidden="1">{#N/A,#N/A,FALSE,"DI 2 YEAR MASTER SCHEDULE"}</definedName>
    <definedName name="wrn.data." localSheetId="1" hidden="1">{#N/A,#N/A,FALSE,"DATA"}</definedName>
    <definedName name="wrn.data." hidden="1">{#N/A,#N/A,FALSE,"DATA"}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dutainment._.Priority._.List." localSheetId="1" hidden="1">{#N/A,#N/A,FALSE,"DI 2 YEAR MASTER SCHEDULE"}</definedName>
    <definedName name="wrn.Edutainment._.Priority._.List." hidden="1">{#N/A,#N/A,FALSE,"DI 2 YEAR MASTER SCHEDULE"}</definedName>
    <definedName name="wrn.impress." localSheetId="1" hidden="1">{#N/A,#N/A,FALSE,"Ventilation";#N/A,#N/A,FALSE,"Courbe1";#N/A,#N/A,FALSE,"Courbe2"}</definedName>
    <definedName name="wrn.impress." hidden="1">{#N/A,#N/A,FALSE,"Ventilation";#N/A,#N/A,FALSE,"Courbe1";#N/A,#N/A,FALSE,"Courbe2"}</definedName>
    <definedName name="wrn.Japan_Capers_Ed._.Pub." localSheetId="1" hidden="1">{"Japan_Capers_Ed_Pub",#N/A,FALSE,"DI 2 YEAR MASTER SCHEDULE"}</definedName>
    <definedName name="wrn.Japan_Capers_Ed._.Pub." hidden="1">{"Japan_Capers_Ed_Pub",#N/A,FALSE,"DI 2 YEAR MASTER SCHEDULE"}</definedName>
    <definedName name="wrn.m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GW." localSheetId="1" hidden="1">{"SUMMRY",#N/A,TRUE,"SUMMARY";"PALGW",#N/A,TRUE,"GWL_PL ACCOUNTS";"TAXGW",#N/A,TRUE,"GWL_PL ACCOUNTS";"GWTB",#N/A,TRUE,"GWTB495"}</definedName>
    <definedName name="wrn.MONTHGW." hidden="1">{"SUMMRY",#N/A,TRUE,"SUMMARY";"PALGW",#N/A,TRUE,"GWL_PL ACCOUNTS";"TAXGW",#N/A,TRUE,"GWL_PL ACCOUNTS";"GWTB",#N/A,TRUE,"GWTB495"}</definedName>
    <definedName name="wrn.monthly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thact." localSheetId="1" hidden="1">{"YTDACT1",#N/A,TRUE,"YTDACTAUST";"YTDACT2",#N/A,TRUE,"YTDACTAUST";"YTDACT3",#N/A,TRUE,"YTDACTAUST";"CCTR",#N/A,TRUE,"YTDACTCC"}</definedName>
    <definedName name="wrn.mthact." hidden="1">{"YTDACT1",#N/A,TRUE,"YTDACTAUST";"YTDACT2",#N/A,TRUE,"YTDACTAUST";"YTDACT3",#N/A,TRUE,"YTDACTAUST";"CCTR",#N/A,TRUE,"YTDACTCC"}</definedName>
    <definedName name="wrn.mthact2." localSheetId="1" hidden="1">{"YTDACT1",#N/A,TRUE,"YTDACTAUST";"YTDACT2",#N/A,TRUE,"YTDACTAUST";"YTDACT3",#N/A,TRUE,"YTDACTAUST";"CCTR",#N/A,TRUE,"YTDACTCC"}</definedName>
    <definedName name="wrn.mthact2." hidden="1">{"YTDACT1",#N/A,TRUE,"YTDACTAUST";"YTDACT2",#N/A,TRUE,"YTDACTAUST";"YTDACT3",#N/A,TRUE,"YTDACTAUST";"CCTR",#N/A,TRUE,"YTDACTCC"}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ority._.list." localSheetId="1" hidden="1">{#N/A,#N/A,FALSE,"DI 2 YEAR MASTER SCHEDULE"}</definedName>
    <definedName name="wrn.Priority._.list." hidden="1">{#N/A,#N/A,FALSE,"DI 2 YEAR MASTER SCHEDULE"}</definedName>
    <definedName name="wrn.Prjcted._.Mnthly._.Qtys." localSheetId="1" hidden="1">{#N/A,#N/A,FALSE,"PRJCTED MNTHLY QTY's"}</definedName>
    <definedName name="wrn.Prjcted._.Mnthly._.Qtys." hidden="1">{#N/A,#N/A,FALSE,"PRJCTED MNTHLY QTY's"}</definedName>
    <definedName name="wrn.Prjcted._.Qtrly._.Dollars." localSheetId="1" hidden="1">{#N/A,#N/A,FALSE,"PRJCTED QTRLY $'s"}</definedName>
    <definedName name="wrn.Prjcted._.Qtrly._.Dollars." hidden="1">{#N/A,#N/A,FALSE,"PRJCTED QTRLY $'s"}</definedName>
    <definedName name="wrn.Prjcted._.Qtrly._.Qtys." localSheetId="1" hidden="1">{#N/A,#N/A,FALSE,"PRJCTED QTRLY QTY's"}</definedName>
    <definedName name="wrn.Prjcted._.Qtrly._.Qtys." hidden="1">{#N/A,#N/A,FALSE,"PRJCTED QTRLY QTY's"}</definedName>
    <definedName name="wrn.Report1." localSheetId="1" hidden="1">{"CapCost",#N/A,TRUE,"CAP";"Revenue",#N/A,TRUE,"Rev";"OpCost",#N/A,TRUE,"Costs";"WorkCap",#N/A,TRUE,"WorkCap";"Depreciation",#N/A,TRUE,"Dep";"Fin_Report",#N/A,TRUE,"FS"}</definedName>
    <definedName name="wrn.Report1." hidden="1">{"CapCost",#N/A,TRUE,"CAP";"Revenue",#N/A,TRUE,"Rev";"OpCost",#N/A,TRUE,"Costs";"WorkCap",#N/A,TRUE,"WorkCap";"Depreciation",#N/A,TRUE,"Dep";"Fin_Report",#N/A,TRUE,"FS"}</definedName>
    <definedName name="wrn.Short_Report." localSheetId="1" hidden="1">{"CapCost",#N/A,TRUE,"CAP";"FS",#N/A,TRUE,"FS"}</definedName>
    <definedName name="wrn.Short_Report." hidden="1">{"CapCost",#N/A,TRUE,"CAP";"FS",#N/A,TRUE,"FS"}</definedName>
    <definedName name="wrn.Things." localSheetId="1" hidden="1">{#N/A,#N/A,FALSE,"Bank Rec Cover Sheet";#N/A,#N/A,FALSE,"Bank Rec Details"}</definedName>
    <definedName name="wrn.Things." hidden="1">{#N/A,#N/A,FALSE,"Bank Rec Cover Sheet";#N/A,#N/A,FALSE,"Bank Rec Details"}</definedName>
    <definedName name="wrn.TPPI." localSheetId="1" hidden="1">{"Panel",#N/A,FALSE,"Panel";"Price",#N/A,FALSE,"Price"}</definedName>
    <definedName name="wrn.TPPI." hidden="1">{"Panel",#N/A,FALSE,"Panel";"Price",#N/A,FALSE,"Price"}</definedName>
    <definedName name="wrn.Upstream." localSheetId="1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TCCHUS99" localSheetId="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CCHUS99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n.monthly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f." localSheetId="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localSheetId="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pa." localSheetId="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.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localSheetId="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b." localSheetId="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.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localSheetId="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c." localSheetId="1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c.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d." localSheetId="1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cfpd.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isp." localSheetId="1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.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a." localSheetId="1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ispa.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rn.m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localSheetId="1" hidden="1">{"YTDACT1",#N/A,TRUE,"YTDACTAUST";"YTDACT2",#N/A,TRUE,"YTDACTAUST";"YTDACT3",#N/A,TRUE,"YTDACTAUST";"CCTR",#N/A,TRUE,"YTDACTCC"}</definedName>
    <definedName name="wwrn.mthact." hidden="1">{"YTDACT1",#N/A,TRUE,"YTDACTAUST";"YTDACT2",#N/A,TRUE,"YTDACTAUST";"YTDACT3",#N/A,TRUE,"YTDACTAUST";"CCTR",#N/A,TRUE,"YTDACTCC"}</definedName>
    <definedName name="wwtn.monthly.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rn.m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asas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as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LRPARAMS_userID" hidden="1">#REF!</definedName>
    <definedName name="XREF_COLUMN_1" hidden="1">#REF!</definedName>
    <definedName name="XREF_COLUMN_3" hidden="1">#REF!</definedName>
    <definedName name="XREF_COLUMN_6" hidden="1">#REF!</definedName>
    <definedName name="XRefColumnsCount" hidden="1">7</definedName>
    <definedName name="XRefCopy1" hidden="1">#REF!</definedName>
    <definedName name="XRefCopy2" hidden="1">#REF!</definedName>
    <definedName name="XRefCopy3" hidden="1">#REF!</definedName>
    <definedName name="XRefCopy6" hidden="1">#REF!</definedName>
    <definedName name="XRefCopyRangeCount" hidden="1">7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Row" hidden="1">#REF!</definedName>
    <definedName name="XRefPasteRangeCount" hidden="1">7</definedName>
    <definedName name="xx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urike" localSheetId="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urik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_0CA79537_71E4_43F5_968A_A604961A0577_.wvu.Cols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38" l="1"/>
  <c r="B2" i="135"/>
  <c r="E5" i="142"/>
  <c r="D5" i="142"/>
  <c r="E4" i="142"/>
  <c r="D4" i="142"/>
  <c r="E3" i="142"/>
  <c r="D3" i="142"/>
  <c r="E2" i="142"/>
  <c r="D2" i="142"/>
  <c r="K420" i="138"/>
  <c r="J420" i="138"/>
  <c r="K419" i="138"/>
  <c r="J419" i="138"/>
  <c r="K418" i="138"/>
  <c r="J418" i="138"/>
  <c r="K417" i="138"/>
  <c r="J417" i="138"/>
  <c r="K416" i="138"/>
  <c r="J416" i="138"/>
  <c r="K415" i="138"/>
  <c r="J415" i="138"/>
  <c r="K414" i="138"/>
  <c r="J414" i="138"/>
  <c r="K413" i="138"/>
  <c r="J413" i="138"/>
  <c r="K412" i="138"/>
  <c r="J412" i="138"/>
  <c r="K411" i="138"/>
  <c r="J411" i="138"/>
  <c r="K410" i="138"/>
  <c r="J410" i="138"/>
  <c r="K409" i="138"/>
  <c r="J409" i="138"/>
  <c r="K408" i="138"/>
  <c r="J408" i="138"/>
  <c r="K407" i="138"/>
  <c r="J407" i="138"/>
  <c r="K406" i="138"/>
  <c r="J406" i="138"/>
  <c r="K405" i="138"/>
  <c r="J405" i="138"/>
  <c r="K404" i="138"/>
  <c r="J404" i="138"/>
  <c r="K403" i="138"/>
  <c r="J403" i="138"/>
  <c r="K402" i="138"/>
  <c r="J402" i="138"/>
  <c r="K401" i="138"/>
  <c r="J401" i="138"/>
  <c r="K400" i="138"/>
  <c r="J400" i="138"/>
  <c r="K399" i="138"/>
  <c r="J399" i="138"/>
  <c r="K398" i="138"/>
  <c r="J398" i="138"/>
  <c r="K397" i="138"/>
  <c r="J397" i="138"/>
  <c r="K396" i="138"/>
  <c r="J396" i="138"/>
  <c r="K395" i="138"/>
  <c r="J395" i="138"/>
  <c r="K394" i="138"/>
  <c r="J394" i="138"/>
  <c r="K393" i="138"/>
  <c r="J393" i="138"/>
  <c r="K392" i="138"/>
  <c r="J392" i="138"/>
  <c r="K391" i="138"/>
  <c r="J391" i="138"/>
  <c r="K390" i="138"/>
  <c r="J390" i="138"/>
  <c r="K389" i="138"/>
  <c r="J389" i="138"/>
  <c r="K388" i="138"/>
  <c r="J388" i="138"/>
  <c r="K387" i="138"/>
  <c r="J387" i="138"/>
  <c r="K386" i="138"/>
  <c r="J386" i="138"/>
  <c r="K385" i="138"/>
  <c r="J385" i="138"/>
  <c r="K384" i="138"/>
  <c r="J384" i="138"/>
  <c r="K383" i="138"/>
  <c r="J383" i="138"/>
  <c r="K382" i="138"/>
  <c r="J382" i="138"/>
  <c r="K381" i="138"/>
  <c r="J381" i="138"/>
  <c r="K380" i="138"/>
  <c r="J380" i="138"/>
  <c r="K379" i="138"/>
  <c r="J379" i="138"/>
  <c r="K378" i="138"/>
  <c r="J378" i="138"/>
  <c r="K377" i="138"/>
  <c r="J377" i="138"/>
  <c r="K376" i="138"/>
  <c r="J376" i="138"/>
  <c r="K375" i="138"/>
  <c r="J375" i="138"/>
  <c r="K374" i="138"/>
  <c r="J374" i="138"/>
  <c r="K373" i="138"/>
  <c r="J373" i="138"/>
  <c r="K372" i="138"/>
  <c r="J372" i="138"/>
  <c r="K371" i="138"/>
  <c r="J371" i="138"/>
  <c r="K370" i="138"/>
  <c r="J370" i="138"/>
  <c r="K369" i="138"/>
  <c r="J369" i="138"/>
  <c r="K368" i="138"/>
  <c r="J368" i="138"/>
  <c r="K367" i="138"/>
  <c r="J367" i="138"/>
  <c r="K366" i="138"/>
  <c r="J366" i="138"/>
  <c r="K365" i="138"/>
  <c r="J365" i="138"/>
  <c r="K364" i="138"/>
  <c r="J364" i="138"/>
  <c r="K363" i="138"/>
  <c r="J363" i="138"/>
  <c r="K362" i="138"/>
  <c r="J362" i="138"/>
  <c r="K361" i="138"/>
  <c r="J361" i="138"/>
  <c r="K360" i="138"/>
  <c r="J360" i="138"/>
  <c r="K359" i="138"/>
  <c r="J359" i="138"/>
  <c r="K358" i="138"/>
  <c r="J358" i="138"/>
  <c r="K357" i="138"/>
  <c r="J357" i="138"/>
  <c r="K356" i="138"/>
  <c r="J356" i="138"/>
  <c r="K355" i="138"/>
  <c r="J355" i="138"/>
  <c r="K354" i="138"/>
  <c r="J354" i="138"/>
  <c r="K353" i="138"/>
  <c r="J353" i="138"/>
  <c r="K352" i="138"/>
  <c r="J352" i="138"/>
  <c r="K351" i="138"/>
  <c r="J351" i="138"/>
  <c r="K350" i="138"/>
  <c r="J350" i="138"/>
  <c r="K349" i="138"/>
  <c r="J349" i="138"/>
  <c r="K348" i="138"/>
  <c r="J348" i="138"/>
  <c r="K347" i="138"/>
  <c r="J347" i="138"/>
  <c r="K346" i="138"/>
  <c r="J346" i="138"/>
  <c r="K345" i="138"/>
  <c r="J345" i="138"/>
  <c r="K344" i="138"/>
  <c r="J344" i="138"/>
  <c r="K343" i="138"/>
  <c r="J343" i="138"/>
  <c r="K342" i="138"/>
  <c r="J342" i="138"/>
  <c r="K341" i="138"/>
  <c r="J341" i="138"/>
  <c r="K340" i="138"/>
  <c r="J340" i="138"/>
  <c r="K339" i="138"/>
  <c r="J339" i="138"/>
  <c r="K338" i="138"/>
  <c r="J338" i="138"/>
  <c r="K337" i="138"/>
  <c r="J337" i="138"/>
  <c r="K336" i="138"/>
  <c r="J336" i="138"/>
  <c r="K335" i="138"/>
  <c r="J335" i="138"/>
  <c r="K334" i="138"/>
  <c r="J334" i="138"/>
  <c r="K333" i="138"/>
  <c r="J333" i="138"/>
  <c r="K332" i="138"/>
  <c r="J332" i="138"/>
  <c r="K331" i="138"/>
  <c r="J331" i="138"/>
  <c r="K330" i="138"/>
  <c r="J330" i="138"/>
  <c r="K329" i="138"/>
  <c r="J329" i="138"/>
  <c r="K328" i="138"/>
  <c r="J328" i="138"/>
  <c r="K327" i="138"/>
  <c r="J327" i="138"/>
  <c r="K326" i="138"/>
  <c r="J326" i="138"/>
  <c r="K325" i="138"/>
  <c r="J325" i="138"/>
  <c r="K324" i="138"/>
  <c r="J324" i="138"/>
  <c r="K323" i="138"/>
  <c r="J323" i="138"/>
  <c r="K322" i="138"/>
  <c r="J322" i="138"/>
  <c r="K321" i="138"/>
  <c r="J321" i="138"/>
  <c r="K320" i="138"/>
  <c r="J320" i="138"/>
  <c r="K319" i="138"/>
  <c r="J319" i="138"/>
  <c r="K318" i="138"/>
  <c r="J318" i="138"/>
  <c r="K317" i="138"/>
  <c r="J317" i="138"/>
  <c r="K315" i="138"/>
  <c r="J315" i="138"/>
  <c r="K314" i="138"/>
  <c r="J314" i="138"/>
  <c r="K313" i="138"/>
  <c r="J313" i="138"/>
  <c r="K312" i="138"/>
  <c r="J312" i="138"/>
  <c r="K311" i="138"/>
  <c r="J311" i="138"/>
  <c r="K310" i="138"/>
  <c r="J310" i="138"/>
  <c r="K309" i="138"/>
  <c r="J309" i="138"/>
  <c r="K308" i="138"/>
  <c r="J308" i="138"/>
  <c r="K307" i="138"/>
  <c r="J307" i="138"/>
  <c r="K306" i="138"/>
  <c r="J306" i="138"/>
  <c r="K305" i="138"/>
  <c r="J305" i="138"/>
  <c r="K304" i="138"/>
  <c r="J304" i="138"/>
  <c r="K303" i="138"/>
  <c r="J303" i="138"/>
  <c r="K302" i="138"/>
  <c r="J302" i="138"/>
  <c r="K301" i="138"/>
  <c r="J301" i="138"/>
  <c r="K300" i="138"/>
  <c r="J300" i="138"/>
  <c r="K299" i="138"/>
  <c r="J299" i="138"/>
  <c r="K298" i="138"/>
  <c r="J298" i="138"/>
  <c r="K297" i="138"/>
  <c r="J297" i="138"/>
  <c r="K296" i="138"/>
  <c r="J296" i="138"/>
  <c r="K295" i="138"/>
  <c r="J295" i="138"/>
  <c r="K294" i="138"/>
  <c r="J294" i="138"/>
  <c r="K293" i="138"/>
  <c r="J293" i="138"/>
  <c r="K292" i="138"/>
  <c r="J292" i="138"/>
  <c r="K291" i="138"/>
  <c r="J291" i="138"/>
  <c r="K290" i="138"/>
  <c r="J290" i="138"/>
  <c r="K289" i="138"/>
  <c r="J289" i="138"/>
  <c r="K288" i="138"/>
  <c r="J288" i="138"/>
  <c r="K287" i="138"/>
  <c r="J287" i="138"/>
  <c r="K286" i="138"/>
  <c r="J286" i="138"/>
  <c r="K285" i="138"/>
  <c r="J285" i="138"/>
  <c r="K284" i="138"/>
  <c r="J284" i="138"/>
  <c r="K283" i="138"/>
  <c r="J283" i="138"/>
  <c r="K282" i="138"/>
  <c r="J282" i="138"/>
  <c r="K281" i="138"/>
  <c r="J281" i="138"/>
  <c r="K280" i="138"/>
  <c r="J280" i="138"/>
  <c r="K279" i="138"/>
  <c r="J279" i="138"/>
  <c r="K278" i="138"/>
  <c r="J278" i="138"/>
  <c r="K277" i="138"/>
  <c r="J277" i="138"/>
  <c r="K276" i="138"/>
  <c r="J276" i="138"/>
  <c r="K275" i="138"/>
  <c r="J275" i="138"/>
  <c r="K274" i="138"/>
  <c r="J274" i="138"/>
  <c r="K273" i="138"/>
  <c r="J273" i="138"/>
  <c r="K272" i="138"/>
  <c r="J272" i="138"/>
  <c r="K271" i="138"/>
  <c r="J271" i="138"/>
  <c r="K270" i="138"/>
  <c r="J270" i="138"/>
  <c r="K269" i="138"/>
  <c r="J269" i="138"/>
  <c r="K268" i="138"/>
  <c r="J268" i="138"/>
  <c r="K267" i="138"/>
  <c r="J267" i="138"/>
  <c r="K266" i="138"/>
  <c r="J266" i="138"/>
  <c r="K265" i="138"/>
  <c r="J265" i="138"/>
  <c r="K264" i="138"/>
  <c r="J264" i="138"/>
  <c r="K263" i="138"/>
  <c r="J263" i="138"/>
  <c r="K262" i="138"/>
  <c r="J262" i="138"/>
  <c r="K261" i="138"/>
  <c r="J261" i="138"/>
  <c r="K260" i="138"/>
  <c r="J260" i="138"/>
  <c r="K259" i="138"/>
  <c r="J259" i="138"/>
  <c r="K258" i="138"/>
  <c r="J258" i="138"/>
  <c r="K257" i="138"/>
  <c r="J257" i="138"/>
  <c r="K256" i="138"/>
  <c r="J256" i="138"/>
  <c r="K255" i="138"/>
  <c r="J255" i="138"/>
  <c r="K254" i="138"/>
  <c r="J254" i="138"/>
  <c r="K253" i="138"/>
  <c r="J253" i="138"/>
  <c r="K252" i="138"/>
  <c r="J252" i="138"/>
  <c r="K251" i="138"/>
  <c r="J251" i="138"/>
  <c r="K250" i="138"/>
  <c r="J250" i="138"/>
  <c r="K249" i="138"/>
  <c r="J249" i="138"/>
  <c r="K248" i="138"/>
  <c r="J248" i="138"/>
  <c r="K247" i="138"/>
  <c r="J247" i="138"/>
  <c r="K246" i="138"/>
  <c r="J246" i="138"/>
  <c r="K245" i="138"/>
  <c r="J245" i="138"/>
  <c r="K244" i="138"/>
  <c r="J244" i="138"/>
  <c r="K243" i="138"/>
  <c r="J243" i="138"/>
  <c r="K242" i="138"/>
  <c r="J242" i="138"/>
  <c r="K241" i="138"/>
  <c r="J241" i="138"/>
  <c r="K240" i="138"/>
  <c r="J240" i="138"/>
  <c r="K239" i="138"/>
  <c r="J239" i="138"/>
  <c r="K238" i="138"/>
  <c r="J238" i="138"/>
  <c r="K237" i="138"/>
  <c r="J237" i="138"/>
  <c r="K236" i="138"/>
  <c r="J236" i="138"/>
  <c r="K235" i="138"/>
  <c r="J235" i="138"/>
  <c r="K234" i="138"/>
  <c r="J234" i="138"/>
  <c r="K233" i="138"/>
  <c r="J233" i="138"/>
  <c r="K232" i="138"/>
  <c r="J232" i="138"/>
  <c r="K231" i="138"/>
  <c r="J231" i="138"/>
  <c r="K230" i="138"/>
  <c r="J230" i="138"/>
  <c r="K229" i="138"/>
  <c r="J229" i="138"/>
  <c r="K228" i="138"/>
  <c r="J228" i="138"/>
  <c r="K227" i="138"/>
  <c r="J227" i="138"/>
  <c r="K226" i="138"/>
  <c r="J226" i="138"/>
  <c r="K225" i="138"/>
  <c r="J225" i="138"/>
  <c r="K224" i="138"/>
  <c r="J224" i="138"/>
  <c r="K223" i="138"/>
  <c r="J223" i="138"/>
  <c r="K222" i="138"/>
  <c r="J222" i="138"/>
  <c r="K221" i="138"/>
  <c r="J221" i="138"/>
  <c r="K220" i="138"/>
  <c r="J220" i="138"/>
  <c r="K219" i="138"/>
  <c r="J219" i="138"/>
  <c r="K218" i="138"/>
  <c r="J218" i="138"/>
  <c r="K217" i="138"/>
  <c r="J217" i="138"/>
  <c r="K216" i="138"/>
  <c r="J216" i="138"/>
  <c r="K215" i="138"/>
  <c r="J215" i="138"/>
  <c r="K214" i="138"/>
  <c r="J214" i="138"/>
  <c r="K213" i="138"/>
  <c r="J213" i="138"/>
  <c r="K212" i="138"/>
  <c r="J212" i="138"/>
  <c r="K210" i="138"/>
  <c r="J210" i="138"/>
  <c r="K209" i="138"/>
  <c r="J209" i="138"/>
  <c r="K208" i="138"/>
  <c r="J208" i="138"/>
  <c r="K207" i="138"/>
  <c r="J207" i="138"/>
  <c r="K206" i="138"/>
  <c r="J206" i="138"/>
  <c r="K205" i="138"/>
  <c r="J205" i="138"/>
  <c r="K204" i="138"/>
  <c r="J204" i="138"/>
  <c r="K203" i="138"/>
  <c r="J203" i="138"/>
  <c r="K202" i="138"/>
  <c r="J202" i="138"/>
  <c r="K201" i="138"/>
  <c r="J201" i="138"/>
  <c r="K200" i="138"/>
  <c r="J200" i="138"/>
  <c r="K199" i="138"/>
  <c r="J199" i="138"/>
  <c r="K198" i="138"/>
  <c r="J198" i="138"/>
  <c r="K197" i="138"/>
  <c r="J197" i="138"/>
  <c r="K196" i="138"/>
  <c r="J196" i="138"/>
  <c r="K195" i="138"/>
  <c r="J195" i="138"/>
  <c r="K194" i="138"/>
  <c r="J194" i="138"/>
  <c r="K193" i="138"/>
  <c r="J193" i="138"/>
  <c r="K192" i="138"/>
  <c r="J192" i="138"/>
  <c r="K191" i="138"/>
  <c r="J191" i="138"/>
  <c r="K190" i="138"/>
  <c r="J190" i="138"/>
  <c r="K189" i="138"/>
  <c r="J189" i="138"/>
  <c r="K188" i="138"/>
  <c r="J188" i="138"/>
  <c r="K187" i="138"/>
  <c r="J187" i="138"/>
  <c r="K186" i="138"/>
  <c r="J186" i="138"/>
  <c r="K185" i="138"/>
  <c r="J185" i="138"/>
  <c r="K184" i="138"/>
  <c r="J184" i="138"/>
  <c r="K183" i="138"/>
  <c r="J183" i="138"/>
  <c r="K182" i="138"/>
  <c r="J182" i="138"/>
  <c r="K181" i="138"/>
  <c r="J181" i="138"/>
  <c r="K180" i="138"/>
  <c r="J180" i="138"/>
  <c r="K179" i="138"/>
  <c r="J179" i="138"/>
  <c r="K178" i="138"/>
  <c r="J178" i="138"/>
  <c r="K177" i="138"/>
  <c r="J177" i="138"/>
  <c r="K176" i="138"/>
  <c r="J176" i="138"/>
  <c r="K175" i="138"/>
  <c r="J175" i="138"/>
  <c r="K174" i="138"/>
  <c r="J174" i="138"/>
  <c r="K173" i="138"/>
  <c r="J173" i="138"/>
  <c r="K172" i="138"/>
  <c r="J172" i="138"/>
  <c r="K171" i="138"/>
  <c r="J171" i="138"/>
  <c r="K170" i="138"/>
  <c r="J170" i="138"/>
  <c r="K169" i="138"/>
  <c r="J169" i="138"/>
  <c r="K168" i="138"/>
  <c r="J168" i="138"/>
  <c r="K167" i="138"/>
  <c r="J167" i="138"/>
  <c r="K166" i="138"/>
  <c r="J166" i="138"/>
  <c r="K165" i="138"/>
  <c r="J165" i="138"/>
  <c r="K164" i="138"/>
  <c r="J164" i="138"/>
  <c r="K163" i="138"/>
  <c r="J163" i="138"/>
  <c r="K162" i="138"/>
  <c r="J162" i="138"/>
  <c r="K161" i="138"/>
  <c r="J161" i="138"/>
  <c r="K160" i="138"/>
  <c r="J160" i="138"/>
  <c r="K159" i="138"/>
  <c r="J159" i="138"/>
  <c r="K158" i="138"/>
  <c r="J158" i="138"/>
  <c r="K157" i="138"/>
  <c r="J157" i="138"/>
  <c r="K156" i="138"/>
  <c r="J156" i="138"/>
  <c r="K155" i="138"/>
  <c r="J155" i="138"/>
  <c r="K154" i="138"/>
  <c r="J154" i="138"/>
  <c r="K153" i="138"/>
  <c r="J153" i="138"/>
  <c r="K152" i="138"/>
  <c r="J152" i="138"/>
  <c r="K151" i="138"/>
  <c r="J151" i="138"/>
  <c r="K150" i="138"/>
  <c r="J150" i="138"/>
  <c r="K149" i="138"/>
  <c r="J149" i="138"/>
  <c r="K148" i="138"/>
  <c r="J148" i="138"/>
  <c r="K147" i="138"/>
  <c r="J147" i="138"/>
  <c r="K146" i="138"/>
  <c r="J146" i="138"/>
  <c r="K145" i="138"/>
  <c r="J145" i="138"/>
  <c r="K144" i="138"/>
  <c r="J144" i="138"/>
  <c r="K143" i="138"/>
  <c r="J143" i="138"/>
  <c r="K142" i="138"/>
  <c r="J142" i="138"/>
  <c r="K141" i="138"/>
  <c r="J141" i="138"/>
  <c r="K140" i="138"/>
  <c r="J140" i="138"/>
  <c r="K139" i="138"/>
  <c r="J139" i="138"/>
  <c r="K138" i="138"/>
  <c r="J138" i="138"/>
  <c r="K137" i="138"/>
  <c r="J137" i="138"/>
  <c r="K136" i="138"/>
  <c r="J136" i="138"/>
  <c r="K135" i="138"/>
  <c r="J135" i="138"/>
  <c r="K134" i="138"/>
  <c r="J134" i="138"/>
  <c r="K133" i="138"/>
  <c r="J133" i="138"/>
  <c r="K132" i="138"/>
  <c r="J132" i="138"/>
  <c r="K131" i="138"/>
  <c r="J131" i="138"/>
  <c r="K130" i="138"/>
  <c r="J130" i="138"/>
  <c r="K129" i="138"/>
  <c r="J129" i="138"/>
  <c r="K128" i="138"/>
  <c r="J128" i="138"/>
  <c r="K127" i="138"/>
  <c r="J127" i="138"/>
  <c r="K126" i="138"/>
  <c r="J126" i="138"/>
  <c r="K125" i="138"/>
  <c r="J125" i="138"/>
  <c r="K124" i="138"/>
  <c r="J124" i="138"/>
  <c r="K123" i="138"/>
  <c r="J123" i="138"/>
  <c r="K122" i="138"/>
  <c r="J122" i="138"/>
  <c r="K121" i="138"/>
  <c r="J121" i="138"/>
  <c r="K120" i="138"/>
  <c r="J120" i="138"/>
  <c r="K119" i="138"/>
  <c r="J119" i="138"/>
  <c r="K118" i="138"/>
  <c r="J118" i="138"/>
  <c r="K117" i="138"/>
  <c r="J117" i="138"/>
  <c r="K116" i="138"/>
  <c r="J116" i="138"/>
  <c r="K115" i="138"/>
  <c r="J115" i="138"/>
  <c r="K114" i="138"/>
  <c r="J114" i="138"/>
  <c r="K113" i="138"/>
  <c r="J113" i="138"/>
  <c r="K112" i="138"/>
  <c r="J112" i="138"/>
  <c r="K111" i="138"/>
  <c r="J111" i="138"/>
  <c r="K110" i="138"/>
  <c r="J110" i="138"/>
  <c r="K109" i="138"/>
  <c r="J109" i="138"/>
  <c r="K108" i="138"/>
  <c r="J108" i="138"/>
  <c r="K107" i="138"/>
  <c r="J107" i="138"/>
  <c r="K105" i="138"/>
  <c r="J105" i="138"/>
  <c r="K104" i="138"/>
  <c r="J104" i="138"/>
  <c r="K103" i="138"/>
  <c r="J103" i="138"/>
  <c r="K102" i="138"/>
  <c r="J102" i="138"/>
  <c r="K101" i="138"/>
  <c r="J101" i="138"/>
  <c r="K100" i="138"/>
  <c r="J100" i="138"/>
  <c r="K99" i="138"/>
  <c r="J99" i="138"/>
  <c r="K98" i="138"/>
  <c r="J98" i="138"/>
  <c r="K97" i="138"/>
  <c r="J97" i="138"/>
  <c r="K96" i="138"/>
  <c r="J96" i="138"/>
  <c r="K95" i="138"/>
  <c r="J95" i="138"/>
  <c r="K94" i="138"/>
  <c r="J94" i="138"/>
  <c r="K93" i="138"/>
  <c r="J93" i="138"/>
  <c r="K92" i="138"/>
  <c r="J92" i="138"/>
  <c r="K91" i="138"/>
  <c r="J91" i="138"/>
  <c r="K90" i="138"/>
  <c r="J90" i="138"/>
  <c r="K89" i="138"/>
  <c r="J89" i="138"/>
  <c r="K88" i="138"/>
  <c r="J88" i="138"/>
  <c r="K87" i="138"/>
  <c r="J87" i="138"/>
  <c r="K86" i="138"/>
  <c r="J86" i="138"/>
  <c r="K85" i="138"/>
  <c r="J85" i="138"/>
  <c r="K84" i="138"/>
  <c r="J84" i="138"/>
  <c r="K83" i="138"/>
  <c r="J83" i="138"/>
  <c r="K82" i="138"/>
  <c r="J82" i="138"/>
  <c r="K81" i="138"/>
  <c r="J81" i="138"/>
  <c r="K80" i="138"/>
  <c r="J80" i="138"/>
  <c r="K79" i="138"/>
  <c r="J79" i="138"/>
  <c r="K78" i="138"/>
  <c r="J78" i="138"/>
  <c r="K77" i="138"/>
  <c r="J77" i="138"/>
  <c r="K76" i="138"/>
  <c r="J76" i="138"/>
  <c r="K75" i="138"/>
  <c r="J75" i="138"/>
  <c r="K74" i="138"/>
  <c r="J74" i="138"/>
  <c r="K73" i="138"/>
  <c r="J73" i="138"/>
  <c r="K72" i="138"/>
  <c r="J72" i="138"/>
  <c r="K71" i="138"/>
  <c r="J71" i="138"/>
  <c r="K70" i="138"/>
  <c r="J70" i="138"/>
  <c r="K69" i="138"/>
  <c r="J69" i="138"/>
  <c r="K68" i="138"/>
  <c r="J68" i="138"/>
  <c r="K67" i="138"/>
  <c r="J67" i="138"/>
  <c r="K66" i="138"/>
  <c r="J66" i="138"/>
  <c r="K65" i="138"/>
  <c r="J65" i="138"/>
  <c r="K64" i="138"/>
  <c r="J64" i="138"/>
  <c r="K63" i="138"/>
  <c r="J63" i="138"/>
  <c r="K62" i="138"/>
  <c r="J62" i="138"/>
  <c r="K61" i="138"/>
  <c r="J61" i="138"/>
  <c r="K60" i="138"/>
  <c r="J60" i="138"/>
  <c r="K59" i="138"/>
  <c r="J59" i="138"/>
  <c r="K58" i="138"/>
  <c r="J58" i="138"/>
  <c r="K57" i="138"/>
  <c r="J57" i="138"/>
  <c r="K56" i="138"/>
  <c r="J56" i="138"/>
  <c r="K55" i="138"/>
  <c r="J55" i="138"/>
  <c r="K54" i="138"/>
  <c r="J54" i="138"/>
  <c r="K53" i="138"/>
  <c r="J53" i="138"/>
  <c r="K52" i="138"/>
  <c r="J52" i="138"/>
  <c r="K51" i="138"/>
  <c r="J51" i="138"/>
  <c r="K50" i="138"/>
  <c r="J50" i="138"/>
  <c r="K49" i="138"/>
  <c r="J49" i="138"/>
  <c r="K48" i="138"/>
  <c r="J48" i="138"/>
  <c r="K47" i="138"/>
  <c r="J47" i="138"/>
  <c r="K46" i="138"/>
  <c r="J46" i="138"/>
  <c r="K45" i="138"/>
  <c r="J45" i="138"/>
  <c r="K44" i="138"/>
  <c r="J44" i="138"/>
  <c r="K43" i="138"/>
  <c r="J43" i="138"/>
  <c r="K42" i="138"/>
  <c r="J42" i="138"/>
  <c r="K41" i="138"/>
  <c r="J41" i="138"/>
  <c r="K40" i="138"/>
  <c r="J40" i="138"/>
  <c r="K39" i="138"/>
  <c r="J39" i="138"/>
  <c r="K38" i="138"/>
  <c r="J38" i="138"/>
  <c r="K37" i="138"/>
  <c r="J37" i="138"/>
  <c r="K36" i="138"/>
  <c r="J36" i="138"/>
  <c r="K35" i="138"/>
  <c r="J35" i="138"/>
  <c r="K34" i="138"/>
  <c r="J34" i="138"/>
  <c r="K33" i="138"/>
  <c r="J33" i="138"/>
  <c r="K32" i="138"/>
  <c r="J32" i="138"/>
  <c r="K31" i="138"/>
  <c r="J31" i="138"/>
  <c r="K30" i="138"/>
  <c r="J30" i="138"/>
  <c r="K29" i="138"/>
  <c r="J29" i="138"/>
  <c r="K28" i="138"/>
  <c r="J28" i="138"/>
  <c r="K27" i="138"/>
  <c r="J27" i="138"/>
  <c r="K26" i="138"/>
  <c r="J26" i="138"/>
  <c r="K25" i="138"/>
  <c r="J25" i="138"/>
  <c r="K24" i="138"/>
  <c r="J24" i="138"/>
  <c r="K23" i="138"/>
  <c r="J23" i="138"/>
  <c r="K22" i="138"/>
  <c r="J22" i="138"/>
  <c r="K21" i="138"/>
  <c r="J21" i="138"/>
  <c r="K20" i="138"/>
  <c r="J20" i="138"/>
  <c r="K19" i="138"/>
  <c r="J19" i="138"/>
  <c r="K18" i="138"/>
  <c r="J18" i="138"/>
  <c r="K17" i="138"/>
  <c r="J17" i="138"/>
  <c r="K16" i="138"/>
  <c r="J16" i="138"/>
  <c r="K15" i="138"/>
  <c r="J15" i="138"/>
  <c r="K14" i="138"/>
  <c r="J14" i="138"/>
  <c r="K13" i="138"/>
  <c r="J13" i="138"/>
  <c r="K12" i="138"/>
  <c r="J12" i="138"/>
  <c r="K11" i="138"/>
  <c r="J11" i="138"/>
  <c r="K10" i="138"/>
  <c r="J10" i="138"/>
  <c r="K9" i="138"/>
  <c r="J9" i="138"/>
  <c r="K8" i="138"/>
  <c r="J8" i="138"/>
  <c r="K7" i="138"/>
  <c r="J7" i="138"/>
  <c r="K6" i="138"/>
  <c r="J6" i="138"/>
  <c r="K5" i="138"/>
  <c r="J5" i="138"/>
  <c r="K4" i="138"/>
  <c r="J4" i="138"/>
  <c r="K3" i="138"/>
  <c r="J3" i="138"/>
  <c r="K2" i="138"/>
  <c r="J2" i="138"/>
  <c r="F5" i="142"/>
  <c r="F4" i="142"/>
  <c r="A2" i="144"/>
  <c r="A2" i="143"/>
  <c r="A2" i="136"/>
  <c r="A2" i="135"/>
  <c r="C5" i="142"/>
  <c r="B5" i="142"/>
  <c r="A5" i="142"/>
  <c r="C4" i="142"/>
  <c r="B4" i="142"/>
  <c r="A4" i="142"/>
  <c r="F10" i="141"/>
  <c r="F11" i="141" s="1"/>
  <c r="F12" i="141" s="1"/>
  <c r="D12" i="141" s="1"/>
  <c r="F14" i="141"/>
  <c r="F15" i="141" s="1"/>
  <c r="F16" i="141" s="1"/>
  <c r="A14" i="141"/>
  <c r="A10" i="141"/>
  <c r="L317" i="138"/>
  <c r="L212" i="138"/>
  <c r="L213" i="138" s="1"/>
  <c r="L214" i="138" s="1"/>
  <c r="L215" i="138" s="1"/>
  <c r="L216" i="138" s="1"/>
  <c r="L217" i="138" s="1"/>
  <c r="L218" i="138" s="1"/>
  <c r="L219" i="138" s="1"/>
  <c r="L220" i="138" s="1"/>
  <c r="L221" i="138" s="1"/>
  <c r="L222" i="138" s="1"/>
  <c r="L223" i="138" s="1"/>
  <c r="L224" i="138" s="1"/>
  <c r="L225" i="138" s="1"/>
  <c r="L226" i="138" s="1"/>
  <c r="L227" i="138" s="1"/>
  <c r="L228" i="138" s="1"/>
  <c r="L229" i="138" s="1"/>
  <c r="L230" i="138" s="1"/>
  <c r="L231" i="138" s="1"/>
  <c r="L232" i="138" s="1"/>
  <c r="L233" i="138" s="1"/>
  <c r="L234" i="138" s="1"/>
  <c r="L235" i="138" s="1"/>
  <c r="L236" i="138" s="1"/>
  <c r="L237" i="138" s="1"/>
  <c r="L238" i="138" s="1"/>
  <c r="L239" i="138" s="1"/>
  <c r="L240" i="138" s="1"/>
  <c r="L241" i="138" s="1"/>
  <c r="L242" i="138" s="1"/>
  <c r="L243" i="138" s="1"/>
  <c r="L244" i="138" s="1"/>
  <c r="L245" i="138" s="1"/>
  <c r="L246" i="138" s="1"/>
  <c r="L247" i="138" s="1"/>
  <c r="L248" i="138" s="1"/>
  <c r="L249" i="138" s="1"/>
  <c r="L250" i="138" s="1"/>
  <c r="L251" i="138" s="1"/>
  <c r="L252" i="138" s="1"/>
  <c r="L253" i="138" s="1"/>
  <c r="L254" i="138" s="1"/>
  <c r="L255" i="138" s="1"/>
  <c r="L256" i="138" s="1"/>
  <c r="L257" i="138" s="1"/>
  <c r="L258" i="138" s="1"/>
  <c r="L259" i="138" s="1"/>
  <c r="L260" i="138" s="1"/>
  <c r="L261" i="138" s="1"/>
  <c r="L262" i="138" s="1"/>
  <c r="L263" i="138" s="1"/>
  <c r="L264" i="138" s="1"/>
  <c r="L265" i="138" s="1"/>
  <c r="L266" i="138" s="1"/>
  <c r="L267" i="138" s="1"/>
  <c r="L268" i="138" s="1"/>
  <c r="L269" i="138" s="1"/>
  <c r="L270" i="138" s="1"/>
  <c r="L271" i="138" s="1"/>
  <c r="L272" i="138" s="1"/>
  <c r="L273" i="138" s="1"/>
  <c r="L274" i="138" s="1"/>
  <c r="L275" i="138" s="1"/>
  <c r="L276" i="138" s="1"/>
  <c r="L277" i="138" s="1"/>
  <c r="L278" i="138" s="1"/>
  <c r="L279" i="138" s="1"/>
  <c r="L280" i="138" s="1"/>
  <c r="L281" i="138" s="1"/>
  <c r="L282" i="138" s="1"/>
  <c r="L283" i="138" s="1"/>
  <c r="L284" i="138" s="1"/>
  <c r="L285" i="138" s="1"/>
  <c r="L286" i="138" s="1"/>
  <c r="L287" i="138" s="1"/>
  <c r="L288" i="138" s="1"/>
  <c r="L289" i="138" s="1"/>
  <c r="L290" i="138" s="1"/>
  <c r="L291" i="138" s="1"/>
  <c r="L292" i="138" s="1"/>
  <c r="L293" i="138" s="1"/>
  <c r="L294" i="138" s="1"/>
  <c r="L295" i="138" s="1"/>
  <c r="L296" i="138" s="1"/>
  <c r="L297" i="138" s="1"/>
  <c r="L298" i="138" s="1"/>
  <c r="L299" i="138" s="1"/>
  <c r="L300" i="138" s="1"/>
  <c r="L301" i="138" s="1"/>
  <c r="L302" i="138" s="1"/>
  <c r="L303" i="138" s="1"/>
  <c r="L304" i="138" s="1"/>
  <c r="L305" i="138" s="1"/>
  <c r="L306" i="138" s="1"/>
  <c r="L307" i="138" s="1"/>
  <c r="L308" i="138" s="1"/>
  <c r="L309" i="138" s="1"/>
  <c r="L310" i="138" s="1"/>
  <c r="L311" i="138" s="1"/>
  <c r="L312" i="138" s="1"/>
  <c r="L313" i="138" s="1"/>
  <c r="L314" i="138" s="1"/>
  <c r="L315" i="138" s="1"/>
  <c r="A420" i="138"/>
  <c r="A419" i="138"/>
  <c r="A418" i="138"/>
  <c r="A417" i="138"/>
  <c r="A416" i="138"/>
  <c r="A415" i="138"/>
  <c r="A414" i="138"/>
  <c r="A413" i="138"/>
  <c r="A412" i="138"/>
  <c r="A411" i="138"/>
  <c r="A410" i="138"/>
  <c r="A409" i="138"/>
  <c r="A408" i="138"/>
  <c r="A407" i="138"/>
  <c r="A406" i="138"/>
  <c r="A405" i="138"/>
  <c r="A404" i="138"/>
  <c r="A403" i="138"/>
  <c r="A402" i="138"/>
  <c r="A401" i="138"/>
  <c r="A400" i="138"/>
  <c r="A399" i="138"/>
  <c r="A398" i="138"/>
  <c r="A397" i="138"/>
  <c r="A396" i="138"/>
  <c r="A395" i="138"/>
  <c r="A394" i="138"/>
  <c r="A393" i="138"/>
  <c r="A392" i="138"/>
  <c r="A391" i="138"/>
  <c r="A390" i="138"/>
  <c r="A389" i="138"/>
  <c r="A388" i="138"/>
  <c r="A387" i="138"/>
  <c r="A386" i="138"/>
  <c r="A385" i="138"/>
  <c r="A384" i="138"/>
  <c r="A383" i="138"/>
  <c r="A382" i="138"/>
  <c r="A381" i="138"/>
  <c r="A380" i="138"/>
  <c r="A379" i="138"/>
  <c r="A378" i="138"/>
  <c r="A377" i="138"/>
  <c r="A376" i="138"/>
  <c r="A375" i="138"/>
  <c r="A374" i="138"/>
  <c r="A373" i="138"/>
  <c r="A372" i="138"/>
  <c r="A371" i="138"/>
  <c r="A370" i="138"/>
  <c r="A369" i="138"/>
  <c r="A368" i="138"/>
  <c r="A367" i="138"/>
  <c r="A366" i="138"/>
  <c r="A365" i="138"/>
  <c r="A364" i="138"/>
  <c r="A363" i="138"/>
  <c r="A362" i="138"/>
  <c r="A361" i="138"/>
  <c r="A360" i="138"/>
  <c r="A359" i="138"/>
  <c r="A358" i="138"/>
  <c r="A357" i="138"/>
  <c r="A356" i="138"/>
  <c r="A355" i="138"/>
  <c r="A354" i="138"/>
  <c r="A353" i="138"/>
  <c r="A352" i="138"/>
  <c r="A351" i="138"/>
  <c r="A350" i="138"/>
  <c r="A349" i="138"/>
  <c r="A348" i="138"/>
  <c r="A347" i="138"/>
  <c r="A346" i="138"/>
  <c r="A345" i="138"/>
  <c r="A344" i="138"/>
  <c r="A343" i="138"/>
  <c r="A342" i="138"/>
  <c r="A341" i="138"/>
  <c r="A340" i="138"/>
  <c r="A339" i="138"/>
  <c r="A338" i="138"/>
  <c r="A337" i="138"/>
  <c r="A336" i="138"/>
  <c r="A335" i="138"/>
  <c r="A334" i="138"/>
  <c r="A333" i="138"/>
  <c r="A332" i="138"/>
  <c r="A331" i="138"/>
  <c r="A330" i="138"/>
  <c r="A329" i="138"/>
  <c r="A328" i="138"/>
  <c r="A327" i="138"/>
  <c r="A326" i="138"/>
  <c r="A325" i="138"/>
  <c r="A324" i="138"/>
  <c r="A323" i="138"/>
  <c r="A322" i="138"/>
  <c r="A321" i="138"/>
  <c r="A320" i="138"/>
  <c r="A319" i="138"/>
  <c r="A318" i="138"/>
  <c r="L318" i="138"/>
  <c r="L319" i="138" s="1"/>
  <c r="L320" i="138" s="1"/>
  <c r="L321" i="138" s="1"/>
  <c r="L322" i="138" s="1"/>
  <c r="L323" i="138" s="1"/>
  <c r="L324" i="138" s="1"/>
  <c r="L325" i="138" s="1"/>
  <c r="L326" i="138" s="1"/>
  <c r="L327" i="138" s="1"/>
  <c r="L328" i="138" s="1"/>
  <c r="L329" i="138" s="1"/>
  <c r="L330" i="138" s="1"/>
  <c r="L331" i="138" s="1"/>
  <c r="L332" i="138" s="1"/>
  <c r="L333" i="138" s="1"/>
  <c r="L334" i="138" s="1"/>
  <c r="L335" i="138" s="1"/>
  <c r="L336" i="138" s="1"/>
  <c r="L337" i="138" s="1"/>
  <c r="L338" i="138" s="1"/>
  <c r="L339" i="138" s="1"/>
  <c r="L340" i="138" s="1"/>
  <c r="L341" i="138" s="1"/>
  <c r="L342" i="138" s="1"/>
  <c r="L343" i="138" s="1"/>
  <c r="L344" i="138" s="1"/>
  <c r="L345" i="138" s="1"/>
  <c r="L346" i="138" s="1"/>
  <c r="L347" i="138" s="1"/>
  <c r="L348" i="138" s="1"/>
  <c r="L349" i="138" s="1"/>
  <c r="L350" i="138" s="1"/>
  <c r="L351" i="138" s="1"/>
  <c r="L352" i="138" s="1"/>
  <c r="L353" i="138" s="1"/>
  <c r="L354" i="138" s="1"/>
  <c r="L355" i="138" s="1"/>
  <c r="L356" i="138" s="1"/>
  <c r="L357" i="138" s="1"/>
  <c r="L358" i="138" s="1"/>
  <c r="L359" i="138" s="1"/>
  <c r="L360" i="138" s="1"/>
  <c r="L361" i="138" s="1"/>
  <c r="L362" i="138" s="1"/>
  <c r="L363" i="138" s="1"/>
  <c r="L364" i="138" s="1"/>
  <c r="L365" i="138" s="1"/>
  <c r="L366" i="138" s="1"/>
  <c r="L367" i="138" s="1"/>
  <c r="L368" i="138" s="1"/>
  <c r="L369" i="138" s="1"/>
  <c r="L370" i="138" s="1"/>
  <c r="L371" i="138" s="1"/>
  <c r="L372" i="138" s="1"/>
  <c r="L373" i="138" s="1"/>
  <c r="L374" i="138" s="1"/>
  <c r="L375" i="138" s="1"/>
  <c r="L376" i="138" s="1"/>
  <c r="L377" i="138" s="1"/>
  <c r="L378" i="138" s="1"/>
  <c r="L379" i="138" s="1"/>
  <c r="L380" i="138" s="1"/>
  <c r="L381" i="138" s="1"/>
  <c r="L382" i="138" s="1"/>
  <c r="L383" i="138" s="1"/>
  <c r="L384" i="138" s="1"/>
  <c r="L385" i="138" s="1"/>
  <c r="L386" i="138" s="1"/>
  <c r="L387" i="138" s="1"/>
  <c r="L388" i="138" s="1"/>
  <c r="L389" i="138" s="1"/>
  <c r="L390" i="138" s="1"/>
  <c r="L391" i="138" s="1"/>
  <c r="L392" i="138" s="1"/>
  <c r="L393" i="138" s="1"/>
  <c r="L394" i="138" s="1"/>
  <c r="L395" i="138" s="1"/>
  <c r="L396" i="138" s="1"/>
  <c r="L397" i="138" s="1"/>
  <c r="L398" i="138" s="1"/>
  <c r="L399" i="138" s="1"/>
  <c r="L400" i="138" s="1"/>
  <c r="L401" i="138" s="1"/>
  <c r="L402" i="138" s="1"/>
  <c r="L403" i="138" s="1"/>
  <c r="L404" i="138" s="1"/>
  <c r="L405" i="138" s="1"/>
  <c r="L406" i="138" s="1"/>
  <c r="L407" i="138" s="1"/>
  <c r="L408" i="138" s="1"/>
  <c r="L409" i="138" s="1"/>
  <c r="L410" i="138" s="1"/>
  <c r="L411" i="138" s="1"/>
  <c r="L412" i="138" s="1"/>
  <c r="L413" i="138" s="1"/>
  <c r="L414" i="138" s="1"/>
  <c r="L415" i="138" s="1"/>
  <c r="L416" i="138" s="1"/>
  <c r="L417" i="138" s="1"/>
  <c r="L418" i="138" s="1"/>
  <c r="L419" i="138" s="1"/>
  <c r="L420" i="138" s="1"/>
  <c r="A317" i="138"/>
  <c r="A315" i="138"/>
  <c r="A314" i="138"/>
  <c r="A313" i="138"/>
  <c r="A312" i="138"/>
  <c r="A311" i="138"/>
  <c r="A310" i="138"/>
  <c r="A309" i="138"/>
  <c r="A308" i="138"/>
  <c r="A307" i="138"/>
  <c r="A306" i="138"/>
  <c r="A305" i="138"/>
  <c r="A304" i="138"/>
  <c r="A303" i="138"/>
  <c r="A302" i="138"/>
  <c r="A301" i="138"/>
  <c r="A300" i="138"/>
  <c r="A299" i="138"/>
  <c r="A298" i="138"/>
  <c r="A297" i="138"/>
  <c r="A296" i="138"/>
  <c r="A295" i="138"/>
  <c r="A294" i="138"/>
  <c r="A293" i="138"/>
  <c r="A292" i="138"/>
  <c r="A291" i="138"/>
  <c r="A290" i="138"/>
  <c r="A289" i="138"/>
  <c r="A288" i="138"/>
  <c r="A287" i="138"/>
  <c r="A286" i="138"/>
  <c r="A285" i="138"/>
  <c r="A284" i="138"/>
  <c r="A283" i="138"/>
  <c r="A282" i="138"/>
  <c r="A281" i="138"/>
  <c r="A280" i="138"/>
  <c r="A279" i="138"/>
  <c r="A278" i="138"/>
  <c r="A277" i="138"/>
  <c r="A276" i="138"/>
  <c r="A275" i="138"/>
  <c r="A274" i="138"/>
  <c r="A273" i="138"/>
  <c r="A272" i="138"/>
  <c r="A271" i="138"/>
  <c r="A270" i="138"/>
  <c r="A269" i="138"/>
  <c r="A268" i="138"/>
  <c r="A267" i="138"/>
  <c r="A266" i="138"/>
  <c r="A265" i="138"/>
  <c r="A264" i="138"/>
  <c r="A263" i="138"/>
  <c r="A262" i="138"/>
  <c r="A261" i="138"/>
  <c r="A260" i="138"/>
  <c r="A259" i="138"/>
  <c r="A258" i="138"/>
  <c r="A257" i="138"/>
  <c r="A256" i="138"/>
  <c r="A255" i="138"/>
  <c r="A254" i="138"/>
  <c r="A253" i="138"/>
  <c r="A252" i="138"/>
  <c r="A251" i="138"/>
  <c r="A250" i="138"/>
  <c r="A249" i="138"/>
  <c r="A248" i="138"/>
  <c r="A247" i="138"/>
  <c r="A246" i="138"/>
  <c r="A245" i="138"/>
  <c r="A244" i="138"/>
  <c r="A243" i="138"/>
  <c r="A242" i="138"/>
  <c r="A241" i="138"/>
  <c r="A240" i="138"/>
  <c r="A239" i="138"/>
  <c r="A238" i="138"/>
  <c r="A237" i="138"/>
  <c r="A236" i="138"/>
  <c r="A235" i="138"/>
  <c r="A234" i="138"/>
  <c r="A233" i="138"/>
  <c r="A232" i="138"/>
  <c r="A231" i="138"/>
  <c r="A230" i="138"/>
  <c r="A229" i="138"/>
  <c r="A228" i="138"/>
  <c r="A227" i="138"/>
  <c r="A226" i="138"/>
  <c r="A225" i="138"/>
  <c r="A224" i="138"/>
  <c r="A223" i="138"/>
  <c r="A222" i="138"/>
  <c r="A221" i="138"/>
  <c r="A220" i="138"/>
  <c r="A219" i="138"/>
  <c r="A218" i="138"/>
  <c r="A217" i="138"/>
  <c r="A216" i="138"/>
  <c r="A215" i="138"/>
  <c r="A214" i="138"/>
  <c r="A213" i="138"/>
  <c r="A212" i="138"/>
  <c r="E105" i="144"/>
  <c r="G105" i="144" s="1"/>
  <c r="E104" i="144"/>
  <c r="G104" i="144" s="1"/>
  <c r="E103" i="144"/>
  <c r="G103" i="144" s="1"/>
  <c r="E102" i="144"/>
  <c r="G102" i="144" s="1"/>
  <c r="E101" i="144"/>
  <c r="G101" i="144" s="1"/>
  <c r="E100" i="144"/>
  <c r="G100" i="144" s="1"/>
  <c r="E99" i="144"/>
  <c r="G99" i="144" s="1"/>
  <c r="E98" i="144"/>
  <c r="G98" i="144" s="1"/>
  <c r="E97" i="144"/>
  <c r="G97" i="144" s="1"/>
  <c r="E96" i="144"/>
  <c r="G96" i="144" s="1"/>
  <c r="E95" i="144"/>
  <c r="G95" i="144" s="1"/>
  <c r="E94" i="144"/>
  <c r="G94" i="144" s="1"/>
  <c r="E93" i="144"/>
  <c r="G93" i="144" s="1"/>
  <c r="E92" i="144"/>
  <c r="G92" i="144" s="1"/>
  <c r="E91" i="144"/>
  <c r="G91" i="144" s="1"/>
  <c r="E90" i="144"/>
  <c r="G90" i="144" s="1"/>
  <c r="E89" i="144"/>
  <c r="G89" i="144" s="1"/>
  <c r="E88" i="144"/>
  <c r="G88" i="144" s="1"/>
  <c r="E87" i="144"/>
  <c r="G87" i="144" s="1"/>
  <c r="E86" i="144"/>
  <c r="G86" i="144" s="1"/>
  <c r="E85" i="144"/>
  <c r="G85" i="144" s="1"/>
  <c r="E84" i="144"/>
  <c r="G84" i="144" s="1"/>
  <c r="E83" i="144"/>
  <c r="G83" i="144" s="1"/>
  <c r="E82" i="144"/>
  <c r="G82" i="144" s="1"/>
  <c r="E81" i="144"/>
  <c r="G81" i="144" s="1"/>
  <c r="E80" i="144"/>
  <c r="G80" i="144" s="1"/>
  <c r="E79" i="144"/>
  <c r="G79" i="144" s="1"/>
  <c r="E78" i="144"/>
  <c r="G78" i="144" s="1"/>
  <c r="E77" i="144"/>
  <c r="G77" i="144" s="1"/>
  <c r="E76" i="144"/>
  <c r="G76" i="144" s="1"/>
  <c r="E75" i="144"/>
  <c r="G75" i="144" s="1"/>
  <c r="E74" i="144"/>
  <c r="G74" i="144" s="1"/>
  <c r="E73" i="144"/>
  <c r="G73" i="144" s="1"/>
  <c r="E72" i="144"/>
  <c r="G72" i="144" s="1"/>
  <c r="E71" i="144"/>
  <c r="G71" i="144" s="1"/>
  <c r="E70" i="144"/>
  <c r="G70" i="144" s="1"/>
  <c r="E69" i="144"/>
  <c r="G69" i="144" s="1"/>
  <c r="E68" i="144"/>
  <c r="G68" i="144" s="1"/>
  <c r="E67" i="144"/>
  <c r="G67" i="144" s="1"/>
  <c r="E66" i="144"/>
  <c r="G66" i="144" s="1"/>
  <c r="E65" i="144"/>
  <c r="G65" i="144" s="1"/>
  <c r="E64" i="144"/>
  <c r="G64" i="144" s="1"/>
  <c r="E63" i="144"/>
  <c r="G63" i="144" s="1"/>
  <c r="G62" i="144"/>
  <c r="E62" i="144"/>
  <c r="E61" i="144"/>
  <c r="G61" i="144" s="1"/>
  <c r="E60" i="144"/>
  <c r="G60" i="144" s="1"/>
  <c r="E59" i="144"/>
  <c r="G59" i="144" s="1"/>
  <c r="E58" i="144"/>
  <c r="G58" i="144" s="1"/>
  <c r="E57" i="144"/>
  <c r="G57" i="144" s="1"/>
  <c r="E56" i="144"/>
  <c r="G56" i="144" s="1"/>
  <c r="E55" i="144"/>
  <c r="G55" i="144" s="1"/>
  <c r="E54" i="144"/>
  <c r="G54" i="144" s="1"/>
  <c r="E53" i="144"/>
  <c r="G53" i="144" s="1"/>
  <c r="E52" i="144"/>
  <c r="G52" i="144" s="1"/>
  <c r="E51" i="144"/>
  <c r="G51" i="144" s="1"/>
  <c r="E50" i="144"/>
  <c r="G50" i="144" s="1"/>
  <c r="E49" i="144"/>
  <c r="G49" i="144" s="1"/>
  <c r="E48" i="144"/>
  <c r="G48" i="144" s="1"/>
  <c r="E47" i="144"/>
  <c r="G47" i="144" s="1"/>
  <c r="E46" i="144"/>
  <c r="G46" i="144" s="1"/>
  <c r="E45" i="144"/>
  <c r="G45" i="144" s="1"/>
  <c r="E44" i="144"/>
  <c r="G44" i="144" s="1"/>
  <c r="E43" i="144"/>
  <c r="G43" i="144" s="1"/>
  <c r="E42" i="144"/>
  <c r="G42" i="144" s="1"/>
  <c r="E41" i="144"/>
  <c r="G41" i="144" s="1"/>
  <c r="E40" i="144"/>
  <c r="G40" i="144" s="1"/>
  <c r="E39" i="144"/>
  <c r="G39" i="144" s="1"/>
  <c r="E38" i="144"/>
  <c r="G38" i="144" s="1"/>
  <c r="E37" i="144"/>
  <c r="G37" i="144" s="1"/>
  <c r="E36" i="144"/>
  <c r="G36" i="144" s="1"/>
  <c r="E35" i="144"/>
  <c r="G35" i="144" s="1"/>
  <c r="E34" i="144"/>
  <c r="G34" i="144" s="1"/>
  <c r="E33" i="144"/>
  <c r="G33" i="144" s="1"/>
  <c r="E32" i="144"/>
  <c r="G32" i="144" s="1"/>
  <c r="E31" i="144"/>
  <c r="G31" i="144" s="1"/>
  <c r="E30" i="144"/>
  <c r="G30" i="144" s="1"/>
  <c r="E29" i="144"/>
  <c r="G29" i="144" s="1"/>
  <c r="E28" i="144"/>
  <c r="G28" i="144" s="1"/>
  <c r="E27" i="144"/>
  <c r="G27" i="144" s="1"/>
  <c r="E26" i="144"/>
  <c r="G26" i="144" s="1"/>
  <c r="E25" i="144"/>
  <c r="G25" i="144" s="1"/>
  <c r="E24" i="144"/>
  <c r="G24" i="144" s="1"/>
  <c r="E23" i="144"/>
  <c r="G23" i="144" s="1"/>
  <c r="E22" i="144"/>
  <c r="G22" i="144" s="1"/>
  <c r="E21" i="144"/>
  <c r="G21" i="144" s="1"/>
  <c r="E20" i="144"/>
  <c r="G20" i="144" s="1"/>
  <c r="E19" i="144"/>
  <c r="G19" i="144" s="1"/>
  <c r="E18" i="144"/>
  <c r="G18" i="144" s="1"/>
  <c r="E17" i="144"/>
  <c r="G17" i="144" s="1"/>
  <c r="E16" i="144"/>
  <c r="G16" i="144" s="1"/>
  <c r="E15" i="144"/>
  <c r="G15" i="144" s="1"/>
  <c r="E14" i="144"/>
  <c r="G14" i="144" s="1"/>
  <c r="E13" i="144"/>
  <c r="G13" i="144" s="1"/>
  <c r="E12" i="144"/>
  <c r="G12" i="144" s="1"/>
  <c r="E11" i="144"/>
  <c r="G11" i="144" s="1"/>
  <c r="E10" i="144"/>
  <c r="G10" i="144" s="1"/>
  <c r="E9" i="144"/>
  <c r="G9" i="144" s="1"/>
  <c r="E8" i="144"/>
  <c r="G8" i="144" s="1"/>
  <c r="E7" i="144"/>
  <c r="G7" i="144" s="1"/>
  <c r="E6" i="144"/>
  <c r="G6" i="144" s="1"/>
  <c r="E5" i="144"/>
  <c r="G5" i="144" s="1"/>
  <c r="E4" i="144"/>
  <c r="G4" i="144" s="1"/>
  <c r="E3" i="144"/>
  <c r="G3" i="144" s="1"/>
  <c r="A3" i="144"/>
  <c r="P3" i="144" s="1"/>
  <c r="R2" i="144"/>
  <c r="Q2" i="144"/>
  <c r="P2" i="144"/>
  <c r="O2" i="144"/>
  <c r="N2" i="144"/>
  <c r="M2" i="144"/>
  <c r="E2" i="144"/>
  <c r="G2" i="144" s="1"/>
  <c r="D2" i="144"/>
  <c r="S2" i="144" s="1"/>
  <c r="C2" i="144"/>
  <c r="B2" i="144"/>
  <c r="E105" i="143"/>
  <c r="G105" i="143" s="1"/>
  <c r="E104" i="143"/>
  <c r="G104" i="143" s="1"/>
  <c r="E103" i="143"/>
  <c r="G103" i="143" s="1"/>
  <c r="E102" i="143"/>
  <c r="G102" i="143" s="1"/>
  <c r="E101" i="143"/>
  <c r="G101" i="143" s="1"/>
  <c r="E100" i="143"/>
  <c r="G100" i="143" s="1"/>
  <c r="E99" i="143"/>
  <c r="G99" i="143" s="1"/>
  <c r="E98" i="143"/>
  <c r="G98" i="143" s="1"/>
  <c r="E97" i="143"/>
  <c r="G97" i="143" s="1"/>
  <c r="E96" i="143"/>
  <c r="G96" i="143" s="1"/>
  <c r="E95" i="143"/>
  <c r="G95" i="143" s="1"/>
  <c r="E94" i="143"/>
  <c r="G94" i="143" s="1"/>
  <c r="E93" i="143"/>
  <c r="G93" i="143" s="1"/>
  <c r="E92" i="143"/>
  <c r="G92" i="143" s="1"/>
  <c r="E91" i="143"/>
  <c r="G91" i="143" s="1"/>
  <c r="E90" i="143"/>
  <c r="G90" i="143" s="1"/>
  <c r="E89" i="143"/>
  <c r="G89" i="143" s="1"/>
  <c r="E88" i="143"/>
  <c r="G88" i="143" s="1"/>
  <c r="E87" i="143"/>
  <c r="G87" i="143" s="1"/>
  <c r="E86" i="143"/>
  <c r="G86" i="143" s="1"/>
  <c r="E85" i="143"/>
  <c r="G85" i="143" s="1"/>
  <c r="E84" i="143"/>
  <c r="G84" i="143" s="1"/>
  <c r="E83" i="143"/>
  <c r="G83" i="143" s="1"/>
  <c r="E82" i="143"/>
  <c r="G82" i="143" s="1"/>
  <c r="E81" i="143"/>
  <c r="G81" i="143" s="1"/>
  <c r="E80" i="143"/>
  <c r="G80" i="143" s="1"/>
  <c r="E79" i="143"/>
  <c r="G79" i="143" s="1"/>
  <c r="E78" i="143"/>
  <c r="G78" i="143" s="1"/>
  <c r="E77" i="143"/>
  <c r="G77" i="143" s="1"/>
  <c r="E76" i="143"/>
  <c r="G76" i="143" s="1"/>
  <c r="E75" i="143"/>
  <c r="G75" i="143" s="1"/>
  <c r="E74" i="143"/>
  <c r="G74" i="143" s="1"/>
  <c r="E73" i="143"/>
  <c r="G73" i="143" s="1"/>
  <c r="G72" i="143"/>
  <c r="E72" i="143"/>
  <c r="E71" i="143"/>
  <c r="G71" i="143" s="1"/>
  <c r="E70" i="143"/>
  <c r="G70" i="143" s="1"/>
  <c r="E69" i="143"/>
  <c r="G69" i="143" s="1"/>
  <c r="E68" i="143"/>
  <c r="G68" i="143" s="1"/>
  <c r="E67" i="143"/>
  <c r="G67" i="143" s="1"/>
  <c r="E66" i="143"/>
  <c r="G66" i="143" s="1"/>
  <c r="E65" i="143"/>
  <c r="G65" i="143" s="1"/>
  <c r="E64" i="143"/>
  <c r="G64" i="143" s="1"/>
  <c r="E63" i="143"/>
  <c r="G63" i="143" s="1"/>
  <c r="E62" i="143"/>
  <c r="G62" i="143" s="1"/>
  <c r="E61" i="143"/>
  <c r="G61" i="143" s="1"/>
  <c r="E60" i="143"/>
  <c r="G60" i="143" s="1"/>
  <c r="E59" i="143"/>
  <c r="G59" i="143" s="1"/>
  <c r="E58" i="143"/>
  <c r="G58" i="143" s="1"/>
  <c r="E57" i="143"/>
  <c r="G57" i="143" s="1"/>
  <c r="E56" i="143"/>
  <c r="G56" i="143" s="1"/>
  <c r="E55" i="143"/>
  <c r="G55" i="143" s="1"/>
  <c r="E54" i="143"/>
  <c r="G54" i="143" s="1"/>
  <c r="E53" i="143"/>
  <c r="G53" i="143" s="1"/>
  <c r="E52" i="143"/>
  <c r="G52" i="143" s="1"/>
  <c r="E51" i="143"/>
  <c r="G51" i="143" s="1"/>
  <c r="E50" i="143"/>
  <c r="G50" i="143" s="1"/>
  <c r="E49" i="143"/>
  <c r="G49" i="143" s="1"/>
  <c r="E48" i="143"/>
  <c r="G48" i="143" s="1"/>
  <c r="E47" i="143"/>
  <c r="G47" i="143" s="1"/>
  <c r="E46" i="143"/>
  <c r="G46" i="143" s="1"/>
  <c r="E45" i="143"/>
  <c r="G45" i="143" s="1"/>
  <c r="E44" i="143"/>
  <c r="G44" i="143" s="1"/>
  <c r="E43" i="143"/>
  <c r="G43" i="143" s="1"/>
  <c r="E42" i="143"/>
  <c r="G42" i="143" s="1"/>
  <c r="E41" i="143"/>
  <c r="G41" i="143" s="1"/>
  <c r="E40" i="143"/>
  <c r="G40" i="143" s="1"/>
  <c r="E39" i="143"/>
  <c r="G39" i="143" s="1"/>
  <c r="E38" i="143"/>
  <c r="G38" i="143" s="1"/>
  <c r="E37" i="143"/>
  <c r="G37" i="143" s="1"/>
  <c r="E36" i="143"/>
  <c r="G36" i="143" s="1"/>
  <c r="E35" i="143"/>
  <c r="G35" i="143" s="1"/>
  <c r="E34" i="143"/>
  <c r="G34" i="143" s="1"/>
  <c r="E33" i="143"/>
  <c r="G33" i="143" s="1"/>
  <c r="E32" i="143"/>
  <c r="G32" i="143" s="1"/>
  <c r="E31" i="143"/>
  <c r="G31" i="143" s="1"/>
  <c r="E30" i="143"/>
  <c r="G30" i="143" s="1"/>
  <c r="E29" i="143"/>
  <c r="G29" i="143" s="1"/>
  <c r="E28" i="143"/>
  <c r="G28" i="143" s="1"/>
  <c r="E27" i="143"/>
  <c r="G27" i="143" s="1"/>
  <c r="E26" i="143"/>
  <c r="G26" i="143" s="1"/>
  <c r="E25" i="143"/>
  <c r="G25" i="143" s="1"/>
  <c r="E24" i="143"/>
  <c r="G24" i="143" s="1"/>
  <c r="E23" i="143"/>
  <c r="G23" i="143" s="1"/>
  <c r="E22" i="143"/>
  <c r="G22" i="143" s="1"/>
  <c r="E21" i="143"/>
  <c r="G21" i="143" s="1"/>
  <c r="E20" i="143"/>
  <c r="G20" i="143" s="1"/>
  <c r="E19" i="143"/>
  <c r="G19" i="143" s="1"/>
  <c r="E18" i="143"/>
  <c r="G18" i="143" s="1"/>
  <c r="E17" i="143"/>
  <c r="G17" i="143" s="1"/>
  <c r="E16" i="143"/>
  <c r="G16" i="143" s="1"/>
  <c r="E15" i="143"/>
  <c r="G15" i="143" s="1"/>
  <c r="E14" i="143"/>
  <c r="G14" i="143" s="1"/>
  <c r="E13" i="143"/>
  <c r="G13" i="143" s="1"/>
  <c r="E12" i="143"/>
  <c r="G12" i="143" s="1"/>
  <c r="E11" i="143"/>
  <c r="G11" i="143" s="1"/>
  <c r="E10" i="143"/>
  <c r="G10" i="143" s="1"/>
  <c r="E9" i="143"/>
  <c r="G9" i="143" s="1"/>
  <c r="E8" i="143"/>
  <c r="G8" i="143" s="1"/>
  <c r="E7" i="143"/>
  <c r="G7" i="143" s="1"/>
  <c r="E6" i="143"/>
  <c r="G6" i="143" s="1"/>
  <c r="E5" i="143"/>
  <c r="G5" i="143" s="1"/>
  <c r="E4" i="143"/>
  <c r="G4" i="143" s="1"/>
  <c r="E3" i="143"/>
  <c r="G3" i="143" s="1"/>
  <c r="A3" i="143"/>
  <c r="A4" i="143" s="1"/>
  <c r="R2" i="143"/>
  <c r="Q2" i="143"/>
  <c r="P2" i="143"/>
  <c r="O2" i="143"/>
  <c r="N2" i="143"/>
  <c r="M2" i="143"/>
  <c r="E2" i="143"/>
  <c r="G2" i="143" s="1"/>
  <c r="D2" i="143"/>
  <c r="S2" i="143" s="1"/>
  <c r="C2" i="143"/>
  <c r="B2" i="143"/>
  <c r="E105" i="136"/>
  <c r="G105" i="136" s="1"/>
  <c r="E104" i="136"/>
  <c r="G104" i="136" s="1"/>
  <c r="E103" i="136"/>
  <c r="G103" i="136" s="1"/>
  <c r="E102" i="136"/>
  <c r="G102" i="136" s="1"/>
  <c r="E105" i="135"/>
  <c r="G105" i="135" s="1"/>
  <c r="E104" i="135"/>
  <c r="G104" i="135" s="1"/>
  <c r="E103" i="135"/>
  <c r="G103" i="135" s="1"/>
  <c r="E102" i="135"/>
  <c r="G102" i="135" s="1"/>
  <c r="D10" i="141" l="1"/>
  <c r="D11" i="141"/>
  <c r="D14" i="141"/>
  <c r="D15" i="141"/>
  <c r="D16" i="141"/>
  <c r="E10" i="141"/>
  <c r="E11" i="141"/>
  <c r="E12" i="141"/>
  <c r="E14" i="141"/>
  <c r="E15" i="141"/>
  <c r="E16" i="141"/>
  <c r="A11" i="141"/>
  <c r="A15" i="141"/>
  <c r="B317" i="138"/>
  <c r="B212" i="138"/>
  <c r="L3" i="144"/>
  <c r="AB3" i="144"/>
  <c r="B15" i="141" s="1"/>
  <c r="C3" i="144"/>
  <c r="H3" i="144"/>
  <c r="U3" i="144" s="1"/>
  <c r="AD2" i="144"/>
  <c r="AB2" i="144"/>
  <c r="B14" i="141" s="1"/>
  <c r="K2" i="144"/>
  <c r="I2" i="144"/>
  <c r="V2" i="144" s="1"/>
  <c r="J2" i="144"/>
  <c r="W2" i="144" s="1"/>
  <c r="AC2" i="144"/>
  <c r="H2" i="144"/>
  <c r="U2" i="144" s="1"/>
  <c r="L2" i="144"/>
  <c r="A4" i="144"/>
  <c r="AC3" i="144"/>
  <c r="Q3" i="144"/>
  <c r="T3" i="144" s="1"/>
  <c r="O3" i="144"/>
  <c r="M3" i="144"/>
  <c r="K3" i="144"/>
  <c r="I3" i="144"/>
  <c r="V3" i="144" s="1"/>
  <c r="D3" i="144"/>
  <c r="B3" i="144"/>
  <c r="N3" i="144"/>
  <c r="R3" i="144"/>
  <c r="AD3" i="144"/>
  <c r="AD2" i="143"/>
  <c r="AB2" i="143"/>
  <c r="B10" i="141" s="1"/>
  <c r="K2" i="143"/>
  <c r="I2" i="143"/>
  <c r="V2" i="143" s="1"/>
  <c r="L2" i="143"/>
  <c r="J2" i="143"/>
  <c r="W2" i="143" s="1"/>
  <c r="H2" i="143"/>
  <c r="U2" i="143" s="1"/>
  <c r="AC2" i="143"/>
  <c r="AD4" i="143"/>
  <c r="AB4" i="143"/>
  <c r="R4" i="143"/>
  <c r="P4" i="143"/>
  <c r="N4" i="143"/>
  <c r="L4" i="143"/>
  <c r="H4" i="143"/>
  <c r="U4" i="143" s="1"/>
  <c r="C4" i="143"/>
  <c r="A5" i="143"/>
  <c r="AC4" i="143"/>
  <c r="Q4" i="143"/>
  <c r="O4" i="143"/>
  <c r="M4" i="143"/>
  <c r="K4" i="143"/>
  <c r="I4" i="143"/>
  <c r="V4" i="143" s="1"/>
  <c r="D4" i="143"/>
  <c r="B4" i="143"/>
  <c r="C3" i="143"/>
  <c r="H3" i="143"/>
  <c r="U3" i="143" s="1"/>
  <c r="L3" i="143"/>
  <c r="N3" i="143"/>
  <c r="P3" i="143"/>
  <c r="R3" i="143"/>
  <c r="AB3" i="143"/>
  <c r="AD3" i="143"/>
  <c r="B3" i="143"/>
  <c r="D3" i="143"/>
  <c r="I3" i="143"/>
  <c r="V3" i="143" s="1"/>
  <c r="K3" i="143"/>
  <c r="M3" i="143"/>
  <c r="O3" i="143"/>
  <c r="Q3" i="143"/>
  <c r="T3" i="143" s="1"/>
  <c r="AC3" i="143"/>
  <c r="C11" i="141" s="1"/>
  <c r="B11" i="141" l="1"/>
  <c r="C10" i="141"/>
  <c r="C15" i="141"/>
  <c r="C14" i="141"/>
  <c r="A16" i="141"/>
  <c r="A12" i="141"/>
  <c r="B12" i="141" s="1"/>
  <c r="H317" i="138"/>
  <c r="C317" i="138"/>
  <c r="D317" i="138"/>
  <c r="H212" i="138"/>
  <c r="I212" i="138"/>
  <c r="C212" i="138"/>
  <c r="I317" i="138"/>
  <c r="D212" i="138"/>
  <c r="B213" i="138"/>
  <c r="B318" i="138"/>
  <c r="S3" i="144"/>
  <c r="J3" i="144"/>
  <c r="W3" i="144" s="1"/>
  <c r="Y2" i="144"/>
  <c r="Y3" i="144"/>
  <c r="Z3" i="144" s="1"/>
  <c r="AD4" i="144"/>
  <c r="AB4" i="144"/>
  <c r="R4" i="144"/>
  <c r="P4" i="144"/>
  <c r="N4" i="144"/>
  <c r="L4" i="144"/>
  <c r="H4" i="144"/>
  <c r="U4" i="144" s="1"/>
  <c r="C4" i="144"/>
  <c r="A5" i="144"/>
  <c r="O4" i="144"/>
  <c r="K4" i="144"/>
  <c r="D4" i="144"/>
  <c r="AC4" i="144"/>
  <c r="Q4" i="144"/>
  <c r="T4" i="144" s="1"/>
  <c r="M4" i="144"/>
  <c r="I4" i="144"/>
  <c r="V4" i="144" s="1"/>
  <c r="B4" i="144"/>
  <c r="S3" i="143"/>
  <c r="J3" i="143"/>
  <c r="W3" i="143" s="1"/>
  <c r="J4" i="143"/>
  <c r="W4" i="143" s="1"/>
  <c r="S4" i="143"/>
  <c r="Y2" i="143"/>
  <c r="T4" i="143"/>
  <c r="Y3" i="143"/>
  <c r="Z3" i="143" s="1"/>
  <c r="A6" i="143"/>
  <c r="AC5" i="143"/>
  <c r="Q5" i="143"/>
  <c r="O5" i="143"/>
  <c r="M5" i="143"/>
  <c r="K5" i="143"/>
  <c r="I5" i="143"/>
  <c r="D5" i="143"/>
  <c r="B5" i="143"/>
  <c r="AD5" i="143"/>
  <c r="AB5" i="143"/>
  <c r="R5" i="143"/>
  <c r="P5" i="143"/>
  <c r="N5" i="143"/>
  <c r="L5" i="143"/>
  <c r="H5" i="143"/>
  <c r="C5" i="143"/>
  <c r="C16" i="141" l="1"/>
  <c r="C12" i="141"/>
  <c r="B16" i="141"/>
  <c r="Z2" i="143"/>
  <c r="F212" i="138" s="1"/>
  <c r="AA2" i="143"/>
  <c r="AA3" i="143"/>
  <c r="E212" i="138"/>
  <c r="C318" i="138"/>
  <c r="F318" i="138"/>
  <c r="H318" i="138"/>
  <c r="I318" i="138"/>
  <c r="D318" i="138"/>
  <c r="X2" i="144"/>
  <c r="AA3" i="144"/>
  <c r="E318" i="138" s="1"/>
  <c r="E213" i="138"/>
  <c r="C213" i="138"/>
  <c r="F213" i="138"/>
  <c r="H213" i="138"/>
  <c r="D213" i="138"/>
  <c r="I213" i="138"/>
  <c r="B319" i="138"/>
  <c r="B214" i="138"/>
  <c r="X3" i="144"/>
  <c r="Z2" i="144"/>
  <c r="AA2" i="144"/>
  <c r="E317" i="138" s="1"/>
  <c r="Y4" i="144"/>
  <c r="Z4" i="144" s="1"/>
  <c r="J4" i="144"/>
  <c r="W4" i="144" s="1"/>
  <c r="S4" i="144"/>
  <c r="A6" i="144"/>
  <c r="AC5" i="144"/>
  <c r="Q5" i="144"/>
  <c r="T5" i="144" s="1"/>
  <c r="O5" i="144"/>
  <c r="M5" i="144"/>
  <c r="K5" i="144"/>
  <c r="I5" i="144"/>
  <c r="D5" i="144"/>
  <c r="B5" i="144"/>
  <c r="AD5" i="144"/>
  <c r="R5" i="144"/>
  <c r="N5" i="144"/>
  <c r="AB5" i="144"/>
  <c r="P5" i="144"/>
  <c r="L5" i="144"/>
  <c r="H5" i="144"/>
  <c r="C5" i="144"/>
  <c r="X3" i="143"/>
  <c r="G213" i="138" s="1"/>
  <c r="X2" i="143"/>
  <c r="T5" i="143"/>
  <c r="Y4" i="143"/>
  <c r="AD6" i="143"/>
  <c r="AB6" i="143"/>
  <c r="R6" i="143"/>
  <c r="P6" i="143"/>
  <c r="N6" i="143"/>
  <c r="L6" i="143"/>
  <c r="H6" i="143"/>
  <c r="C6" i="143"/>
  <c r="A7" i="143"/>
  <c r="AC6" i="143"/>
  <c r="Q6" i="143"/>
  <c r="O6" i="143"/>
  <c r="M6" i="143"/>
  <c r="K6" i="143"/>
  <c r="I6" i="143"/>
  <c r="D6" i="143"/>
  <c r="B6" i="143"/>
  <c r="S5" i="143"/>
  <c r="J5" i="143"/>
  <c r="W5" i="143" s="1"/>
  <c r="AA4" i="144" l="1"/>
  <c r="Z4" i="143"/>
  <c r="F214" i="138" s="1"/>
  <c r="AA4" i="143"/>
  <c r="E214" i="138" s="1"/>
  <c r="H319" i="138"/>
  <c r="F319" i="138"/>
  <c r="C319" i="138"/>
  <c r="I319" i="138"/>
  <c r="E319" i="138"/>
  <c r="D319" i="138"/>
  <c r="G318" i="138"/>
  <c r="G212" i="138"/>
  <c r="F317" i="138"/>
  <c r="H214" i="138"/>
  <c r="C214" i="138"/>
  <c r="D214" i="138"/>
  <c r="I214" i="138"/>
  <c r="G317" i="138"/>
  <c r="B215" i="138"/>
  <c r="B320" i="138"/>
  <c r="S5" i="144"/>
  <c r="J5" i="144"/>
  <c r="W5" i="144" s="1"/>
  <c r="Y5" i="144"/>
  <c r="Z5" i="144" s="1"/>
  <c r="AD6" i="144"/>
  <c r="AB6" i="144"/>
  <c r="R6" i="144"/>
  <c r="P6" i="144"/>
  <c r="N6" i="144"/>
  <c r="L6" i="144"/>
  <c r="H6" i="144"/>
  <c r="C6" i="144"/>
  <c r="A7" i="144"/>
  <c r="O6" i="144"/>
  <c r="K6" i="144"/>
  <c r="D6" i="144"/>
  <c r="AC6" i="144"/>
  <c r="Q6" i="144"/>
  <c r="T6" i="144" s="1"/>
  <c r="M6" i="144"/>
  <c r="I6" i="144"/>
  <c r="B6" i="144"/>
  <c r="X4" i="144"/>
  <c r="G319" i="138" s="1"/>
  <c r="A8" i="143"/>
  <c r="AC7" i="143"/>
  <c r="Q7" i="143"/>
  <c r="O7" i="143"/>
  <c r="M7" i="143"/>
  <c r="K7" i="143"/>
  <c r="I7" i="143"/>
  <c r="D7" i="143"/>
  <c r="B7" i="143"/>
  <c r="AD7" i="143"/>
  <c r="AB7" i="143"/>
  <c r="R7" i="143"/>
  <c r="P7" i="143"/>
  <c r="N7" i="143"/>
  <c r="L7" i="143"/>
  <c r="H7" i="143"/>
  <c r="C7" i="143"/>
  <c r="T6" i="143"/>
  <c r="Y5" i="143"/>
  <c r="Z5" i="143" s="1"/>
  <c r="J6" i="143"/>
  <c r="W6" i="143" s="1"/>
  <c r="S6" i="143"/>
  <c r="X4" i="143"/>
  <c r="G214" i="138" s="1"/>
  <c r="AA5" i="143" l="1"/>
  <c r="AA5" i="144"/>
  <c r="E320" i="138" s="1"/>
  <c r="F320" i="138"/>
  <c r="I320" i="138"/>
  <c r="D320" i="138"/>
  <c r="E215" i="138"/>
  <c r="D215" i="138"/>
  <c r="F215" i="138"/>
  <c r="I215" i="138"/>
  <c r="B321" i="138"/>
  <c r="B216" i="138"/>
  <c r="X5" i="144"/>
  <c r="G320" i="138" s="1"/>
  <c r="Y6" i="144"/>
  <c r="Z6" i="144" s="1"/>
  <c r="J6" i="144"/>
  <c r="W6" i="144" s="1"/>
  <c r="S6" i="144"/>
  <c r="AA6" i="144" s="1"/>
  <c r="A8" i="144"/>
  <c r="AC7" i="144"/>
  <c r="Q7" i="144"/>
  <c r="T7" i="144" s="1"/>
  <c r="O7" i="144"/>
  <c r="M7" i="144"/>
  <c r="K7" i="144"/>
  <c r="I7" i="144"/>
  <c r="D7" i="144"/>
  <c r="B7" i="144"/>
  <c r="AD7" i="144"/>
  <c r="R7" i="144"/>
  <c r="N7" i="144"/>
  <c r="AB7" i="144"/>
  <c r="P7" i="144"/>
  <c r="L7" i="144"/>
  <c r="H7" i="144"/>
  <c r="C7" i="144"/>
  <c r="X5" i="143"/>
  <c r="G215" i="138" s="1"/>
  <c r="T7" i="143"/>
  <c r="Y6" i="143"/>
  <c r="S7" i="143"/>
  <c r="J7" i="143"/>
  <c r="W7" i="143" s="1"/>
  <c r="AD8" i="143"/>
  <c r="AB8" i="143"/>
  <c r="R8" i="143"/>
  <c r="P8" i="143"/>
  <c r="N8" i="143"/>
  <c r="L8" i="143"/>
  <c r="H8" i="143"/>
  <c r="C8" i="143"/>
  <c r="A9" i="143"/>
  <c r="AC8" i="143"/>
  <c r="Q8" i="143"/>
  <c r="O8" i="143"/>
  <c r="M8" i="143"/>
  <c r="K8" i="143"/>
  <c r="I8" i="143"/>
  <c r="D8" i="143"/>
  <c r="B8" i="143"/>
  <c r="Z6" i="143" l="1"/>
  <c r="AA6" i="143"/>
  <c r="F321" i="138"/>
  <c r="I321" i="138"/>
  <c r="E321" i="138"/>
  <c r="D321" i="138"/>
  <c r="F216" i="138"/>
  <c r="E216" i="138"/>
  <c r="D216" i="138"/>
  <c r="I216" i="138"/>
  <c r="B217" i="138"/>
  <c r="B322" i="138"/>
  <c r="Y7" i="144"/>
  <c r="Z7" i="144" s="1"/>
  <c r="AD8" i="144"/>
  <c r="AB8" i="144"/>
  <c r="R8" i="144"/>
  <c r="P8" i="144"/>
  <c r="N8" i="144"/>
  <c r="L8" i="144"/>
  <c r="H8" i="144"/>
  <c r="C8" i="144"/>
  <c r="A9" i="144"/>
  <c r="O8" i="144"/>
  <c r="K8" i="144"/>
  <c r="D8" i="144"/>
  <c r="AC8" i="144"/>
  <c r="Q8" i="144"/>
  <c r="T8" i="144" s="1"/>
  <c r="M8" i="144"/>
  <c r="I8" i="144"/>
  <c r="B8" i="144"/>
  <c r="S7" i="144"/>
  <c r="AA7" i="144" s="1"/>
  <c r="J7" i="144"/>
  <c r="W7" i="144" s="1"/>
  <c r="X6" i="144"/>
  <c r="G321" i="138" s="1"/>
  <c r="A10" i="143"/>
  <c r="AC9" i="143"/>
  <c r="Q9" i="143"/>
  <c r="O9" i="143"/>
  <c r="M9" i="143"/>
  <c r="K9" i="143"/>
  <c r="I9" i="143"/>
  <c r="D9" i="143"/>
  <c r="B9" i="143"/>
  <c r="AD9" i="143"/>
  <c r="AB9" i="143"/>
  <c r="R9" i="143"/>
  <c r="P9" i="143"/>
  <c r="N9" i="143"/>
  <c r="L9" i="143"/>
  <c r="H9" i="143"/>
  <c r="C9" i="143"/>
  <c r="X6" i="143"/>
  <c r="G216" i="138" s="1"/>
  <c r="J8" i="143"/>
  <c r="W8" i="143" s="1"/>
  <c r="S8" i="143"/>
  <c r="T8" i="143"/>
  <c r="Y7" i="143"/>
  <c r="Z7" i="143" s="1"/>
  <c r="AA7" i="143" l="1"/>
  <c r="X7" i="144"/>
  <c r="G322" i="138" s="1"/>
  <c r="E217" i="138"/>
  <c r="F217" i="138"/>
  <c r="D217" i="138"/>
  <c r="I217" i="138"/>
  <c r="E322" i="138"/>
  <c r="F322" i="138"/>
  <c r="I322" i="138"/>
  <c r="D322" i="138"/>
  <c r="B323" i="138"/>
  <c r="B218" i="138"/>
  <c r="Y8" i="144"/>
  <c r="Z8" i="144" s="1"/>
  <c r="J8" i="144"/>
  <c r="W8" i="144" s="1"/>
  <c r="S8" i="144"/>
  <c r="AA8" i="144" s="1"/>
  <c r="A10" i="144"/>
  <c r="AC9" i="144"/>
  <c r="Q9" i="144"/>
  <c r="T9" i="144" s="1"/>
  <c r="O9" i="144"/>
  <c r="M9" i="144"/>
  <c r="K9" i="144"/>
  <c r="I9" i="144"/>
  <c r="D9" i="144"/>
  <c r="B9" i="144"/>
  <c r="AD9" i="144"/>
  <c r="R9" i="144"/>
  <c r="N9" i="144"/>
  <c r="AB9" i="144"/>
  <c r="P9" i="144"/>
  <c r="L9" i="144"/>
  <c r="H9" i="144"/>
  <c r="C9" i="144"/>
  <c r="X7" i="143"/>
  <c r="G217" i="138" s="1"/>
  <c r="T9" i="143"/>
  <c r="Y8" i="143"/>
  <c r="Z8" i="143" s="1"/>
  <c r="AD10" i="143"/>
  <c r="AB10" i="143"/>
  <c r="R10" i="143"/>
  <c r="P10" i="143"/>
  <c r="N10" i="143"/>
  <c r="L10" i="143"/>
  <c r="H10" i="143"/>
  <c r="C10" i="143"/>
  <c r="A11" i="143"/>
  <c r="AC10" i="143"/>
  <c r="Q10" i="143"/>
  <c r="O10" i="143"/>
  <c r="M10" i="143"/>
  <c r="K10" i="143"/>
  <c r="I10" i="143"/>
  <c r="D10" i="143"/>
  <c r="B10" i="143"/>
  <c r="S9" i="143"/>
  <c r="J9" i="143"/>
  <c r="W9" i="143" s="1"/>
  <c r="AA8" i="143" l="1"/>
  <c r="F323" i="138"/>
  <c r="I323" i="138"/>
  <c r="E323" i="138"/>
  <c r="D323" i="138"/>
  <c r="F218" i="138"/>
  <c r="E218" i="138"/>
  <c r="D218" i="138"/>
  <c r="I218" i="138"/>
  <c r="B219" i="138"/>
  <c r="B324" i="138"/>
  <c r="S9" i="144"/>
  <c r="J9" i="144"/>
  <c r="W9" i="144" s="1"/>
  <c r="Y9" i="144"/>
  <c r="Z9" i="144" s="1"/>
  <c r="AD10" i="144"/>
  <c r="AB10" i="144"/>
  <c r="R10" i="144"/>
  <c r="P10" i="144"/>
  <c r="N10" i="144"/>
  <c r="L10" i="144"/>
  <c r="H10" i="144"/>
  <c r="C10" i="144"/>
  <c r="A11" i="144"/>
  <c r="O10" i="144"/>
  <c r="K10" i="144"/>
  <c r="D10" i="144"/>
  <c r="AC10" i="144"/>
  <c r="Q10" i="144"/>
  <c r="T10" i="144" s="1"/>
  <c r="M10" i="144"/>
  <c r="I10" i="144"/>
  <c r="B10" i="144"/>
  <c r="X8" i="144"/>
  <c r="G323" i="138" s="1"/>
  <c r="J10" i="143"/>
  <c r="W10" i="143" s="1"/>
  <c r="S10" i="143"/>
  <c r="X8" i="143"/>
  <c r="A12" i="143"/>
  <c r="AC11" i="143"/>
  <c r="Q11" i="143"/>
  <c r="O11" i="143"/>
  <c r="M11" i="143"/>
  <c r="K11" i="143"/>
  <c r="I11" i="143"/>
  <c r="D11" i="143"/>
  <c r="B11" i="143"/>
  <c r="AD11" i="143"/>
  <c r="AB11" i="143"/>
  <c r="R11" i="143"/>
  <c r="P11" i="143"/>
  <c r="N11" i="143"/>
  <c r="L11" i="143"/>
  <c r="H11" i="143"/>
  <c r="C11" i="143"/>
  <c r="T10" i="143"/>
  <c r="Y9" i="143"/>
  <c r="Z9" i="143" s="1"/>
  <c r="AA9" i="143" l="1"/>
  <c r="AA9" i="144"/>
  <c r="E324" i="138" s="1"/>
  <c r="F324" i="138"/>
  <c r="D324" i="138"/>
  <c r="I324" i="138"/>
  <c r="G218" i="138"/>
  <c r="E219" i="138"/>
  <c r="D219" i="138"/>
  <c r="F219" i="138"/>
  <c r="I219" i="138"/>
  <c r="B325" i="138"/>
  <c r="B220" i="138"/>
  <c r="Y10" i="144"/>
  <c r="Z10" i="144" s="1"/>
  <c r="A12" i="144"/>
  <c r="AC11" i="144"/>
  <c r="Q11" i="144"/>
  <c r="T11" i="144" s="1"/>
  <c r="O11" i="144"/>
  <c r="M11" i="144"/>
  <c r="K11" i="144"/>
  <c r="I11" i="144"/>
  <c r="D11" i="144"/>
  <c r="B11" i="144"/>
  <c r="AD11" i="144"/>
  <c r="R11" i="144"/>
  <c r="N11" i="144"/>
  <c r="AB11" i="144"/>
  <c r="P11" i="144"/>
  <c r="L11" i="144"/>
  <c r="H11" i="144"/>
  <c r="C11" i="144"/>
  <c r="X9" i="143"/>
  <c r="J10" i="144"/>
  <c r="W10" i="144" s="1"/>
  <c r="S10" i="144"/>
  <c r="X9" i="144"/>
  <c r="T11" i="143"/>
  <c r="Y10" i="143"/>
  <c r="Z10" i="143" s="1"/>
  <c r="AD12" i="143"/>
  <c r="AB12" i="143"/>
  <c r="R12" i="143"/>
  <c r="P12" i="143"/>
  <c r="N12" i="143"/>
  <c r="L12" i="143"/>
  <c r="H12" i="143"/>
  <c r="C12" i="143"/>
  <c r="A13" i="143"/>
  <c r="AC12" i="143"/>
  <c r="Q12" i="143"/>
  <c r="O12" i="143"/>
  <c r="M12" i="143"/>
  <c r="K12" i="143"/>
  <c r="I12" i="143"/>
  <c r="D12" i="143"/>
  <c r="B12" i="143"/>
  <c r="S11" i="143"/>
  <c r="J11" i="143"/>
  <c r="W11" i="143" s="1"/>
  <c r="AA10" i="144" l="1"/>
  <c r="AA10" i="143"/>
  <c r="F220" i="138"/>
  <c r="E220" i="138"/>
  <c r="I220" i="138"/>
  <c r="D220" i="138"/>
  <c r="G219" i="138"/>
  <c r="G324" i="138"/>
  <c r="F325" i="138"/>
  <c r="I325" i="138"/>
  <c r="E325" i="138"/>
  <c r="D325" i="138"/>
  <c r="B221" i="138"/>
  <c r="B326" i="138"/>
  <c r="S11" i="144"/>
  <c r="J11" i="144"/>
  <c r="W11" i="144" s="1"/>
  <c r="Y11" i="144"/>
  <c r="Z11" i="144" s="1"/>
  <c r="AD12" i="144"/>
  <c r="AB12" i="144"/>
  <c r="R12" i="144"/>
  <c r="P12" i="144"/>
  <c r="N12" i="144"/>
  <c r="L12" i="144"/>
  <c r="H12" i="144"/>
  <c r="C12" i="144"/>
  <c r="A13" i="144"/>
  <c r="O12" i="144"/>
  <c r="K12" i="144"/>
  <c r="D12" i="144"/>
  <c r="AC12" i="144"/>
  <c r="Q12" i="144"/>
  <c r="T12" i="144" s="1"/>
  <c r="M12" i="144"/>
  <c r="I12" i="144"/>
  <c r="B12" i="144"/>
  <c r="X10" i="144"/>
  <c r="G325" i="138" s="1"/>
  <c r="A14" i="143"/>
  <c r="AC13" i="143"/>
  <c r="Q13" i="143"/>
  <c r="O13" i="143"/>
  <c r="M13" i="143"/>
  <c r="K13" i="143"/>
  <c r="I13" i="143"/>
  <c r="D13" i="143"/>
  <c r="B13" i="143"/>
  <c r="AD13" i="143"/>
  <c r="AB13" i="143"/>
  <c r="R13" i="143"/>
  <c r="P13" i="143"/>
  <c r="N13" i="143"/>
  <c r="L13" i="143"/>
  <c r="H13" i="143"/>
  <c r="C13" i="143"/>
  <c r="X10" i="143"/>
  <c r="G220" i="138" s="1"/>
  <c r="J12" i="143"/>
  <c r="W12" i="143" s="1"/>
  <c r="S12" i="143"/>
  <c r="T12" i="143"/>
  <c r="Y11" i="143"/>
  <c r="Z11" i="143" l="1"/>
  <c r="AA11" i="143"/>
  <c r="E221" i="138" s="1"/>
  <c r="F221" i="138"/>
  <c r="D221" i="138"/>
  <c r="I221" i="138"/>
  <c r="AA11" i="144"/>
  <c r="E326" i="138" s="1"/>
  <c r="F326" i="138"/>
  <c r="I326" i="138"/>
  <c r="D326" i="138"/>
  <c r="B327" i="138"/>
  <c r="B222" i="138"/>
  <c r="X11" i="144"/>
  <c r="Y12" i="144"/>
  <c r="Z12" i="144" s="1"/>
  <c r="J12" i="144"/>
  <c r="W12" i="144" s="1"/>
  <c r="S12" i="144"/>
  <c r="AA12" i="144" s="1"/>
  <c r="A14" i="144"/>
  <c r="AC13" i="144"/>
  <c r="Q13" i="144"/>
  <c r="T13" i="144" s="1"/>
  <c r="O13" i="144"/>
  <c r="M13" i="144"/>
  <c r="K13" i="144"/>
  <c r="I13" i="144"/>
  <c r="D13" i="144"/>
  <c r="B13" i="144"/>
  <c r="AD13" i="144"/>
  <c r="R13" i="144"/>
  <c r="N13" i="144"/>
  <c r="AB13" i="144"/>
  <c r="P13" i="144"/>
  <c r="L13" i="144"/>
  <c r="H13" i="144"/>
  <c r="C13" i="144"/>
  <c r="X11" i="143"/>
  <c r="G221" i="138" s="1"/>
  <c r="T13" i="143"/>
  <c r="Y12" i="143"/>
  <c r="AD14" i="143"/>
  <c r="AB14" i="143"/>
  <c r="R14" i="143"/>
  <c r="P14" i="143"/>
  <c r="N14" i="143"/>
  <c r="L14" i="143"/>
  <c r="H14" i="143"/>
  <c r="C14" i="143"/>
  <c r="A15" i="143"/>
  <c r="AC14" i="143"/>
  <c r="Q14" i="143"/>
  <c r="O14" i="143"/>
  <c r="M14" i="143"/>
  <c r="K14" i="143"/>
  <c r="I14" i="143"/>
  <c r="D14" i="143"/>
  <c r="B14" i="143"/>
  <c r="S13" i="143"/>
  <c r="J13" i="143"/>
  <c r="W13" i="143" s="1"/>
  <c r="Z12" i="143" l="1"/>
  <c r="AA12" i="143"/>
  <c r="E222" i="138" s="1"/>
  <c r="F222" i="138"/>
  <c r="D222" i="138"/>
  <c r="I222" i="138"/>
  <c r="G326" i="138"/>
  <c r="F327" i="138"/>
  <c r="I327" i="138"/>
  <c r="E327" i="138"/>
  <c r="D327" i="138"/>
  <c r="B223" i="138"/>
  <c r="B328" i="138"/>
  <c r="Y13" i="144"/>
  <c r="Z13" i="144" s="1"/>
  <c r="AD14" i="144"/>
  <c r="AB14" i="144"/>
  <c r="R14" i="144"/>
  <c r="P14" i="144"/>
  <c r="N14" i="144"/>
  <c r="L14" i="144"/>
  <c r="H14" i="144"/>
  <c r="C14" i="144"/>
  <c r="A15" i="144"/>
  <c r="O14" i="144"/>
  <c r="K14" i="144"/>
  <c r="D14" i="144"/>
  <c r="AC14" i="144"/>
  <c r="Q14" i="144"/>
  <c r="T14" i="144" s="1"/>
  <c r="M14" i="144"/>
  <c r="I14" i="144"/>
  <c r="B14" i="144"/>
  <c r="X12" i="144"/>
  <c r="G327" i="138" s="1"/>
  <c r="S13" i="144"/>
  <c r="J13" i="144"/>
  <c r="W13" i="144" s="1"/>
  <c r="X12" i="143"/>
  <c r="G222" i="138" s="1"/>
  <c r="J14" i="143"/>
  <c r="W14" i="143" s="1"/>
  <c r="S14" i="143"/>
  <c r="A16" i="143"/>
  <c r="AC15" i="143"/>
  <c r="Q15" i="143"/>
  <c r="O15" i="143"/>
  <c r="M15" i="143"/>
  <c r="K15" i="143"/>
  <c r="I15" i="143"/>
  <c r="D15" i="143"/>
  <c r="B15" i="143"/>
  <c r="AD15" i="143"/>
  <c r="AB15" i="143"/>
  <c r="R15" i="143"/>
  <c r="P15" i="143"/>
  <c r="N15" i="143"/>
  <c r="L15" i="143"/>
  <c r="H15" i="143"/>
  <c r="C15" i="143"/>
  <c r="T14" i="143"/>
  <c r="Y13" i="143"/>
  <c r="Z13" i="143" s="1"/>
  <c r="AA13" i="143" l="1"/>
  <c r="AA13" i="144"/>
  <c r="E328" i="138" s="1"/>
  <c r="E223" i="138"/>
  <c r="D223" i="138"/>
  <c r="F223" i="138"/>
  <c r="I223" i="138"/>
  <c r="F328" i="138"/>
  <c r="I328" i="138"/>
  <c r="D328" i="138"/>
  <c r="B329" i="138"/>
  <c r="B224" i="138"/>
  <c r="X13" i="144"/>
  <c r="G328" i="138" s="1"/>
  <c r="A16" i="144"/>
  <c r="AC15" i="144"/>
  <c r="Q15" i="144"/>
  <c r="T15" i="144" s="1"/>
  <c r="O15" i="144"/>
  <c r="M15" i="144"/>
  <c r="K15" i="144"/>
  <c r="I15" i="144"/>
  <c r="D15" i="144"/>
  <c r="B15" i="144"/>
  <c r="AD15" i="144"/>
  <c r="R15" i="144"/>
  <c r="N15" i="144"/>
  <c r="AB15" i="144"/>
  <c r="P15" i="144"/>
  <c r="L15" i="144"/>
  <c r="H15" i="144"/>
  <c r="C15" i="144"/>
  <c r="Y14" i="144"/>
  <c r="Z14" i="144" s="1"/>
  <c r="J14" i="144"/>
  <c r="W14" i="144" s="1"/>
  <c r="S14" i="144"/>
  <c r="X13" i="143"/>
  <c r="G223" i="138" s="1"/>
  <c r="T15" i="143"/>
  <c r="Y14" i="143"/>
  <c r="S15" i="143"/>
  <c r="J15" i="143"/>
  <c r="W15" i="143" s="1"/>
  <c r="AD16" i="143"/>
  <c r="AB16" i="143"/>
  <c r="R16" i="143"/>
  <c r="P16" i="143"/>
  <c r="N16" i="143"/>
  <c r="L16" i="143"/>
  <c r="H16" i="143"/>
  <c r="C16" i="143"/>
  <c r="A17" i="143"/>
  <c r="AC16" i="143"/>
  <c r="Q16" i="143"/>
  <c r="O16" i="143"/>
  <c r="M16" i="143"/>
  <c r="K16" i="143"/>
  <c r="I16" i="143"/>
  <c r="D16" i="143"/>
  <c r="B16" i="143"/>
  <c r="Z14" i="143" l="1"/>
  <c r="AA14" i="143"/>
  <c r="E224" i="138" s="1"/>
  <c r="AA14" i="144"/>
  <c r="E329" i="138" s="1"/>
  <c r="F224" i="138"/>
  <c r="D224" i="138"/>
  <c r="I224" i="138"/>
  <c r="F329" i="138"/>
  <c r="I329" i="138"/>
  <c r="D329" i="138"/>
  <c r="B225" i="138"/>
  <c r="B330" i="138"/>
  <c r="Y15" i="144"/>
  <c r="Z15" i="144" s="1"/>
  <c r="S15" i="144"/>
  <c r="J15" i="144"/>
  <c r="W15" i="144" s="1"/>
  <c r="X14" i="144"/>
  <c r="AD16" i="144"/>
  <c r="AB16" i="144"/>
  <c r="R16" i="144"/>
  <c r="P16" i="144"/>
  <c r="N16" i="144"/>
  <c r="L16" i="144"/>
  <c r="H16" i="144"/>
  <c r="C16" i="144"/>
  <c r="A17" i="144"/>
  <c r="O16" i="144"/>
  <c r="K16" i="144"/>
  <c r="D16" i="144"/>
  <c r="AC16" i="144"/>
  <c r="Q16" i="144"/>
  <c r="T16" i="144" s="1"/>
  <c r="M16" i="144"/>
  <c r="I16" i="144"/>
  <c r="B16" i="144"/>
  <c r="T16" i="143"/>
  <c r="Y15" i="143"/>
  <c r="J16" i="143"/>
  <c r="W16" i="143" s="1"/>
  <c r="S16" i="143"/>
  <c r="A18" i="143"/>
  <c r="AC17" i="143"/>
  <c r="Q17" i="143"/>
  <c r="O17" i="143"/>
  <c r="M17" i="143"/>
  <c r="K17" i="143"/>
  <c r="I17" i="143"/>
  <c r="D17" i="143"/>
  <c r="B17" i="143"/>
  <c r="AD17" i="143"/>
  <c r="AB17" i="143"/>
  <c r="R17" i="143"/>
  <c r="P17" i="143"/>
  <c r="N17" i="143"/>
  <c r="L17" i="143"/>
  <c r="H17" i="143"/>
  <c r="C17" i="143"/>
  <c r="X14" i="143"/>
  <c r="G224" i="138" s="1"/>
  <c r="Z15" i="143" l="1"/>
  <c r="AA15" i="143"/>
  <c r="AA15" i="144"/>
  <c r="E330" i="138" s="1"/>
  <c r="E225" i="138"/>
  <c r="F225" i="138"/>
  <c r="D225" i="138"/>
  <c r="I225" i="138"/>
  <c r="F330" i="138"/>
  <c r="I330" i="138"/>
  <c r="D330" i="138"/>
  <c r="G329" i="138"/>
  <c r="B331" i="138"/>
  <c r="B226" i="138"/>
  <c r="Y16" i="144"/>
  <c r="Z16" i="144" s="1"/>
  <c r="J16" i="144"/>
  <c r="W16" i="144" s="1"/>
  <c r="AA16" i="144"/>
  <c r="S16" i="144"/>
  <c r="A18" i="144"/>
  <c r="AC17" i="144"/>
  <c r="Q17" i="144"/>
  <c r="T17" i="144" s="1"/>
  <c r="O17" i="144"/>
  <c r="M17" i="144"/>
  <c r="K17" i="144"/>
  <c r="I17" i="144"/>
  <c r="D17" i="144"/>
  <c r="B17" i="144"/>
  <c r="AD17" i="144"/>
  <c r="R17" i="144"/>
  <c r="N17" i="144"/>
  <c r="AB17" i="144"/>
  <c r="P17" i="144"/>
  <c r="L17" i="144"/>
  <c r="H17" i="144"/>
  <c r="C17" i="144"/>
  <c r="X15" i="144"/>
  <c r="G330" i="138" s="1"/>
  <c r="X15" i="143"/>
  <c r="G225" i="138" s="1"/>
  <c r="S17" i="143"/>
  <c r="J17" i="143"/>
  <c r="W17" i="143" s="1"/>
  <c r="AD18" i="143"/>
  <c r="AB18" i="143"/>
  <c r="R18" i="143"/>
  <c r="P18" i="143"/>
  <c r="N18" i="143"/>
  <c r="L18" i="143"/>
  <c r="H18" i="143"/>
  <c r="C18" i="143"/>
  <c r="A19" i="143"/>
  <c r="AC18" i="143"/>
  <c r="Q18" i="143"/>
  <c r="O18" i="143"/>
  <c r="M18" i="143"/>
  <c r="K18" i="143"/>
  <c r="I18" i="143"/>
  <c r="D18" i="143"/>
  <c r="B18" i="143"/>
  <c r="T17" i="143"/>
  <c r="Y16" i="143"/>
  <c r="Z16" i="143" s="1"/>
  <c r="AA16" i="143" l="1"/>
  <c r="E226" i="138" s="1"/>
  <c r="F226" i="138"/>
  <c r="D226" i="138"/>
  <c r="I226" i="138"/>
  <c r="F331" i="138"/>
  <c r="I331" i="138"/>
  <c r="E331" i="138"/>
  <c r="D331" i="138"/>
  <c r="B227" i="138"/>
  <c r="B332" i="138"/>
  <c r="S17" i="144"/>
  <c r="J17" i="144"/>
  <c r="W17" i="144" s="1"/>
  <c r="Y17" i="144"/>
  <c r="Z17" i="144" s="1"/>
  <c r="AD18" i="144"/>
  <c r="AB18" i="144"/>
  <c r="R18" i="144"/>
  <c r="P18" i="144"/>
  <c r="N18" i="144"/>
  <c r="L18" i="144"/>
  <c r="H18" i="144"/>
  <c r="C18" i="144"/>
  <c r="A19" i="144"/>
  <c r="O18" i="144"/>
  <c r="K18" i="144"/>
  <c r="D18" i="144"/>
  <c r="AC18" i="144"/>
  <c r="Q18" i="144"/>
  <c r="T18" i="144" s="1"/>
  <c r="M18" i="144"/>
  <c r="I18" i="144"/>
  <c r="B18" i="144"/>
  <c r="X16" i="144"/>
  <c r="T18" i="143"/>
  <c r="Y17" i="143"/>
  <c r="A20" i="143"/>
  <c r="AC19" i="143"/>
  <c r="Q19" i="143"/>
  <c r="O19" i="143"/>
  <c r="M19" i="143"/>
  <c r="K19" i="143"/>
  <c r="I19" i="143"/>
  <c r="D19" i="143"/>
  <c r="B19" i="143"/>
  <c r="AD19" i="143"/>
  <c r="AB19" i="143"/>
  <c r="R19" i="143"/>
  <c r="P19" i="143"/>
  <c r="N19" i="143"/>
  <c r="L19" i="143"/>
  <c r="H19" i="143"/>
  <c r="C19" i="143"/>
  <c r="X16" i="143"/>
  <c r="G226" i="138" s="1"/>
  <c r="J18" i="143"/>
  <c r="W18" i="143" s="1"/>
  <c r="S18" i="143"/>
  <c r="Z17" i="143" l="1"/>
  <c r="AA17" i="143"/>
  <c r="AA17" i="144"/>
  <c r="E227" i="138"/>
  <c r="D227" i="138"/>
  <c r="F227" i="138"/>
  <c r="I227" i="138"/>
  <c r="G331" i="138"/>
  <c r="E332" i="138"/>
  <c r="D332" i="138"/>
  <c r="F332" i="138"/>
  <c r="I332" i="138"/>
  <c r="B333" i="138"/>
  <c r="B228" i="138"/>
  <c r="X17" i="144"/>
  <c r="Y18" i="144"/>
  <c r="Z18" i="144" s="1"/>
  <c r="J18" i="144"/>
  <c r="W18" i="144" s="1"/>
  <c r="S18" i="144"/>
  <c r="A20" i="144"/>
  <c r="AC19" i="144"/>
  <c r="Q19" i="144"/>
  <c r="T19" i="144" s="1"/>
  <c r="O19" i="144"/>
  <c r="M19" i="144"/>
  <c r="K19" i="144"/>
  <c r="I19" i="144"/>
  <c r="D19" i="144"/>
  <c r="B19" i="144"/>
  <c r="AD19" i="144"/>
  <c r="R19" i="144"/>
  <c r="N19" i="144"/>
  <c r="AB19" i="144"/>
  <c r="P19" i="144"/>
  <c r="L19" i="144"/>
  <c r="H19" i="144"/>
  <c r="C19" i="144"/>
  <c r="S19" i="143"/>
  <c r="J19" i="143"/>
  <c r="W19" i="143" s="1"/>
  <c r="X17" i="143"/>
  <c r="G227" i="138" s="1"/>
  <c r="T19" i="143"/>
  <c r="Y18" i="143"/>
  <c r="AD20" i="143"/>
  <c r="AB20" i="143"/>
  <c r="R20" i="143"/>
  <c r="P20" i="143"/>
  <c r="N20" i="143"/>
  <c r="L20" i="143"/>
  <c r="H20" i="143"/>
  <c r="C20" i="143"/>
  <c r="A21" i="143"/>
  <c r="AC20" i="143"/>
  <c r="Q20" i="143"/>
  <c r="O20" i="143"/>
  <c r="M20" i="143"/>
  <c r="K20" i="143"/>
  <c r="I20" i="143"/>
  <c r="D20" i="143"/>
  <c r="B20" i="143"/>
  <c r="AA18" i="144" l="1"/>
  <c r="Z18" i="143"/>
  <c r="F228" i="138" s="1"/>
  <c r="AA18" i="143"/>
  <c r="E228" i="138" s="1"/>
  <c r="F333" i="138"/>
  <c r="E333" i="138"/>
  <c r="I333" i="138"/>
  <c r="D333" i="138"/>
  <c r="G332" i="138"/>
  <c r="I228" i="138"/>
  <c r="D228" i="138"/>
  <c r="B334" i="138"/>
  <c r="B229" i="138"/>
  <c r="Y19" i="144"/>
  <c r="Z19" i="144" s="1"/>
  <c r="S19" i="144"/>
  <c r="J19" i="144"/>
  <c r="W19" i="144" s="1"/>
  <c r="X18" i="144"/>
  <c r="G333" i="138" s="1"/>
  <c r="AD20" i="144"/>
  <c r="AB20" i="144"/>
  <c r="R20" i="144"/>
  <c r="P20" i="144"/>
  <c r="N20" i="144"/>
  <c r="L20" i="144"/>
  <c r="H20" i="144"/>
  <c r="C20" i="144"/>
  <c r="A21" i="144"/>
  <c r="O20" i="144"/>
  <c r="K20" i="144"/>
  <c r="D20" i="144"/>
  <c r="AC20" i="144"/>
  <c r="Q20" i="144"/>
  <c r="T20" i="144" s="1"/>
  <c r="M20" i="144"/>
  <c r="I20" i="144"/>
  <c r="B20" i="144"/>
  <c r="J20" i="143"/>
  <c r="W20" i="143" s="1"/>
  <c r="S20" i="143"/>
  <c r="X18" i="143"/>
  <c r="G228" i="138" s="1"/>
  <c r="AD21" i="143"/>
  <c r="AB21" i="143"/>
  <c r="R21" i="143"/>
  <c r="P21" i="143"/>
  <c r="N21" i="143"/>
  <c r="AC21" i="143"/>
  <c r="Q21" i="143"/>
  <c r="M21" i="143"/>
  <c r="K21" i="143"/>
  <c r="I21" i="143"/>
  <c r="D21" i="143"/>
  <c r="B21" i="143"/>
  <c r="A22" i="143"/>
  <c r="O21" i="143"/>
  <c r="L21" i="143"/>
  <c r="H21" i="143"/>
  <c r="C21" i="143"/>
  <c r="T20" i="143"/>
  <c r="Y19" i="143"/>
  <c r="Z19" i="143" s="1"/>
  <c r="AA19" i="143" l="1"/>
  <c r="E229" i="138" s="1"/>
  <c r="F334" i="138"/>
  <c r="D334" i="138"/>
  <c r="I334" i="138"/>
  <c r="AA19" i="144"/>
  <c r="E334" i="138" s="1"/>
  <c r="F229" i="138"/>
  <c r="D229" i="138"/>
  <c r="I229" i="138"/>
  <c r="B335" i="138"/>
  <c r="B230" i="138"/>
  <c r="Y20" i="144"/>
  <c r="Z20" i="144" s="1"/>
  <c r="A22" i="144"/>
  <c r="AC21" i="144"/>
  <c r="Q21" i="144"/>
  <c r="T21" i="144" s="1"/>
  <c r="O21" i="144"/>
  <c r="M21" i="144"/>
  <c r="K21" i="144"/>
  <c r="I21" i="144"/>
  <c r="D21" i="144"/>
  <c r="B21" i="144"/>
  <c r="AD21" i="144"/>
  <c r="R21" i="144"/>
  <c r="N21" i="144"/>
  <c r="AB21" i="144"/>
  <c r="P21" i="144"/>
  <c r="L21" i="144"/>
  <c r="H21" i="144"/>
  <c r="C21" i="144"/>
  <c r="J20" i="144"/>
  <c r="W20" i="144" s="1"/>
  <c r="S20" i="144"/>
  <c r="X19" i="144"/>
  <c r="G334" i="138" s="1"/>
  <c r="A23" i="143"/>
  <c r="AC22" i="143"/>
  <c r="Q22" i="143"/>
  <c r="O22" i="143"/>
  <c r="M22" i="143"/>
  <c r="K22" i="143"/>
  <c r="I22" i="143"/>
  <c r="D22" i="143"/>
  <c r="B22" i="143"/>
  <c r="AB22" i="143"/>
  <c r="P22" i="143"/>
  <c r="L22" i="143"/>
  <c r="H22" i="143"/>
  <c r="C22" i="143"/>
  <c r="AD22" i="143"/>
  <c r="R22" i="143"/>
  <c r="N22" i="143"/>
  <c r="S21" i="143"/>
  <c r="J21" i="143"/>
  <c r="W21" i="143" s="1"/>
  <c r="X19" i="143"/>
  <c r="T21" i="143"/>
  <c r="Y20" i="143"/>
  <c r="Z20" i="143" s="1"/>
  <c r="AA20" i="143" l="1"/>
  <c r="F335" i="138"/>
  <c r="D335" i="138"/>
  <c r="I335" i="138"/>
  <c r="AA20" i="144"/>
  <c r="E335" i="138" s="1"/>
  <c r="F230" i="138"/>
  <c r="E230" i="138"/>
  <c r="D230" i="138"/>
  <c r="I230" i="138"/>
  <c r="G229" i="138"/>
  <c r="B336" i="138"/>
  <c r="B231" i="138"/>
  <c r="Y21" i="144"/>
  <c r="Z21" i="144" s="1"/>
  <c r="S21" i="144"/>
  <c r="J21" i="144"/>
  <c r="W21" i="144" s="1"/>
  <c r="X20" i="144"/>
  <c r="G335" i="138" s="1"/>
  <c r="AD22" i="144"/>
  <c r="AB22" i="144"/>
  <c r="R22" i="144"/>
  <c r="P22" i="144"/>
  <c r="N22" i="144"/>
  <c r="L22" i="144"/>
  <c r="H22" i="144"/>
  <c r="C22" i="144"/>
  <c r="A23" i="144"/>
  <c r="O22" i="144"/>
  <c r="K22" i="144"/>
  <c r="D22" i="144"/>
  <c r="AC22" i="144"/>
  <c r="Q22" i="144"/>
  <c r="T22" i="144" s="1"/>
  <c r="M22" i="144"/>
  <c r="I22" i="144"/>
  <c r="B22" i="144"/>
  <c r="X20" i="143"/>
  <c r="G230" i="138" s="1"/>
  <c r="S22" i="143"/>
  <c r="J22" i="143"/>
  <c r="W22" i="143" s="1"/>
  <c r="T22" i="143"/>
  <c r="Y21" i="143"/>
  <c r="Z21" i="143" s="1"/>
  <c r="A24" i="143"/>
  <c r="AC23" i="143"/>
  <c r="AD23" i="143"/>
  <c r="AB23" i="143"/>
  <c r="R23" i="143"/>
  <c r="P23" i="143"/>
  <c r="N23" i="143"/>
  <c r="L23" i="143"/>
  <c r="H23" i="143"/>
  <c r="C23" i="143"/>
  <c r="Q23" i="143"/>
  <c r="M23" i="143"/>
  <c r="I23" i="143"/>
  <c r="B23" i="143"/>
  <c r="O23" i="143"/>
  <c r="K23" i="143"/>
  <c r="D23" i="143"/>
  <c r="AA21" i="143" l="1"/>
  <c r="E231" i="138" s="1"/>
  <c r="AA21" i="144"/>
  <c r="E336" i="138" s="1"/>
  <c r="D231" i="138"/>
  <c r="F231" i="138"/>
  <c r="I231" i="138"/>
  <c r="D336" i="138"/>
  <c r="F336" i="138"/>
  <c r="I336" i="138"/>
  <c r="B337" i="138"/>
  <c r="B232" i="138"/>
  <c r="Y22" i="144"/>
  <c r="Z22" i="144" s="1"/>
  <c r="A24" i="144"/>
  <c r="AC23" i="144"/>
  <c r="Q23" i="144"/>
  <c r="T23" i="144" s="1"/>
  <c r="O23" i="144"/>
  <c r="M23" i="144"/>
  <c r="K23" i="144"/>
  <c r="I23" i="144"/>
  <c r="D23" i="144"/>
  <c r="B23" i="144"/>
  <c r="AD23" i="144"/>
  <c r="R23" i="144"/>
  <c r="N23" i="144"/>
  <c r="AB23" i="144"/>
  <c r="P23" i="144"/>
  <c r="L23" i="144"/>
  <c r="H23" i="144"/>
  <c r="C23" i="144"/>
  <c r="J22" i="144"/>
  <c r="W22" i="144" s="1"/>
  <c r="S22" i="144"/>
  <c r="X21" i="144"/>
  <c r="G336" i="138" s="1"/>
  <c r="T23" i="143"/>
  <c r="Y22" i="143"/>
  <c r="J23" i="143"/>
  <c r="W23" i="143" s="1"/>
  <c r="S23" i="143"/>
  <c r="AD24" i="143"/>
  <c r="AB24" i="143"/>
  <c r="R24" i="143"/>
  <c r="P24" i="143"/>
  <c r="N24" i="143"/>
  <c r="L24" i="143"/>
  <c r="H24" i="143"/>
  <c r="C24" i="143"/>
  <c r="A25" i="143"/>
  <c r="AC24" i="143"/>
  <c r="Q24" i="143"/>
  <c r="O24" i="143"/>
  <c r="M24" i="143"/>
  <c r="K24" i="143"/>
  <c r="I24" i="143"/>
  <c r="D24" i="143"/>
  <c r="B24" i="143"/>
  <c r="X21" i="143"/>
  <c r="G231" i="138" s="1"/>
  <c r="Z22" i="143" l="1"/>
  <c r="F232" i="138" s="1"/>
  <c r="AA22" i="143"/>
  <c r="E232" i="138" s="1"/>
  <c r="F337" i="138"/>
  <c r="D337" i="138"/>
  <c r="I337" i="138"/>
  <c r="AA22" i="144"/>
  <c r="E337" i="138" s="1"/>
  <c r="D232" i="138"/>
  <c r="I232" i="138"/>
  <c r="B338" i="138"/>
  <c r="B233" i="138"/>
  <c r="S23" i="144"/>
  <c r="J23" i="144"/>
  <c r="W23" i="144" s="1"/>
  <c r="Y23" i="144"/>
  <c r="Z23" i="144" s="1"/>
  <c r="AD24" i="144"/>
  <c r="AB24" i="144"/>
  <c r="R24" i="144"/>
  <c r="P24" i="144"/>
  <c r="N24" i="144"/>
  <c r="L24" i="144"/>
  <c r="H24" i="144"/>
  <c r="C24" i="144"/>
  <c r="A25" i="144"/>
  <c r="O24" i="144"/>
  <c r="K24" i="144"/>
  <c r="D24" i="144"/>
  <c r="AC24" i="144"/>
  <c r="Q24" i="144"/>
  <c r="T24" i="144" s="1"/>
  <c r="M24" i="144"/>
  <c r="I24" i="144"/>
  <c r="B24" i="144"/>
  <c r="X22" i="144"/>
  <c r="G337" i="138" s="1"/>
  <c r="X22" i="143"/>
  <c r="G232" i="138" s="1"/>
  <c r="J24" i="143"/>
  <c r="W24" i="143" s="1"/>
  <c r="S24" i="143"/>
  <c r="A26" i="143"/>
  <c r="AC25" i="143"/>
  <c r="Q25" i="143"/>
  <c r="O25" i="143"/>
  <c r="M25" i="143"/>
  <c r="K25" i="143"/>
  <c r="I25" i="143"/>
  <c r="D25" i="143"/>
  <c r="B25" i="143"/>
  <c r="AD25" i="143"/>
  <c r="AB25" i="143"/>
  <c r="R25" i="143"/>
  <c r="P25" i="143"/>
  <c r="N25" i="143"/>
  <c r="L25" i="143"/>
  <c r="H25" i="143"/>
  <c r="C25" i="143"/>
  <c r="T24" i="143"/>
  <c r="Y23" i="143"/>
  <c r="Z23" i="143" s="1"/>
  <c r="AA23" i="143" l="1"/>
  <c r="E233" i="138" s="1"/>
  <c r="AA23" i="144"/>
  <c r="E338" i="138" s="1"/>
  <c r="F338" i="138"/>
  <c r="D338" i="138"/>
  <c r="I338" i="138"/>
  <c r="F233" i="138"/>
  <c r="D233" i="138"/>
  <c r="I233" i="138"/>
  <c r="B339" i="138"/>
  <c r="B234" i="138"/>
  <c r="Y24" i="144"/>
  <c r="Z24" i="144" s="1"/>
  <c r="J24" i="144"/>
  <c r="W24" i="144" s="1"/>
  <c r="S24" i="144"/>
  <c r="AA24" i="144" s="1"/>
  <c r="A26" i="144"/>
  <c r="AC25" i="144"/>
  <c r="Q25" i="144"/>
  <c r="T25" i="144" s="1"/>
  <c r="O25" i="144"/>
  <c r="M25" i="144"/>
  <c r="K25" i="144"/>
  <c r="I25" i="144"/>
  <c r="D25" i="144"/>
  <c r="B25" i="144"/>
  <c r="AD25" i="144"/>
  <c r="R25" i="144"/>
  <c r="N25" i="144"/>
  <c r="AB25" i="144"/>
  <c r="P25" i="144"/>
  <c r="L25" i="144"/>
  <c r="H25" i="144"/>
  <c r="C25" i="144"/>
  <c r="X23" i="144"/>
  <c r="G338" i="138" s="1"/>
  <c r="S25" i="143"/>
  <c r="J25" i="143"/>
  <c r="W25" i="143" s="1"/>
  <c r="X23" i="143"/>
  <c r="G233" i="138" s="1"/>
  <c r="T25" i="143"/>
  <c r="Y24" i="143"/>
  <c r="Z24" i="143" s="1"/>
  <c r="AD26" i="143"/>
  <c r="AB26" i="143"/>
  <c r="R26" i="143"/>
  <c r="P26" i="143"/>
  <c r="N26" i="143"/>
  <c r="L26" i="143"/>
  <c r="H26" i="143"/>
  <c r="C26" i="143"/>
  <c r="A27" i="143"/>
  <c r="AC26" i="143"/>
  <c r="Q26" i="143"/>
  <c r="O26" i="143"/>
  <c r="M26" i="143"/>
  <c r="K26" i="143"/>
  <c r="I26" i="143"/>
  <c r="D26" i="143"/>
  <c r="B26" i="143"/>
  <c r="AA24" i="143" l="1"/>
  <c r="E234" i="138" s="1"/>
  <c r="F339" i="138"/>
  <c r="E339" i="138"/>
  <c r="D339" i="138"/>
  <c r="I339" i="138"/>
  <c r="F234" i="138"/>
  <c r="D234" i="138"/>
  <c r="I234" i="138"/>
  <c r="B340" i="138"/>
  <c r="B235" i="138"/>
  <c r="X24" i="144"/>
  <c r="G339" i="138" s="1"/>
  <c r="S25" i="144"/>
  <c r="J25" i="144"/>
  <c r="W25" i="144" s="1"/>
  <c r="AD26" i="144"/>
  <c r="AB26" i="144"/>
  <c r="R26" i="144"/>
  <c r="P26" i="144"/>
  <c r="N26" i="144"/>
  <c r="L26" i="144"/>
  <c r="H26" i="144"/>
  <c r="C26" i="144"/>
  <c r="A27" i="144"/>
  <c r="O26" i="144"/>
  <c r="K26" i="144"/>
  <c r="D26" i="144"/>
  <c r="AC26" i="144"/>
  <c r="Q26" i="144"/>
  <c r="T26" i="144" s="1"/>
  <c r="M26" i="144"/>
  <c r="I26" i="144"/>
  <c r="B26" i="144"/>
  <c r="Y25" i="144"/>
  <c r="Z25" i="144" s="1"/>
  <c r="A28" i="143"/>
  <c r="AC27" i="143"/>
  <c r="Q27" i="143"/>
  <c r="O27" i="143"/>
  <c r="M27" i="143"/>
  <c r="K27" i="143"/>
  <c r="I27" i="143"/>
  <c r="D27" i="143"/>
  <c r="B27" i="143"/>
  <c r="AD27" i="143"/>
  <c r="AB27" i="143"/>
  <c r="R27" i="143"/>
  <c r="P27" i="143"/>
  <c r="N27" i="143"/>
  <c r="L27" i="143"/>
  <c r="H27" i="143"/>
  <c r="C27" i="143"/>
  <c r="T26" i="143"/>
  <c r="Y25" i="143"/>
  <c r="J26" i="143"/>
  <c r="W26" i="143" s="1"/>
  <c r="S26" i="143"/>
  <c r="X24" i="143"/>
  <c r="Z25" i="143" l="1"/>
  <c r="F235" i="138" s="1"/>
  <c r="AA25" i="143"/>
  <c r="X25" i="143"/>
  <c r="G235" i="138" s="1"/>
  <c r="X25" i="144"/>
  <c r="G340" i="138" s="1"/>
  <c r="AA25" i="144"/>
  <c r="E340" i="138" s="1"/>
  <c r="E235" i="138"/>
  <c r="D235" i="138"/>
  <c r="I235" i="138"/>
  <c r="D340" i="138"/>
  <c r="F340" i="138"/>
  <c r="I340" i="138"/>
  <c r="G234" i="138"/>
  <c r="B341" i="138"/>
  <c r="B236" i="138"/>
  <c r="Y26" i="144"/>
  <c r="Z26" i="144" s="1"/>
  <c r="J26" i="144"/>
  <c r="W26" i="144" s="1"/>
  <c r="S26" i="144"/>
  <c r="A28" i="144"/>
  <c r="AC27" i="144"/>
  <c r="Q27" i="144"/>
  <c r="T27" i="144" s="1"/>
  <c r="O27" i="144"/>
  <c r="M27" i="144"/>
  <c r="K27" i="144"/>
  <c r="I27" i="144"/>
  <c r="D27" i="144"/>
  <c r="B27" i="144"/>
  <c r="AD27" i="144"/>
  <c r="R27" i="144"/>
  <c r="N27" i="144"/>
  <c r="AB27" i="144"/>
  <c r="P27" i="144"/>
  <c r="L27" i="144"/>
  <c r="H27" i="144"/>
  <c r="C27" i="144"/>
  <c r="S27" i="143"/>
  <c r="J27" i="143"/>
  <c r="W27" i="143" s="1"/>
  <c r="T27" i="143"/>
  <c r="Y26" i="143"/>
  <c r="Z26" i="143" s="1"/>
  <c r="AD28" i="143"/>
  <c r="AB28" i="143"/>
  <c r="R28" i="143"/>
  <c r="P28" i="143"/>
  <c r="N28" i="143"/>
  <c r="L28" i="143"/>
  <c r="H28" i="143"/>
  <c r="C28" i="143"/>
  <c r="A29" i="143"/>
  <c r="AC28" i="143"/>
  <c r="Q28" i="143"/>
  <c r="O28" i="143"/>
  <c r="M28" i="143"/>
  <c r="K28" i="143"/>
  <c r="I28" i="143"/>
  <c r="D28" i="143"/>
  <c r="B28" i="143"/>
  <c r="AA26" i="144" l="1"/>
  <c r="AA26" i="143"/>
  <c r="F236" i="138"/>
  <c r="E236" i="138"/>
  <c r="I236" i="138"/>
  <c r="D236" i="138"/>
  <c r="F341" i="138"/>
  <c r="E341" i="138"/>
  <c r="I341" i="138"/>
  <c r="D341" i="138"/>
  <c r="B342" i="138"/>
  <c r="B237" i="138"/>
  <c r="X26" i="144"/>
  <c r="G341" i="138" s="1"/>
  <c r="S27" i="144"/>
  <c r="J27" i="144"/>
  <c r="W27" i="144" s="1"/>
  <c r="AD28" i="144"/>
  <c r="AB28" i="144"/>
  <c r="R28" i="144"/>
  <c r="P28" i="144"/>
  <c r="N28" i="144"/>
  <c r="L28" i="144"/>
  <c r="H28" i="144"/>
  <c r="C28" i="144"/>
  <c r="A29" i="144"/>
  <c r="O28" i="144"/>
  <c r="K28" i="144"/>
  <c r="D28" i="144"/>
  <c r="AC28" i="144"/>
  <c r="Q28" i="144"/>
  <c r="M28" i="144"/>
  <c r="I28" i="144"/>
  <c r="B28" i="144"/>
  <c r="T28" i="144"/>
  <c r="Y27" i="144"/>
  <c r="Z27" i="144" s="1"/>
  <c r="J28" i="143"/>
  <c r="W28" i="143" s="1"/>
  <c r="S28" i="143"/>
  <c r="X26" i="143"/>
  <c r="G236" i="138" s="1"/>
  <c r="A30" i="143"/>
  <c r="AC29" i="143"/>
  <c r="Q29" i="143"/>
  <c r="O29" i="143"/>
  <c r="M29" i="143"/>
  <c r="K29" i="143"/>
  <c r="I29" i="143"/>
  <c r="D29" i="143"/>
  <c r="B29" i="143"/>
  <c r="AD29" i="143"/>
  <c r="AB29" i="143"/>
  <c r="R29" i="143"/>
  <c r="P29" i="143"/>
  <c r="N29" i="143"/>
  <c r="L29" i="143"/>
  <c r="H29" i="143"/>
  <c r="C29" i="143"/>
  <c r="T28" i="143"/>
  <c r="Y27" i="143"/>
  <c r="Z27" i="143" l="1"/>
  <c r="AA27" i="143"/>
  <c r="E237" i="138" s="1"/>
  <c r="AA27" i="144"/>
  <c r="E342" i="138" s="1"/>
  <c r="F237" i="138"/>
  <c r="D237" i="138"/>
  <c r="I237" i="138"/>
  <c r="F342" i="138"/>
  <c r="D342" i="138"/>
  <c r="I342" i="138"/>
  <c r="B343" i="138"/>
  <c r="B238" i="138"/>
  <c r="X27" i="144"/>
  <c r="G342" i="138" s="1"/>
  <c r="Y28" i="144"/>
  <c r="Z28" i="144" s="1"/>
  <c r="J28" i="144"/>
  <c r="W28" i="144" s="1"/>
  <c r="S28" i="144"/>
  <c r="A30" i="144"/>
  <c r="AC29" i="144"/>
  <c r="Q29" i="144"/>
  <c r="T29" i="144" s="1"/>
  <c r="O29" i="144"/>
  <c r="M29" i="144"/>
  <c r="K29" i="144"/>
  <c r="I29" i="144"/>
  <c r="D29" i="144"/>
  <c r="B29" i="144"/>
  <c r="AD29" i="144"/>
  <c r="AB29" i="144"/>
  <c r="R29" i="144"/>
  <c r="N29" i="144"/>
  <c r="P29" i="144"/>
  <c r="L29" i="144"/>
  <c r="H29" i="144"/>
  <c r="C29" i="144"/>
  <c r="X27" i="143"/>
  <c r="G237" i="138" s="1"/>
  <c r="T29" i="143"/>
  <c r="Y28" i="143"/>
  <c r="Z28" i="143" s="1"/>
  <c r="AD30" i="143"/>
  <c r="AB30" i="143"/>
  <c r="R30" i="143"/>
  <c r="P30" i="143"/>
  <c r="N30" i="143"/>
  <c r="L30" i="143"/>
  <c r="H30" i="143"/>
  <c r="C30" i="143"/>
  <c r="A31" i="143"/>
  <c r="AC30" i="143"/>
  <c r="Q30" i="143"/>
  <c r="O30" i="143"/>
  <c r="M30" i="143"/>
  <c r="K30" i="143"/>
  <c r="I30" i="143"/>
  <c r="D30" i="143"/>
  <c r="B30" i="143"/>
  <c r="S29" i="143"/>
  <c r="J29" i="143"/>
  <c r="W29" i="143" s="1"/>
  <c r="AA28" i="144" l="1"/>
  <c r="AA28" i="143"/>
  <c r="F238" i="138"/>
  <c r="E238" i="138"/>
  <c r="D238" i="138"/>
  <c r="I238" i="138"/>
  <c r="F343" i="138"/>
  <c r="E343" i="138"/>
  <c r="D343" i="138"/>
  <c r="I343" i="138"/>
  <c r="B344" i="138"/>
  <c r="B239" i="138"/>
  <c r="X28" i="144"/>
  <c r="G343" i="138" s="1"/>
  <c r="S29" i="144"/>
  <c r="J29" i="144"/>
  <c r="W29" i="144" s="1"/>
  <c r="AD30" i="144"/>
  <c r="AB30" i="144"/>
  <c r="R30" i="144"/>
  <c r="P30" i="144"/>
  <c r="N30" i="144"/>
  <c r="L30" i="144"/>
  <c r="H30" i="144"/>
  <c r="C30" i="144"/>
  <c r="A31" i="144"/>
  <c r="AC30" i="144"/>
  <c r="Q30" i="144"/>
  <c r="T30" i="144" s="1"/>
  <c r="O30" i="144"/>
  <c r="M30" i="144"/>
  <c r="K30" i="144"/>
  <c r="I30" i="144"/>
  <c r="D30" i="144"/>
  <c r="B30" i="144"/>
  <c r="Y29" i="144"/>
  <c r="Z29" i="144" s="1"/>
  <c r="A32" i="143"/>
  <c r="AC31" i="143"/>
  <c r="Q31" i="143"/>
  <c r="O31" i="143"/>
  <c r="M31" i="143"/>
  <c r="K31" i="143"/>
  <c r="I31" i="143"/>
  <c r="D31" i="143"/>
  <c r="B31" i="143"/>
  <c r="AD31" i="143"/>
  <c r="AB31" i="143"/>
  <c r="R31" i="143"/>
  <c r="P31" i="143"/>
  <c r="N31" i="143"/>
  <c r="L31" i="143"/>
  <c r="H31" i="143"/>
  <c r="C31" i="143"/>
  <c r="T30" i="143"/>
  <c r="Y29" i="143"/>
  <c r="Z29" i="143" s="1"/>
  <c r="J30" i="143"/>
  <c r="W30" i="143" s="1"/>
  <c r="S30" i="143"/>
  <c r="X28" i="143"/>
  <c r="G238" i="138" s="1"/>
  <c r="AA29" i="143" l="1"/>
  <c r="D344" i="138"/>
  <c r="F344" i="138"/>
  <c r="I344" i="138"/>
  <c r="X29" i="143"/>
  <c r="X29" i="144"/>
  <c r="G344" i="138" s="1"/>
  <c r="AA29" i="144"/>
  <c r="E239" i="138"/>
  <c r="D239" i="138"/>
  <c r="F239" i="138"/>
  <c r="I239" i="138"/>
  <c r="B345" i="138"/>
  <c r="B240" i="138"/>
  <c r="Y30" i="144"/>
  <c r="Z30" i="144" s="1"/>
  <c r="J30" i="144"/>
  <c r="W30" i="144" s="1"/>
  <c r="S30" i="144"/>
  <c r="AA30" i="144" s="1"/>
  <c r="A32" i="144"/>
  <c r="AC31" i="144"/>
  <c r="Q31" i="144"/>
  <c r="T31" i="144" s="1"/>
  <c r="O31" i="144"/>
  <c r="M31" i="144"/>
  <c r="K31" i="144"/>
  <c r="I31" i="144"/>
  <c r="D31" i="144"/>
  <c r="B31" i="144"/>
  <c r="AD31" i="144"/>
  <c r="AB31" i="144"/>
  <c r="R31" i="144"/>
  <c r="P31" i="144"/>
  <c r="N31" i="144"/>
  <c r="L31" i="144"/>
  <c r="H31" i="144"/>
  <c r="C31" i="144"/>
  <c r="S31" i="143"/>
  <c r="J31" i="143"/>
  <c r="W31" i="143" s="1"/>
  <c r="T31" i="143"/>
  <c r="Y30" i="143"/>
  <c r="AD32" i="143"/>
  <c r="AB32" i="143"/>
  <c r="R32" i="143"/>
  <c r="P32" i="143"/>
  <c r="N32" i="143"/>
  <c r="L32" i="143"/>
  <c r="H32" i="143"/>
  <c r="C32" i="143"/>
  <c r="A33" i="143"/>
  <c r="AC32" i="143"/>
  <c r="Q32" i="143"/>
  <c r="O32" i="143"/>
  <c r="M32" i="143"/>
  <c r="K32" i="143"/>
  <c r="I32" i="143"/>
  <c r="D32" i="143"/>
  <c r="B32" i="143"/>
  <c r="Z30" i="143" l="1"/>
  <c r="AA30" i="143"/>
  <c r="E240" i="138" s="1"/>
  <c r="F345" i="138"/>
  <c r="E345" i="138"/>
  <c r="D345" i="138"/>
  <c r="I345" i="138"/>
  <c r="E344" i="138"/>
  <c r="F240" i="138"/>
  <c r="D240" i="138"/>
  <c r="I240" i="138"/>
  <c r="G239" i="138"/>
  <c r="B346" i="138"/>
  <c r="B241" i="138"/>
  <c r="X30" i="144"/>
  <c r="G345" i="138" s="1"/>
  <c r="S31" i="144"/>
  <c r="J31" i="144"/>
  <c r="W31" i="144" s="1"/>
  <c r="AD32" i="144"/>
  <c r="AB32" i="144"/>
  <c r="R32" i="144"/>
  <c r="P32" i="144"/>
  <c r="N32" i="144"/>
  <c r="L32" i="144"/>
  <c r="H32" i="144"/>
  <c r="C32" i="144"/>
  <c r="A33" i="144"/>
  <c r="AC32" i="144"/>
  <c r="Q32" i="144"/>
  <c r="T32" i="144" s="1"/>
  <c r="O32" i="144"/>
  <c r="M32" i="144"/>
  <c r="K32" i="144"/>
  <c r="I32" i="144"/>
  <c r="D32" i="144"/>
  <c r="B32" i="144"/>
  <c r="Y31" i="144"/>
  <c r="Z31" i="144" s="1"/>
  <c r="J32" i="143"/>
  <c r="W32" i="143" s="1"/>
  <c r="S32" i="143"/>
  <c r="X30" i="143"/>
  <c r="G240" i="138" s="1"/>
  <c r="A34" i="143"/>
  <c r="AC33" i="143"/>
  <c r="Q33" i="143"/>
  <c r="O33" i="143"/>
  <c r="M33" i="143"/>
  <c r="K33" i="143"/>
  <c r="I33" i="143"/>
  <c r="D33" i="143"/>
  <c r="B33" i="143"/>
  <c r="AD33" i="143"/>
  <c r="AB33" i="143"/>
  <c r="R33" i="143"/>
  <c r="P33" i="143"/>
  <c r="N33" i="143"/>
  <c r="L33" i="143"/>
  <c r="H33" i="143"/>
  <c r="C33" i="143"/>
  <c r="T32" i="143"/>
  <c r="Y31" i="143"/>
  <c r="Z31" i="143" l="1"/>
  <c r="F241" i="138" s="1"/>
  <c r="AA31" i="143"/>
  <c r="E241" i="138" s="1"/>
  <c r="D241" i="138"/>
  <c r="I241" i="138"/>
  <c r="F346" i="138"/>
  <c r="D346" i="138"/>
  <c r="I346" i="138"/>
  <c r="B347" i="138"/>
  <c r="B242" i="138"/>
  <c r="AA31" i="144"/>
  <c r="E346" i="138" s="1"/>
  <c r="X31" i="144"/>
  <c r="Y32" i="144"/>
  <c r="Z32" i="144" s="1"/>
  <c r="J32" i="144"/>
  <c r="W32" i="144" s="1"/>
  <c r="S32" i="144"/>
  <c r="A34" i="144"/>
  <c r="AC33" i="144"/>
  <c r="Q33" i="144"/>
  <c r="T33" i="144" s="1"/>
  <c r="O33" i="144"/>
  <c r="M33" i="144"/>
  <c r="K33" i="144"/>
  <c r="I33" i="144"/>
  <c r="D33" i="144"/>
  <c r="B33" i="144"/>
  <c r="AD33" i="144"/>
  <c r="AB33" i="144"/>
  <c r="R33" i="144"/>
  <c r="P33" i="144"/>
  <c r="N33" i="144"/>
  <c r="L33" i="144"/>
  <c r="H33" i="144"/>
  <c r="C33" i="144"/>
  <c r="X31" i="143"/>
  <c r="G241" i="138" s="1"/>
  <c r="T33" i="143"/>
  <c r="Y32" i="143"/>
  <c r="Z32" i="143" s="1"/>
  <c r="AD34" i="143"/>
  <c r="AB34" i="143"/>
  <c r="R34" i="143"/>
  <c r="P34" i="143"/>
  <c r="N34" i="143"/>
  <c r="L34" i="143"/>
  <c r="H34" i="143"/>
  <c r="C34" i="143"/>
  <c r="A35" i="143"/>
  <c r="AC34" i="143"/>
  <c r="Q34" i="143"/>
  <c r="O34" i="143"/>
  <c r="M34" i="143"/>
  <c r="K34" i="143"/>
  <c r="I34" i="143"/>
  <c r="D34" i="143"/>
  <c r="B34" i="143"/>
  <c r="S33" i="143"/>
  <c r="J33" i="143"/>
  <c r="W33" i="143" s="1"/>
  <c r="AA32" i="144" l="1"/>
  <c r="AA32" i="143"/>
  <c r="F242" i="138"/>
  <c r="E242" i="138"/>
  <c r="D242" i="138"/>
  <c r="I242" i="138"/>
  <c r="F347" i="138"/>
  <c r="E347" i="138"/>
  <c r="D347" i="138"/>
  <c r="I347" i="138"/>
  <c r="G346" i="138"/>
  <c r="B348" i="138"/>
  <c r="B243" i="138"/>
  <c r="X32" i="144"/>
  <c r="G347" i="138" s="1"/>
  <c r="S33" i="144"/>
  <c r="J33" i="144"/>
  <c r="W33" i="144" s="1"/>
  <c r="AD34" i="144"/>
  <c r="AB34" i="144"/>
  <c r="R34" i="144"/>
  <c r="P34" i="144"/>
  <c r="N34" i="144"/>
  <c r="L34" i="144"/>
  <c r="H34" i="144"/>
  <c r="C34" i="144"/>
  <c r="A35" i="144"/>
  <c r="AC34" i="144"/>
  <c r="Q34" i="144"/>
  <c r="T34" i="144" s="1"/>
  <c r="O34" i="144"/>
  <c r="M34" i="144"/>
  <c r="K34" i="144"/>
  <c r="I34" i="144"/>
  <c r="D34" i="144"/>
  <c r="B34" i="144"/>
  <c r="Y33" i="144"/>
  <c r="Z33" i="144" s="1"/>
  <c r="A36" i="143"/>
  <c r="AC35" i="143"/>
  <c r="Q35" i="143"/>
  <c r="O35" i="143"/>
  <c r="M35" i="143"/>
  <c r="K35" i="143"/>
  <c r="I35" i="143"/>
  <c r="D35" i="143"/>
  <c r="B35" i="143"/>
  <c r="AD35" i="143"/>
  <c r="AB35" i="143"/>
  <c r="R35" i="143"/>
  <c r="P35" i="143"/>
  <c r="N35" i="143"/>
  <c r="L35" i="143"/>
  <c r="H35" i="143"/>
  <c r="C35" i="143"/>
  <c r="T34" i="143"/>
  <c r="Y33" i="143"/>
  <c r="Z33" i="143" s="1"/>
  <c r="J34" i="143"/>
  <c r="W34" i="143" s="1"/>
  <c r="S34" i="143"/>
  <c r="X32" i="143"/>
  <c r="G242" i="138" s="1"/>
  <c r="AA33" i="143" l="1"/>
  <c r="D348" i="138"/>
  <c r="F348" i="138"/>
  <c r="I348" i="138"/>
  <c r="E243" i="138"/>
  <c r="D243" i="138"/>
  <c r="F243" i="138"/>
  <c r="I243" i="138"/>
  <c r="B349" i="138"/>
  <c r="B244" i="138"/>
  <c r="AA33" i="144"/>
  <c r="E348" i="138" s="1"/>
  <c r="X33" i="144"/>
  <c r="G348" i="138" s="1"/>
  <c r="Y34" i="144"/>
  <c r="Z34" i="144" s="1"/>
  <c r="J34" i="144"/>
  <c r="W34" i="144" s="1"/>
  <c r="S34" i="144"/>
  <c r="A36" i="144"/>
  <c r="AC35" i="144"/>
  <c r="Q35" i="144"/>
  <c r="T35" i="144" s="1"/>
  <c r="O35" i="144"/>
  <c r="M35" i="144"/>
  <c r="K35" i="144"/>
  <c r="I35" i="144"/>
  <c r="D35" i="144"/>
  <c r="B35" i="144"/>
  <c r="AD35" i="144"/>
  <c r="AB35" i="144"/>
  <c r="R35" i="144"/>
  <c r="P35" i="144"/>
  <c r="N35" i="144"/>
  <c r="L35" i="144"/>
  <c r="H35" i="144"/>
  <c r="C35" i="144"/>
  <c r="X33" i="143"/>
  <c r="T35" i="143"/>
  <c r="Y34" i="143"/>
  <c r="Z34" i="143" s="1"/>
  <c r="S35" i="143"/>
  <c r="J35" i="143"/>
  <c r="W35" i="143" s="1"/>
  <c r="AD36" i="143"/>
  <c r="AB36" i="143"/>
  <c r="R36" i="143"/>
  <c r="P36" i="143"/>
  <c r="N36" i="143"/>
  <c r="L36" i="143"/>
  <c r="H36" i="143"/>
  <c r="C36" i="143"/>
  <c r="A37" i="143"/>
  <c r="O36" i="143"/>
  <c r="K36" i="143"/>
  <c r="D36" i="143"/>
  <c r="AC36" i="143"/>
  <c r="Q36" i="143"/>
  <c r="M36" i="143"/>
  <c r="I36" i="143"/>
  <c r="B36" i="143"/>
  <c r="AA34" i="144" l="1"/>
  <c r="AA34" i="143"/>
  <c r="F244" i="138"/>
  <c r="E244" i="138"/>
  <c r="I244" i="138"/>
  <c r="D244" i="138"/>
  <c r="G243" i="138"/>
  <c r="F349" i="138"/>
  <c r="E349" i="138"/>
  <c r="I349" i="138"/>
  <c r="D349" i="138"/>
  <c r="B350" i="138"/>
  <c r="B245" i="138"/>
  <c r="X34" i="144"/>
  <c r="G349" i="138" s="1"/>
  <c r="S35" i="144"/>
  <c r="J35" i="144"/>
  <c r="W35" i="144" s="1"/>
  <c r="AD36" i="144"/>
  <c r="AB36" i="144"/>
  <c r="R36" i="144"/>
  <c r="P36" i="144"/>
  <c r="N36" i="144"/>
  <c r="L36" i="144"/>
  <c r="H36" i="144"/>
  <c r="C36" i="144"/>
  <c r="A37" i="144"/>
  <c r="AC36" i="144"/>
  <c r="Q36" i="144"/>
  <c r="T36" i="144" s="1"/>
  <c r="O36" i="144"/>
  <c r="M36" i="144"/>
  <c r="K36" i="144"/>
  <c r="I36" i="144"/>
  <c r="D36" i="144"/>
  <c r="B36" i="144"/>
  <c r="Y35" i="144"/>
  <c r="Z35" i="144" s="1"/>
  <c r="A38" i="143"/>
  <c r="AC37" i="143"/>
  <c r="Q37" i="143"/>
  <c r="O37" i="143"/>
  <c r="M37" i="143"/>
  <c r="K37" i="143"/>
  <c r="I37" i="143"/>
  <c r="D37" i="143"/>
  <c r="B37" i="143"/>
  <c r="AD37" i="143"/>
  <c r="R37" i="143"/>
  <c r="N37" i="143"/>
  <c r="AB37" i="143"/>
  <c r="P37" i="143"/>
  <c r="L37" i="143"/>
  <c r="H37" i="143"/>
  <c r="C37" i="143"/>
  <c r="X34" i="143"/>
  <c r="J36" i="143"/>
  <c r="W36" i="143" s="1"/>
  <c r="S36" i="143"/>
  <c r="T36" i="143"/>
  <c r="Y35" i="143"/>
  <c r="Z35" i="143" l="1"/>
  <c r="F245" i="138" s="1"/>
  <c r="AA35" i="143"/>
  <c r="E245" i="138" s="1"/>
  <c r="X35" i="144"/>
  <c r="G350" i="138" s="1"/>
  <c r="AA35" i="144"/>
  <c r="E350" i="138" s="1"/>
  <c r="D245" i="138"/>
  <c r="I245" i="138"/>
  <c r="G244" i="138"/>
  <c r="F350" i="138"/>
  <c r="D350" i="138"/>
  <c r="I350" i="138"/>
  <c r="B351" i="138"/>
  <c r="B246" i="138"/>
  <c r="Y36" i="144"/>
  <c r="Z36" i="144" s="1"/>
  <c r="J36" i="144"/>
  <c r="W36" i="144" s="1"/>
  <c r="S36" i="144"/>
  <c r="A38" i="144"/>
  <c r="AC37" i="144"/>
  <c r="Q37" i="144"/>
  <c r="T37" i="144" s="1"/>
  <c r="O37" i="144"/>
  <c r="M37" i="144"/>
  <c r="K37" i="144"/>
  <c r="I37" i="144"/>
  <c r="D37" i="144"/>
  <c r="B37" i="144"/>
  <c r="AD37" i="144"/>
  <c r="AB37" i="144"/>
  <c r="R37" i="144"/>
  <c r="P37" i="144"/>
  <c r="N37" i="144"/>
  <c r="L37" i="144"/>
  <c r="H37" i="144"/>
  <c r="C37" i="144"/>
  <c r="S37" i="143"/>
  <c r="J37" i="143"/>
  <c r="W37" i="143" s="1"/>
  <c r="X35" i="143"/>
  <c r="G245" i="138" s="1"/>
  <c r="T37" i="143"/>
  <c r="Y36" i="143"/>
  <c r="Z36" i="143" s="1"/>
  <c r="AD38" i="143"/>
  <c r="AB38" i="143"/>
  <c r="R38" i="143"/>
  <c r="P38" i="143"/>
  <c r="N38" i="143"/>
  <c r="L38" i="143"/>
  <c r="H38" i="143"/>
  <c r="C38" i="143"/>
  <c r="A39" i="143"/>
  <c r="O38" i="143"/>
  <c r="K38" i="143"/>
  <c r="D38" i="143"/>
  <c r="AC38" i="143"/>
  <c r="Q38" i="143"/>
  <c r="M38" i="143"/>
  <c r="I38" i="143"/>
  <c r="B38" i="143"/>
  <c r="AA36" i="143" l="1"/>
  <c r="AA36" i="144"/>
  <c r="F351" i="138"/>
  <c r="E351" i="138"/>
  <c r="D351" i="138"/>
  <c r="I351" i="138"/>
  <c r="F246" i="138"/>
  <c r="E246" i="138"/>
  <c r="D246" i="138"/>
  <c r="I246" i="138"/>
  <c r="B352" i="138"/>
  <c r="B247" i="138"/>
  <c r="X36" i="144"/>
  <c r="G351" i="138" s="1"/>
  <c r="S37" i="144"/>
  <c r="J37" i="144"/>
  <c r="W37" i="144" s="1"/>
  <c r="AD38" i="144"/>
  <c r="AB38" i="144"/>
  <c r="R38" i="144"/>
  <c r="P38" i="144"/>
  <c r="N38" i="144"/>
  <c r="L38" i="144"/>
  <c r="H38" i="144"/>
  <c r="C38" i="144"/>
  <c r="A39" i="144"/>
  <c r="AC38" i="144"/>
  <c r="Q38" i="144"/>
  <c r="T38" i="144" s="1"/>
  <c r="O38" i="144"/>
  <c r="M38" i="144"/>
  <c r="K38" i="144"/>
  <c r="I38" i="144"/>
  <c r="D38" i="144"/>
  <c r="B38" i="144"/>
  <c r="Y37" i="144"/>
  <c r="Z37" i="144" s="1"/>
  <c r="J38" i="143"/>
  <c r="W38" i="143" s="1"/>
  <c r="S38" i="143"/>
  <c r="X36" i="143"/>
  <c r="G246" i="138" s="1"/>
  <c r="A40" i="143"/>
  <c r="AC39" i="143"/>
  <c r="Q39" i="143"/>
  <c r="O39" i="143"/>
  <c r="M39" i="143"/>
  <c r="K39" i="143"/>
  <c r="I39" i="143"/>
  <c r="D39" i="143"/>
  <c r="B39" i="143"/>
  <c r="AD39" i="143"/>
  <c r="R39" i="143"/>
  <c r="N39" i="143"/>
  <c r="AB39" i="143"/>
  <c r="P39" i="143"/>
  <c r="L39" i="143"/>
  <c r="H39" i="143"/>
  <c r="C39" i="143"/>
  <c r="T38" i="143"/>
  <c r="Y37" i="143"/>
  <c r="Z37" i="143" l="1"/>
  <c r="F247" i="138" s="1"/>
  <c r="AA37" i="143"/>
  <c r="D352" i="138"/>
  <c r="F352" i="138"/>
  <c r="I352" i="138"/>
  <c r="X37" i="144"/>
  <c r="G352" i="138" s="1"/>
  <c r="AA37" i="144"/>
  <c r="E352" i="138" s="1"/>
  <c r="E247" i="138"/>
  <c r="D247" i="138"/>
  <c r="I247" i="138"/>
  <c r="B353" i="138"/>
  <c r="B248" i="138"/>
  <c r="Y38" i="144"/>
  <c r="Z38" i="144" s="1"/>
  <c r="J38" i="144"/>
  <c r="W38" i="144" s="1"/>
  <c r="S38" i="144"/>
  <c r="A40" i="144"/>
  <c r="AC39" i="144"/>
  <c r="AB39" i="144"/>
  <c r="Q39" i="144"/>
  <c r="T39" i="144" s="1"/>
  <c r="O39" i="144"/>
  <c r="M39" i="144"/>
  <c r="K39" i="144"/>
  <c r="I39" i="144"/>
  <c r="D39" i="144"/>
  <c r="B39" i="144"/>
  <c r="AD39" i="144"/>
  <c r="R39" i="144"/>
  <c r="P39" i="144"/>
  <c r="N39" i="144"/>
  <c r="L39" i="144"/>
  <c r="H39" i="144"/>
  <c r="C39" i="144"/>
  <c r="S39" i="143"/>
  <c r="J39" i="143"/>
  <c r="W39" i="143" s="1"/>
  <c r="X37" i="143"/>
  <c r="G247" i="138" s="1"/>
  <c r="T39" i="143"/>
  <c r="Y38" i="143"/>
  <c r="Z38" i="143" s="1"/>
  <c r="AD40" i="143"/>
  <c r="AB40" i="143"/>
  <c r="R40" i="143"/>
  <c r="P40" i="143"/>
  <c r="N40" i="143"/>
  <c r="L40" i="143"/>
  <c r="H40" i="143"/>
  <c r="C40" i="143"/>
  <c r="A41" i="143"/>
  <c r="O40" i="143"/>
  <c r="K40" i="143"/>
  <c r="D40" i="143"/>
  <c r="AC40" i="143"/>
  <c r="Q40" i="143"/>
  <c r="M40" i="143"/>
  <c r="I40" i="143"/>
  <c r="B40" i="143"/>
  <c r="AA38" i="144" l="1"/>
  <c r="AA38" i="143"/>
  <c r="F353" i="138"/>
  <c r="E353" i="138"/>
  <c r="D353" i="138"/>
  <c r="I353" i="138"/>
  <c r="F248" i="138"/>
  <c r="E248" i="138"/>
  <c r="D248" i="138"/>
  <c r="I248" i="138"/>
  <c r="B354" i="138"/>
  <c r="B249" i="138"/>
  <c r="X38" i="144"/>
  <c r="G353" i="138" s="1"/>
  <c r="S39" i="144"/>
  <c r="J39" i="144"/>
  <c r="W39" i="144" s="1"/>
  <c r="AD40" i="144"/>
  <c r="AB40" i="144"/>
  <c r="R40" i="144"/>
  <c r="P40" i="144"/>
  <c r="N40" i="144"/>
  <c r="L40" i="144"/>
  <c r="H40" i="144"/>
  <c r="C40" i="144"/>
  <c r="AC40" i="144"/>
  <c r="Q40" i="144"/>
  <c r="T40" i="144" s="1"/>
  <c r="M40" i="144"/>
  <c r="I40" i="144"/>
  <c r="B40" i="144"/>
  <c r="A41" i="144"/>
  <c r="O40" i="144"/>
  <c r="K40" i="144"/>
  <c r="D40" i="144"/>
  <c r="Y39" i="144"/>
  <c r="Z39" i="144" s="1"/>
  <c r="A42" i="143"/>
  <c r="AC41" i="143"/>
  <c r="Q41" i="143"/>
  <c r="O41" i="143"/>
  <c r="M41" i="143"/>
  <c r="K41" i="143"/>
  <c r="I41" i="143"/>
  <c r="D41" i="143"/>
  <c r="B41" i="143"/>
  <c r="AD41" i="143"/>
  <c r="R41" i="143"/>
  <c r="N41" i="143"/>
  <c r="AB41" i="143"/>
  <c r="P41" i="143"/>
  <c r="L41" i="143"/>
  <c r="H41" i="143"/>
  <c r="C41" i="143"/>
  <c r="T40" i="143"/>
  <c r="Y39" i="143"/>
  <c r="Z39" i="143" s="1"/>
  <c r="J40" i="143"/>
  <c r="W40" i="143" s="1"/>
  <c r="S40" i="143"/>
  <c r="X38" i="143"/>
  <c r="G248" i="138" s="1"/>
  <c r="AA39" i="143" l="1"/>
  <c r="F354" i="138"/>
  <c r="D354" i="138"/>
  <c r="I354" i="138"/>
  <c r="X39" i="143"/>
  <c r="G249" i="138" s="1"/>
  <c r="X39" i="144"/>
  <c r="G354" i="138" s="1"/>
  <c r="AA39" i="144"/>
  <c r="E354" i="138" s="1"/>
  <c r="E249" i="138"/>
  <c r="F249" i="138"/>
  <c r="D249" i="138"/>
  <c r="I249" i="138"/>
  <c r="B355" i="138"/>
  <c r="B250" i="138"/>
  <c r="Y40" i="144"/>
  <c r="Z40" i="144" s="1"/>
  <c r="J40" i="144"/>
  <c r="W40" i="144" s="1"/>
  <c r="S40" i="144"/>
  <c r="A42" i="144"/>
  <c r="AC41" i="144"/>
  <c r="Q41" i="144"/>
  <c r="T41" i="144" s="1"/>
  <c r="O41" i="144"/>
  <c r="M41" i="144"/>
  <c r="K41" i="144"/>
  <c r="I41" i="144"/>
  <c r="D41" i="144"/>
  <c r="B41" i="144"/>
  <c r="AB41" i="144"/>
  <c r="P41" i="144"/>
  <c r="L41" i="144"/>
  <c r="H41" i="144"/>
  <c r="C41" i="144"/>
  <c r="AD41" i="144"/>
  <c r="R41" i="144"/>
  <c r="N41" i="144"/>
  <c r="T41" i="143"/>
  <c r="Y40" i="143"/>
  <c r="AD42" i="143"/>
  <c r="AB42" i="143"/>
  <c r="R42" i="143"/>
  <c r="P42" i="143"/>
  <c r="N42" i="143"/>
  <c r="L42" i="143"/>
  <c r="H42" i="143"/>
  <c r="C42" i="143"/>
  <c r="A43" i="143"/>
  <c r="O42" i="143"/>
  <c r="K42" i="143"/>
  <c r="D42" i="143"/>
  <c r="AC42" i="143"/>
  <c r="Q42" i="143"/>
  <c r="M42" i="143"/>
  <c r="I42" i="143"/>
  <c r="B42" i="143"/>
  <c r="S41" i="143"/>
  <c r="J41" i="143"/>
  <c r="W41" i="143" s="1"/>
  <c r="Z40" i="143" l="1"/>
  <c r="F250" i="138" s="1"/>
  <c r="AA40" i="143"/>
  <c r="AA40" i="144"/>
  <c r="E250" i="138"/>
  <c r="D250" i="138"/>
  <c r="I250" i="138"/>
  <c r="F355" i="138"/>
  <c r="E355" i="138"/>
  <c r="D355" i="138"/>
  <c r="I355" i="138"/>
  <c r="B356" i="138"/>
  <c r="B251" i="138"/>
  <c r="X40" i="144"/>
  <c r="S41" i="144"/>
  <c r="J41" i="144"/>
  <c r="W41" i="144" s="1"/>
  <c r="AD42" i="144"/>
  <c r="AB42" i="144"/>
  <c r="R42" i="144"/>
  <c r="P42" i="144"/>
  <c r="N42" i="144"/>
  <c r="L42" i="144"/>
  <c r="H42" i="144"/>
  <c r="C42" i="144"/>
  <c r="AC42" i="144"/>
  <c r="Q42" i="144"/>
  <c r="M42" i="144"/>
  <c r="I42" i="144"/>
  <c r="B42" i="144"/>
  <c r="A43" i="144"/>
  <c r="O42" i="144"/>
  <c r="K42" i="144"/>
  <c r="D42" i="144"/>
  <c r="T42" i="144"/>
  <c r="Y41" i="144"/>
  <c r="Z41" i="144" s="1"/>
  <c r="J42" i="143"/>
  <c r="W42" i="143" s="1"/>
  <c r="S42" i="143"/>
  <c r="X40" i="143"/>
  <c r="G250" i="138" s="1"/>
  <c r="A44" i="143"/>
  <c r="AC43" i="143"/>
  <c r="Q43" i="143"/>
  <c r="O43" i="143"/>
  <c r="M43" i="143"/>
  <c r="K43" i="143"/>
  <c r="I43" i="143"/>
  <c r="D43" i="143"/>
  <c r="B43" i="143"/>
  <c r="AD43" i="143"/>
  <c r="R43" i="143"/>
  <c r="N43" i="143"/>
  <c r="AB43" i="143"/>
  <c r="P43" i="143"/>
  <c r="L43" i="143"/>
  <c r="H43" i="143"/>
  <c r="C43" i="143"/>
  <c r="T42" i="143"/>
  <c r="Y41" i="143"/>
  <c r="Z41" i="143" s="1"/>
  <c r="AA41" i="143" l="1"/>
  <c r="D356" i="138"/>
  <c r="F356" i="138"/>
  <c r="I356" i="138"/>
  <c r="G355" i="138"/>
  <c r="AA41" i="144"/>
  <c r="E356" i="138" s="1"/>
  <c r="E251" i="138"/>
  <c r="D251" i="138"/>
  <c r="F251" i="138"/>
  <c r="I251" i="138"/>
  <c r="B357" i="138"/>
  <c r="B252" i="138"/>
  <c r="X41" i="143"/>
  <c r="X41" i="144"/>
  <c r="G356" i="138" s="1"/>
  <c r="Y42" i="144"/>
  <c r="Z42" i="144" s="1"/>
  <c r="J42" i="144"/>
  <c r="W42" i="144" s="1"/>
  <c r="S42" i="144"/>
  <c r="A44" i="144"/>
  <c r="AC43" i="144"/>
  <c r="Q43" i="144"/>
  <c r="T43" i="144" s="1"/>
  <c r="O43" i="144"/>
  <c r="M43" i="144"/>
  <c r="K43" i="144"/>
  <c r="I43" i="144"/>
  <c r="D43" i="144"/>
  <c r="B43" i="144"/>
  <c r="AB43" i="144"/>
  <c r="P43" i="144"/>
  <c r="L43" i="144"/>
  <c r="H43" i="144"/>
  <c r="C43" i="144"/>
  <c r="AD43" i="144"/>
  <c r="R43" i="144"/>
  <c r="N43" i="144"/>
  <c r="T43" i="143"/>
  <c r="Y42" i="143"/>
  <c r="S43" i="143"/>
  <c r="J43" i="143"/>
  <c r="W43" i="143" s="1"/>
  <c r="AD44" i="143"/>
  <c r="AB44" i="143"/>
  <c r="R44" i="143"/>
  <c r="P44" i="143"/>
  <c r="N44" i="143"/>
  <c r="L44" i="143"/>
  <c r="H44" i="143"/>
  <c r="C44" i="143"/>
  <c r="A45" i="143"/>
  <c r="O44" i="143"/>
  <c r="K44" i="143"/>
  <c r="D44" i="143"/>
  <c r="AC44" i="143"/>
  <c r="Q44" i="143"/>
  <c r="M44" i="143"/>
  <c r="I44" i="143"/>
  <c r="B44" i="143"/>
  <c r="AA42" i="144" l="1"/>
  <c r="Z42" i="143"/>
  <c r="F252" i="138" s="1"/>
  <c r="AA42" i="143"/>
  <c r="F357" i="138"/>
  <c r="E357" i="138"/>
  <c r="I357" i="138"/>
  <c r="D357" i="138"/>
  <c r="G251" i="138"/>
  <c r="E252" i="138"/>
  <c r="I252" i="138"/>
  <c r="D252" i="138"/>
  <c r="B358" i="138"/>
  <c r="B253" i="138"/>
  <c r="X42" i="144"/>
  <c r="G357" i="138" s="1"/>
  <c r="S43" i="144"/>
  <c r="J43" i="144"/>
  <c r="W43" i="144" s="1"/>
  <c r="AD44" i="144"/>
  <c r="AB44" i="144"/>
  <c r="R44" i="144"/>
  <c r="P44" i="144"/>
  <c r="N44" i="144"/>
  <c r="L44" i="144"/>
  <c r="H44" i="144"/>
  <c r="C44" i="144"/>
  <c r="AC44" i="144"/>
  <c r="Q44" i="144"/>
  <c r="M44" i="144"/>
  <c r="I44" i="144"/>
  <c r="B44" i="144"/>
  <c r="A45" i="144"/>
  <c r="O44" i="144"/>
  <c r="K44" i="144"/>
  <c r="D44" i="144"/>
  <c r="T44" i="144"/>
  <c r="Y43" i="144"/>
  <c r="Z43" i="144" s="1"/>
  <c r="J44" i="143"/>
  <c r="W44" i="143" s="1"/>
  <c r="S44" i="143"/>
  <c r="X42" i="143"/>
  <c r="A46" i="143"/>
  <c r="AC45" i="143"/>
  <c r="Q45" i="143"/>
  <c r="O45" i="143"/>
  <c r="M45" i="143"/>
  <c r="K45" i="143"/>
  <c r="I45" i="143"/>
  <c r="D45" i="143"/>
  <c r="B45" i="143"/>
  <c r="AD45" i="143"/>
  <c r="R45" i="143"/>
  <c r="N45" i="143"/>
  <c r="AB45" i="143"/>
  <c r="P45" i="143"/>
  <c r="L45" i="143"/>
  <c r="H45" i="143"/>
  <c r="C45" i="143"/>
  <c r="T44" i="143"/>
  <c r="Y43" i="143"/>
  <c r="Z43" i="143" s="1"/>
  <c r="AA43" i="143" l="1"/>
  <c r="F358" i="138"/>
  <c r="D358" i="138"/>
  <c r="I358" i="138"/>
  <c r="G252" i="138"/>
  <c r="AA43" i="144"/>
  <c r="E253" i="138"/>
  <c r="F253" i="138"/>
  <c r="D253" i="138"/>
  <c r="I253" i="138"/>
  <c r="B359" i="138"/>
  <c r="B254" i="138"/>
  <c r="X43" i="144"/>
  <c r="G358" i="138" s="1"/>
  <c r="Y44" i="144"/>
  <c r="Z44" i="144" s="1"/>
  <c r="J44" i="144"/>
  <c r="W44" i="144" s="1"/>
  <c r="AA44" i="144"/>
  <c r="S44" i="144"/>
  <c r="A46" i="144"/>
  <c r="AC45" i="144"/>
  <c r="Q45" i="144"/>
  <c r="T45" i="144" s="1"/>
  <c r="O45" i="144"/>
  <c r="M45" i="144"/>
  <c r="K45" i="144"/>
  <c r="I45" i="144"/>
  <c r="D45" i="144"/>
  <c r="B45" i="144"/>
  <c r="AB45" i="144"/>
  <c r="P45" i="144"/>
  <c r="L45" i="144"/>
  <c r="H45" i="144"/>
  <c r="C45" i="144"/>
  <c r="AD45" i="144"/>
  <c r="R45" i="144"/>
  <c r="N45" i="144"/>
  <c r="X43" i="143"/>
  <c r="G253" i="138" s="1"/>
  <c r="T45" i="143"/>
  <c r="Y44" i="143"/>
  <c r="AD46" i="143"/>
  <c r="AB46" i="143"/>
  <c r="R46" i="143"/>
  <c r="P46" i="143"/>
  <c r="N46" i="143"/>
  <c r="L46" i="143"/>
  <c r="H46" i="143"/>
  <c r="C46" i="143"/>
  <c r="A47" i="143"/>
  <c r="O46" i="143"/>
  <c r="K46" i="143"/>
  <c r="D46" i="143"/>
  <c r="AC46" i="143"/>
  <c r="Q46" i="143"/>
  <c r="M46" i="143"/>
  <c r="I46" i="143"/>
  <c r="B46" i="143"/>
  <c r="S45" i="143"/>
  <c r="J45" i="143"/>
  <c r="W45" i="143" s="1"/>
  <c r="Z44" i="143" l="1"/>
  <c r="F254" i="138" s="1"/>
  <c r="AA44" i="143"/>
  <c r="F359" i="138"/>
  <c r="E359" i="138"/>
  <c r="D359" i="138"/>
  <c r="I359" i="138"/>
  <c r="E358" i="138"/>
  <c r="E254" i="138"/>
  <c r="D254" i="138"/>
  <c r="I254" i="138"/>
  <c r="B360" i="138"/>
  <c r="B255" i="138"/>
  <c r="X44" i="144"/>
  <c r="G359" i="138" s="1"/>
  <c r="S45" i="144"/>
  <c r="J45" i="144"/>
  <c r="W45" i="144" s="1"/>
  <c r="AD46" i="144"/>
  <c r="AB46" i="144"/>
  <c r="R46" i="144"/>
  <c r="P46" i="144"/>
  <c r="N46" i="144"/>
  <c r="L46" i="144"/>
  <c r="H46" i="144"/>
  <c r="C46" i="144"/>
  <c r="AC46" i="144"/>
  <c r="Q46" i="144"/>
  <c r="M46" i="144"/>
  <c r="I46" i="144"/>
  <c r="B46" i="144"/>
  <c r="A47" i="144"/>
  <c r="O46" i="144"/>
  <c r="K46" i="144"/>
  <c r="D46" i="144"/>
  <c r="T46" i="144"/>
  <c r="Y45" i="144"/>
  <c r="Z45" i="144" s="1"/>
  <c r="T46" i="143"/>
  <c r="Y45" i="143"/>
  <c r="Z45" i="143" s="1"/>
  <c r="A48" i="143"/>
  <c r="AC47" i="143"/>
  <c r="Q47" i="143"/>
  <c r="O47" i="143"/>
  <c r="M47" i="143"/>
  <c r="K47" i="143"/>
  <c r="I47" i="143"/>
  <c r="D47" i="143"/>
  <c r="B47" i="143"/>
  <c r="AB47" i="143"/>
  <c r="P47" i="143"/>
  <c r="L47" i="143"/>
  <c r="R47" i="143"/>
  <c r="AD47" i="143"/>
  <c r="N47" i="143"/>
  <c r="H47" i="143"/>
  <c r="C47" i="143"/>
  <c r="X44" i="143"/>
  <c r="G254" i="138" s="1"/>
  <c r="J46" i="143"/>
  <c r="W46" i="143" s="1"/>
  <c r="S46" i="143"/>
  <c r="AA45" i="143" l="1"/>
  <c r="E255" i="138" s="1"/>
  <c r="D360" i="138"/>
  <c r="F360" i="138"/>
  <c r="I360" i="138"/>
  <c r="X45" i="144"/>
  <c r="G360" i="138" s="1"/>
  <c r="AA45" i="144"/>
  <c r="E360" i="138" s="1"/>
  <c r="D255" i="138"/>
  <c r="F255" i="138"/>
  <c r="I255" i="138"/>
  <c r="B361" i="138"/>
  <c r="B256" i="138"/>
  <c r="Y46" i="144"/>
  <c r="Z46" i="144" s="1"/>
  <c r="J46" i="144"/>
  <c r="W46" i="144" s="1"/>
  <c r="S46" i="144"/>
  <c r="A48" i="144"/>
  <c r="AC47" i="144"/>
  <c r="Q47" i="144"/>
  <c r="T47" i="144" s="1"/>
  <c r="O47" i="144"/>
  <c r="M47" i="144"/>
  <c r="K47" i="144"/>
  <c r="I47" i="144"/>
  <c r="D47" i="144"/>
  <c r="B47" i="144"/>
  <c r="AB47" i="144"/>
  <c r="P47" i="144"/>
  <c r="L47" i="144"/>
  <c r="H47" i="144"/>
  <c r="C47" i="144"/>
  <c r="AD47" i="144"/>
  <c r="R47" i="144"/>
  <c r="N47" i="144"/>
  <c r="X45" i="143"/>
  <c r="G255" i="138" s="1"/>
  <c r="T47" i="143"/>
  <c r="Y46" i="143"/>
  <c r="S47" i="143"/>
  <c r="J47" i="143"/>
  <c r="W47" i="143" s="1"/>
  <c r="AD48" i="143"/>
  <c r="AB48" i="143"/>
  <c r="R48" i="143"/>
  <c r="P48" i="143"/>
  <c r="N48" i="143"/>
  <c r="L48" i="143"/>
  <c r="H48" i="143"/>
  <c r="C48" i="143"/>
  <c r="AC48" i="143"/>
  <c r="Q48" i="143"/>
  <c r="M48" i="143"/>
  <c r="I48" i="143"/>
  <c r="B48" i="143"/>
  <c r="A49" i="143"/>
  <c r="O48" i="143"/>
  <c r="D48" i="143"/>
  <c r="K48" i="143"/>
  <c r="AA46" i="144" l="1"/>
  <c r="Z46" i="143"/>
  <c r="F256" i="138" s="1"/>
  <c r="AA46" i="143"/>
  <c r="F361" i="138"/>
  <c r="E361" i="138"/>
  <c r="D361" i="138"/>
  <c r="I361" i="138"/>
  <c r="E256" i="138"/>
  <c r="D256" i="138"/>
  <c r="I256" i="138"/>
  <c r="B362" i="138"/>
  <c r="B257" i="138"/>
  <c r="X46" i="144"/>
  <c r="G361" i="138" s="1"/>
  <c r="S47" i="144"/>
  <c r="J47" i="144"/>
  <c r="W47" i="144" s="1"/>
  <c r="AD48" i="144"/>
  <c r="AB48" i="144"/>
  <c r="R48" i="144"/>
  <c r="P48" i="144"/>
  <c r="N48" i="144"/>
  <c r="L48" i="144"/>
  <c r="H48" i="144"/>
  <c r="C48" i="144"/>
  <c r="AC48" i="144"/>
  <c r="Q48" i="144"/>
  <c r="T48" i="144" s="1"/>
  <c r="M48" i="144"/>
  <c r="I48" i="144"/>
  <c r="B48" i="144"/>
  <c r="A49" i="144"/>
  <c r="O48" i="144"/>
  <c r="K48" i="144"/>
  <c r="D48" i="144"/>
  <c r="Y47" i="144"/>
  <c r="Z47" i="144" s="1"/>
  <c r="X46" i="143"/>
  <c r="J48" i="143"/>
  <c r="W48" i="143" s="1"/>
  <c r="S48" i="143"/>
  <c r="A50" i="143"/>
  <c r="AC49" i="143"/>
  <c r="Q49" i="143"/>
  <c r="O49" i="143"/>
  <c r="M49" i="143"/>
  <c r="K49" i="143"/>
  <c r="I49" i="143"/>
  <c r="D49" i="143"/>
  <c r="B49" i="143"/>
  <c r="AB49" i="143"/>
  <c r="P49" i="143"/>
  <c r="L49" i="143"/>
  <c r="H49" i="143"/>
  <c r="C49" i="143"/>
  <c r="R49" i="143"/>
  <c r="AD49" i="143"/>
  <c r="N49" i="143"/>
  <c r="T48" i="143"/>
  <c r="Y47" i="143"/>
  <c r="Z47" i="143" l="1"/>
  <c r="AA47" i="143"/>
  <c r="E257" i="138" s="1"/>
  <c r="X47" i="144"/>
  <c r="AA47" i="144"/>
  <c r="E362" i="138" s="1"/>
  <c r="G362" i="138"/>
  <c r="F362" i="138"/>
  <c r="D362" i="138"/>
  <c r="I362" i="138"/>
  <c r="G256" i="138"/>
  <c r="F257" i="138"/>
  <c r="D257" i="138"/>
  <c r="I257" i="138"/>
  <c r="B363" i="138"/>
  <c r="B258" i="138"/>
  <c r="Y48" i="144"/>
  <c r="Z48" i="144" s="1"/>
  <c r="J48" i="144"/>
  <c r="W48" i="144" s="1"/>
  <c r="S48" i="144"/>
  <c r="A50" i="144"/>
  <c r="AC49" i="144"/>
  <c r="Q49" i="144"/>
  <c r="T49" i="144" s="1"/>
  <c r="O49" i="144"/>
  <c r="M49" i="144"/>
  <c r="K49" i="144"/>
  <c r="I49" i="144"/>
  <c r="D49" i="144"/>
  <c r="B49" i="144"/>
  <c r="AB49" i="144"/>
  <c r="P49" i="144"/>
  <c r="L49" i="144"/>
  <c r="H49" i="144"/>
  <c r="C49" i="144"/>
  <c r="AD49" i="144"/>
  <c r="R49" i="144"/>
  <c r="N49" i="144"/>
  <c r="AD50" i="143"/>
  <c r="AB50" i="143"/>
  <c r="R50" i="143"/>
  <c r="P50" i="143"/>
  <c r="N50" i="143"/>
  <c r="L50" i="143"/>
  <c r="H50" i="143"/>
  <c r="C50" i="143"/>
  <c r="AC50" i="143"/>
  <c r="Q50" i="143"/>
  <c r="M50" i="143"/>
  <c r="I50" i="143"/>
  <c r="B50" i="143"/>
  <c r="A51" i="143"/>
  <c r="O50" i="143"/>
  <c r="D50" i="143"/>
  <c r="K50" i="143"/>
  <c r="X47" i="143"/>
  <c r="T49" i="143"/>
  <c r="Y48" i="143"/>
  <c r="S49" i="143"/>
  <c r="J49" i="143"/>
  <c r="W49" i="143" s="1"/>
  <c r="AA48" i="144" l="1"/>
  <c r="Z48" i="143"/>
  <c r="AA48" i="143"/>
  <c r="E258" i="138" s="1"/>
  <c r="F258" i="138"/>
  <c r="D258" i="138"/>
  <c r="I258" i="138"/>
  <c r="G257" i="138"/>
  <c r="F363" i="138"/>
  <c r="E363" i="138"/>
  <c r="D363" i="138"/>
  <c r="I363" i="138"/>
  <c r="B364" i="138"/>
  <c r="B259" i="138"/>
  <c r="X48" i="144"/>
  <c r="G363" i="138" s="1"/>
  <c r="S49" i="144"/>
  <c r="J49" i="144"/>
  <c r="W49" i="144" s="1"/>
  <c r="AD50" i="144"/>
  <c r="AB50" i="144"/>
  <c r="R50" i="144"/>
  <c r="P50" i="144"/>
  <c r="N50" i="144"/>
  <c r="L50" i="144"/>
  <c r="H50" i="144"/>
  <c r="C50" i="144"/>
  <c r="AC50" i="144"/>
  <c r="Q50" i="144"/>
  <c r="T50" i="144" s="1"/>
  <c r="M50" i="144"/>
  <c r="I50" i="144"/>
  <c r="B50" i="144"/>
  <c r="A51" i="144"/>
  <c r="O50" i="144"/>
  <c r="K50" i="144"/>
  <c r="D50" i="144"/>
  <c r="Y49" i="144"/>
  <c r="Z49" i="144" s="1"/>
  <c r="X48" i="143"/>
  <c r="G258" i="138" s="1"/>
  <c r="T50" i="143"/>
  <c r="Y49" i="143"/>
  <c r="Z49" i="143" s="1"/>
  <c r="J50" i="143"/>
  <c r="W50" i="143" s="1"/>
  <c r="S50" i="143"/>
  <c r="A52" i="143"/>
  <c r="AC51" i="143"/>
  <c r="Q51" i="143"/>
  <c r="O51" i="143"/>
  <c r="M51" i="143"/>
  <c r="K51" i="143"/>
  <c r="I51" i="143"/>
  <c r="D51" i="143"/>
  <c r="B51" i="143"/>
  <c r="AB51" i="143"/>
  <c r="P51" i="143"/>
  <c r="L51" i="143"/>
  <c r="H51" i="143"/>
  <c r="C51" i="143"/>
  <c r="R51" i="143"/>
  <c r="AD51" i="143"/>
  <c r="N51" i="143"/>
  <c r="AA49" i="143" l="1"/>
  <c r="X49" i="143"/>
  <c r="X49" i="144"/>
  <c r="G364" i="138" s="1"/>
  <c r="D364" i="138"/>
  <c r="F364" i="138"/>
  <c r="I364" i="138"/>
  <c r="AA49" i="144"/>
  <c r="E364" i="138" s="1"/>
  <c r="G259" i="138"/>
  <c r="E259" i="138"/>
  <c r="D259" i="138"/>
  <c r="F259" i="138"/>
  <c r="I259" i="138"/>
  <c r="B365" i="138"/>
  <c r="B260" i="138"/>
  <c r="Y50" i="144"/>
  <c r="Z50" i="144" s="1"/>
  <c r="J50" i="144"/>
  <c r="W50" i="144" s="1"/>
  <c r="S50" i="144"/>
  <c r="A52" i="144"/>
  <c r="AC51" i="144"/>
  <c r="Q51" i="144"/>
  <c r="T51" i="144" s="1"/>
  <c r="O51" i="144"/>
  <c r="M51" i="144"/>
  <c r="K51" i="144"/>
  <c r="I51" i="144"/>
  <c r="D51" i="144"/>
  <c r="B51" i="144"/>
  <c r="AB51" i="144"/>
  <c r="P51" i="144"/>
  <c r="L51" i="144"/>
  <c r="H51" i="144"/>
  <c r="C51" i="144"/>
  <c r="AD51" i="144"/>
  <c r="R51" i="144"/>
  <c r="N51" i="144"/>
  <c r="S51" i="143"/>
  <c r="J51" i="143"/>
  <c r="W51" i="143" s="1"/>
  <c r="AD52" i="143"/>
  <c r="AB52" i="143"/>
  <c r="R52" i="143"/>
  <c r="P52" i="143"/>
  <c r="N52" i="143"/>
  <c r="L52" i="143"/>
  <c r="H52" i="143"/>
  <c r="C52" i="143"/>
  <c r="AC52" i="143"/>
  <c r="Q52" i="143"/>
  <c r="M52" i="143"/>
  <c r="I52" i="143"/>
  <c r="B52" i="143"/>
  <c r="A53" i="143"/>
  <c r="O52" i="143"/>
  <c r="D52" i="143"/>
  <c r="K52" i="143"/>
  <c r="T51" i="143"/>
  <c r="Y50" i="143"/>
  <c r="AA50" i="144" l="1"/>
  <c r="Z50" i="143"/>
  <c r="AA50" i="143"/>
  <c r="F365" i="138"/>
  <c r="E365" i="138"/>
  <c r="I365" i="138"/>
  <c r="D365" i="138"/>
  <c r="F260" i="138"/>
  <c r="E260" i="138"/>
  <c r="I260" i="138"/>
  <c r="D260" i="138"/>
  <c r="B366" i="138"/>
  <c r="B261" i="138"/>
  <c r="X50" i="144"/>
  <c r="S51" i="144"/>
  <c r="J51" i="144"/>
  <c r="W51" i="144" s="1"/>
  <c r="AD52" i="144"/>
  <c r="AB52" i="144"/>
  <c r="R52" i="144"/>
  <c r="P52" i="144"/>
  <c r="N52" i="144"/>
  <c r="L52" i="144"/>
  <c r="H52" i="144"/>
  <c r="C52" i="144"/>
  <c r="AC52" i="144"/>
  <c r="Q52" i="144"/>
  <c r="T52" i="144" s="1"/>
  <c r="M52" i="144"/>
  <c r="I52" i="144"/>
  <c r="B52" i="144"/>
  <c r="A53" i="144"/>
  <c r="O52" i="144"/>
  <c r="K52" i="144"/>
  <c r="D52" i="144"/>
  <c r="Y51" i="144"/>
  <c r="Z51" i="144" s="1"/>
  <c r="X50" i="143"/>
  <c r="G260" i="138" s="1"/>
  <c r="T52" i="143"/>
  <c r="Y51" i="143"/>
  <c r="J52" i="143"/>
  <c r="W52" i="143" s="1"/>
  <c r="S52" i="143"/>
  <c r="A54" i="143"/>
  <c r="AC53" i="143"/>
  <c r="Q53" i="143"/>
  <c r="O53" i="143"/>
  <c r="M53" i="143"/>
  <c r="K53" i="143"/>
  <c r="I53" i="143"/>
  <c r="D53" i="143"/>
  <c r="B53" i="143"/>
  <c r="AB53" i="143"/>
  <c r="P53" i="143"/>
  <c r="L53" i="143"/>
  <c r="H53" i="143"/>
  <c r="C53" i="143"/>
  <c r="R53" i="143"/>
  <c r="AD53" i="143"/>
  <c r="N53" i="143"/>
  <c r="Z51" i="143" l="1"/>
  <c r="AA51" i="143"/>
  <c r="E261" i="138" s="1"/>
  <c r="AA51" i="144"/>
  <c r="E366" i="138" s="1"/>
  <c r="F261" i="138"/>
  <c r="D261" i="138"/>
  <c r="I261" i="138"/>
  <c r="G365" i="138"/>
  <c r="F366" i="138"/>
  <c r="D366" i="138"/>
  <c r="I366" i="138"/>
  <c r="B367" i="138"/>
  <c r="B262" i="138"/>
  <c r="X51" i="143"/>
  <c r="G261" i="138" s="1"/>
  <c r="X51" i="144"/>
  <c r="Y52" i="144"/>
  <c r="Z52" i="144" s="1"/>
  <c r="J52" i="144"/>
  <c r="W52" i="144" s="1"/>
  <c r="S52" i="144"/>
  <c r="A54" i="144"/>
  <c r="AC53" i="144"/>
  <c r="Q53" i="144"/>
  <c r="T53" i="144" s="1"/>
  <c r="O53" i="144"/>
  <c r="M53" i="144"/>
  <c r="K53" i="144"/>
  <c r="I53" i="144"/>
  <c r="D53" i="144"/>
  <c r="B53" i="144"/>
  <c r="AB53" i="144"/>
  <c r="P53" i="144"/>
  <c r="L53" i="144"/>
  <c r="H53" i="144"/>
  <c r="C53" i="144"/>
  <c r="AD53" i="144"/>
  <c r="R53" i="144"/>
  <c r="N53" i="144"/>
  <c r="S53" i="143"/>
  <c r="J53" i="143"/>
  <c r="W53" i="143" s="1"/>
  <c r="AD54" i="143"/>
  <c r="AB54" i="143"/>
  <c r="R54" i="143"/>
  <c r="P54" i="143"/>
  <c r="N54" i="143"/>
  <c r="L54" i="143"/>
  <c r="H54" i="143"/>
  <c r="C54" i="143"/>
  <c r="AC54" i="143"/>
  <c r="Q54" i="143"/>
  <c r="M54" i="143"/>
  <c r="I54" i="143"/>
  <c r="B54" i="143"/>
  <c r="A55" i="143"/>
  <c r="O54" i="143"/>
  <c r="D54" i="143"/>
  <c r="K54" i="143"/>
  <c r="T53" i="143"/>
  <c r="Y52" i="143"/>
  <c r="AA52" i="144" l="1"/>
  <c r="Z52" i="143"/>
  <c r="AA52" i="143"/>
  <c r="E262" i="138" s="1"/>
  <c r="F367" i="138"/>
  <c r="E367" i="138"/>
  <c r="D367" i="138"/>
  <c r="I367" i="138"/>
  <c r="F262" i="138"/>
  <c r="D262" i="138"/>
  <c r="I262" i="138"/>
  <c r="G366" i="138"/>
  <c r="B368" i="138"/>
  <c r="B263" i="138"/>
  <c r="X52" i="144"/>
  <c r="G367" i="138" s="1"/>
  <c r="S53" i="144"/>
  <c r="J53" i="144"/>
  <c r="W53" i="144" s="1"/>
  <c r="AD54" i="144"/>
  <c r="AB54" i="144"/>
  <c r="R54" i="144"/>
  <c r="P54" i="144"/>
  <c r="N54" i="144"/>
  <c r="L54" i="144"/>
  <c r="H54" i="144"/>
  <c r="C54" i="144"/>
  <c r="AC54" i="144"/>
  <c r="Q54" i="144"/>
  <c r="T54" i="144" s="1"/>
  <c r="M54" i="144"/>
  <c r="I54" i="144"/>
  <c r="B54" i="144"/>
  <c r="A55" i="144"/>
  <c r="O54" i="144"/>
  <c r="K54" i="144"/>
  <c r="D54" i="144"/>
  <c r="Y53" i="144"/>
  <c r="Z53" i="144" s="1"/>
  <c r="X52" i="143"/>
  <c r="T54" i="143"/>
  <c r="Y53" i="143"/>
  <c r="Z53" i="143" s="1"/>
  <c r="J54" i="143"/>
  <c r="W54" i="143" s="1"/>
  <c r="S54" i="143"/>
  <c r="A56" i="143"/>
  <c r="AC55" i="143"/>
  <c r="Q55" i="143"/>
  <c r="O55" i="143"/>
  <c r="M55" i="143"/>
  <c r="K55" i="143"/>
  <c r="I55" i="143"/>
  <c r="D55" i="143"/>
  <c r="B55" i="143"/>
  <c r="AB55" i="143"/>
  <c r="P55" i="143"/>
  <c r="L55" i="143"/>
  <c r="H55" i="143"/>
  <c r="C55" i="143"/>
  <c r="R55" i="143"/>
  <c r="AD55" i="143"/>
  <c r="N55" i="143"/>
  <c r="AA53" i="143" l="1"/>
  <c r="X53" i="144"/>
  <c r="AA53" i="144"/>
  <c r="E368" i="138" s="1"/>
  <c r="E263" i="138"/>
  <c r="D263" i="138"/>
  <c r="F263" i="138"/>
  <c r="I263" i="138"/>
  <c r="G368" i="138"/>
  <c r="D368" i="138"/>
  <c r="F368" i="138"/>
  <c r="I368" i="138"/>
  <c r="G262" i="138"/>
  <c r="B369" i="138"/>
  <c r="B264" i="138"/>
  <c r="Y54" i="144"/>
  <c r="Z54" i="144" s="1"/>
  <c r="J54" i="144"/>
  <c r="W54" i="144" s="1"/>
  <c r="S54" i="144"/>
  <c r="A56" i="144"/>
  <c r="AC55" i="144"/>
  <c r="Q55" i="144"/>
  <c r="T55" i="144" s="1"/>
  <c r="O55" i="144"/>
  <c r="M55" i="144"/>
  <c r="K55" i="144"/>
  <c r="I55" i="144"/>
  <c r="D55" i="144"/>
  <c r="B55" i="144"/>
  <c r="AB55" i="144"/>
  <c r="P55" i="144"/>
  <c r="L55" i="144"/>
  <c r="H55" i="144"/>
  <c r="C55" i="144"/>
  <c r="AD55" i="144"/>
  <c r="R55" i="144"/>
  <c r="N55" i="144"/>
  <c r="X53" i="143"/>
  <c r="G263" i="138" s="1"/>
  <c r="T55" i="143"/>
  <c r="Y54" i="143"/>
  <c r="S55" i="143"/>
  <c r="J55" i="143"/>
  <c r="W55" i="143" s="1"/>
  <c r="AD56" i="143"/>
  <c r="AB56" i="143"/>
  <c r="R56" i="143"/>
  <c r="P56" i="143"/>
  <c r="N56" i="143"/>
  <c r="L56" i="143"/>
  <c r="H56" i="143"/>
  <c r="C56" i="143"/>
  <c r="AC56" i="143"/>
  <c r="Q56" i="143"/>
  <c r="M56" i="143"/>
  <c r="I56" i="143"/>
  <c r="B56" i="143"/>
  <c r="A57" i="143"/>
  <c r="O56" i="143"/>
  <c r="D56" i="143"/>
  <c r="K56" i="143"/>
  <c r="AA54" i="144" l="1"/>
  <c r="Z54" i="143"/>
  <c r="AA54" i="143"/>
  <c r="F264" i="138"/>
  <c r="E264" i="138"/>
  <c r="D264" i="138"/>
  <c r="I264" i="138"/>
  <c r="F369" i="138"/>
  <c r="E369" i="138"/>
  <c r="D369" i="138"/>
  <c r="I369" i="138"/>
  <c r="B370" i="138"/>
  <c r="B265" i="138"/>
  <c r="X54" i="144"/>
  <c r="G369" i="138" s="1"/>
  <c r="S55" i="144"/>
  <c r="J55" i="144"/>
  <c r="W55" i="144" s="1"/>
  <c r="AD56" i="144"/>
  <c r="AB56" i="144"/>
  <c r="R56" i="144"/>
  <c r="P56" i="144"/>
  <c r="N56" i="144"/>
  <c r="L56" i="144"/>
  <c r="H56" i="144"/>
  <c r="C56" i="144"/>
  <c r="AC56" i="144"/>
  <c r="Q56" i="144"/>
  <c r="T56" i="144" s="1"/>
  <c r="M56" i="144"/>
  <c r="I56" i="144"/>
  <c r="B56" i="144"/>
  <c r="A57" i="144"/>
  <c r="O56" i="144"/>
  <c r="K56" i="144"/>
  <c r="D56" i="144"/>
  <c r="Y55" i="144"/>
  <c r="Z55" i="144" s="1"/>
  <c r="X54" i="143"/>
  <c r="G264" i="138" s="1"/>
  <c r="J56" i="143"/>
  <c r="W56" i="143" s="1"/>
  <c r="S56" i="143"/>
  <c r="A58" i="143"/>
  <c r="AC57" i="143"/>
  <c r="Q57" i="143"/>
  <c r="O57" i="143"/>
  <c r="M57" i="143"/>
  <c r="K57" i="143"/>
  <c r="I57" i="143"/>
  <c r="D57" i="143"/>
  <c r="B57" i="143"/>
  <c r="AB57" i="143"/>
  <c r="P57" i="143"/>
  <c r="L57" i="143"/>
  <c r="H57" i="143"/>
  <c r="C57" i="143"/>
  <c r="R57" i="143"/>
  <c r="AD57" i="143"/>
  <c r="N57" i="143"/>
  <c r="T56" i="143"/>
  <c r="Y55" i="143"/>
  <c r="Z55" i="143" s="1"/>
  <c r="AA55" i="143" l="1"/>
  <c r="E265" i="138" s="1"/>
  <c r="F370" i="138"/>
  <c r="D370" i="138"/>
  <c r="I370" i="138"/>
  <c r="AA55" i="144"/>
  <c r="E370" i="138" s="1"/>
  <c r="F265" i="138"/>
  <c r="D265" i="138"/>
  <c r="I265" i="138"/>
  <c r="B371" i="138"/>
  <c r="B266" i="138"/>
  <c r="X55" i="144"/>
  <c r="G370" i="138" s="1"/>
  <c r="Y56" i="144"/>
  <c r="Z56" i="144" s="1"/>
  <c r="J56" i="144"/>
  <c r="W56" i="144" s="1"/>
  <c r="S56" i="144"/>
  <c r="AA56" i="144" s="1"/>
  <c r="A58" i="144"/>
  <c r="AC57" i="144"/>
  <c r="Q57" i="144"/>
  <c r="T57" i="144" s="1"/>
  <c r="O57" i="144"/>
  <c r="M57" i="144"/>
  <c r="K57" i="144"/>
  <c r="I57" i="144"/>
  <c r="D57" i="144"/>
  <c r="B57" i="144"/>
  <c r="AB57" i="144"/>
  <c r="P57" i="144"/>
  <c r="L57" i="144"/>
  <c r="H57" i="144"/>
  <c r="C57" i="144"/>
  <c r="AD57" i="144"/>
  <c r="R57" i="144"/>
  <c r="N57" i="144"/>
  <c r="X55" i="143"/>
  <c r="G265" i="138" s="1"/>
  <c r="T57" i="143"/>
  <c r="Y56" i="143"/>
  <c r="Z56" i="143" s="1"/>
  <c r="AD58" i="143"/>
  <c r="AB58" i="143"/>
  <c r="R58" i="143"/>
  <c r="P58" i="143"/>
  <c r="N58" i="143"/>
  <c r="L58" i="143"/>
  <c r="H58" i="143"/>
  <c r="C58" i="143"/>
  <c r="AC58" i="143"/>
  <c r="Q58" i="143"/>
  <c r="M58" i="143"/>
  <c r="I58" i="143"/>
  <c r="B58" i="143"/>
  <c r="A59" i="143"/>
  <c r="O58" i="143"/>
  <c r="D58" i="143"/>
  <c r="K58" i="143"/>
  <c r="S57" i="143"/>
  <c r="J57" i="143"/>
  <c r="W57" i="143" s="1"/>
  <c r="AA56" i="143" l="1"/>
  <c r="F371" i="138"/>
  <c r="E371" i="138"/>
  <c r="D371" i="138"/>
  <c r="I371" i="138"/>
  <c r="F266" i="138"/>
  <c r="E266" i="138"/>
  <c r="D266" i="138"/>
  <c r="I266" i="138"/>
  <c r="B372" i="138"/>
  <c r="B267" i="138"/>
  <c r="X56" i="144"/>
  <c r="G371" i="138" s="1"/>
  <c r="S57" i="144"/>
  <c r="J57" i="144"/>
  <c r="W57" i="144" s="1"/>
  <c r="AD58" i="144"/>
  <c r="AB58" i="144"/>
  <c r="R58" i="144"/>
  <c r="P58" i="144"/>
  <c r="N58" i="144"/>
  <c r="L58" i="144"/>
  <c r="H58" i="144"/>
  <c r="C58" i="144"/>
  <c r="AC58" i="144"/>
  <c r="Q58" i="144"/>
  <c r="T58" i="144" s="1"/>
  <c r="M58" i="144"/>
  <c r="I58" i="144"/>
  <c r="B58" i="144"/>
  <c r="A59" i="144"/>
  <c r="O58" i="144"/>
  <c r="K58" i="144"/>
  <c r="D58" i="144"/>
  <c r="Y57" i="144"/>
  <c r="Z57" i="144" s="1"/>
  <c r="J58" i="143"/>
  <c r="W58" i="143" s="1"/>
  <c r="S58" i="143"/>
  <c r="A60" i="143"/>
  <c r="AC59" i="143"/>
  <c r="Q59" i="143"/>
  <c r="O59" i="143"/>
  <c r="M59" i="143"/>
  <c r="K59" i="143"/>
  <c r="I59" i="143"/>
  <c r="D59" i="143"/>
  <c r="B59" i="143"/>
  <c r="AB59" i="143"/>
  <c r="P59" i="143"/>
  <c r="L59" i="143"/>
  <c r="H59" i="143"/>
  <c r="C59" i="143"/>
  <c r="R59" i="143"/>
  <c r="AD59" i="143"/>
  <c r="N59" i="143"/>
  <c r="T58" i="143"/>
  <c r="Y57" i="143"/>
  <c r="X56" i="143"/>
  <c r="Z57" i="143" l="1"/>
  <c r="F267" i="138" s="1"/>
  <c r="AA57" i="143"/>
  <c r="E267" i="138" s="1"/>
  <c r="AA57" i="144"/>
  <c r="D267" i="138"/>
  <c r="I267" i="138"/>
  <c r="G266" i="138"/>
  <c r="E372" i="138"/>
  <c r="D372" i="138"/>
  <c r="F372" i="138"/>
  <c r="I372" i="138"/>
  <c r="B373" i="138"/>
  <c r="B268" i="138"/>
  <c r="X57" i="144"/>
  <c r="Y58" i="144"/>
  <c r="Z58" i="144" s="1"/>
  <c r="J58" i="144"/>
  <c r="W58" i="144" s="1"/>
  <c r="S58" i="144"/>
  <c r="A60" i="144"/>
  <c r="AC59" i="144"/>
  <c r="Q59" i="144"/>
  <c r="T59" i="144" s="1"/>
  <c r="O59" i="144"/>
  <c r="M59" i="144"/>
  <c r="K59" i="144"/>
  <c r="I59" i="144"/>
  <c r="D59" i="144"/>
  <c r="B59" i="144"/>
  <c r="AB59" i="144"/>
  <c r="P59" i="144"/>
  <c r="L59" i="144"/>
  <c r="H59" i="144"/>
  <c r="C59" i="144"/>
  <c r="AD59" i="144"/>
  <c r="R59" i="144"/>
  <c r="N59" i="144"/>
  <c r="X57" i="143"/>
  <c r="G267" i="138" s="1"/>
  <c r="T59" i="143"/>
  <c r="Y58" i="143"/>
  <c r="S59" i="143"/>
  <c r="J59" i="143"/>
  <c r="W59" i="143" s="1"/>
  <c r="AD60" i="143"/>
  <c r="AB60" i="143"/>
  <c r="R60" i="143"/>
  <c r="P60" i="143"/>
  <c r="N60" i="143"/>
  <c r="L60" i="143"/>
  <c r="H60" i="143"/>
  <c r="C60" i="143"/>
  <c r="AC60" i="143"/>
  <c r="Q60" i="143"/>
  <c r="M60" i="143"/>
  <c r="I60" i="143"/>
  <c r="B60" i="143"/>
  <c r="A61" i="143"/>
  <c r="O60" i="143"/>
  <c r="D60" i="143"/>
  <c r="K60" i="143"/>
  <c r="AA58" i="144" l="1"/>
  <c r="Z58" i="143"/>
  <c r="F268" i="138" s="1"/>
  <c r="AA58" i="143"/>
  <c r="F373" i="138"/>
  <c r="E373" i="138"/>
  <c r="I373" i="138"/>
  <c r="D373" i="138"/>
  <c r="G372" i="138"/>
  <c r="E268" i="138"/>
  <c r="I268" i="138"/>
  <c r="D268" i="138"/>
  <c r="B374" i="138"/>
  <c r="B269" i="138"/>
  <c r="X58" i="144"/>
  <c r="G373" i="138" s="1"/>
  <c r="S59" i="144"/>
  <c r="J59" i="144"/>
  <c r="W59" i="144" s="1"/>
  <c r="AD60" i="144"/>
  <c r="AB60" i="144"/>
  <c r="R60" i="144"/>
  <c r="P60" i="144"/>
  <c r="N60" i="144"/>
  <c r="L60" i="144"/>
  <c r="H60" i="144"/>
  <c r="C60" i="144"/>
  <c r="AC60" i="144"/>
  <c r="Q60" i="144"/>
  <c r="M60" i="144"/>
  <c r="I60" i="144"/>
  <c r="B60" i="144"/>
  <c r="A61" i="144"/>
  <c r="O60" i="144"/>
  <c r="K60" i="144"/>
  <c r="D60" i="144"/>
  <c r="T60" i="144"/>
  <c r="Y59" i="144"/>
  <c r="Z59" i="144" s="1"/>
  <c r="X58" i="143"/>
  <c r="G268" i="138" s="1"/>
  <c r="J60" i="143"/>
  <c r="W60" i="143" s="1"/>
  <c r="S60" i="143"/>
  <c r="A62" i="143"/>
  <c r="AC61" i="143"/>
  <c r="Q61" i="143"/>
  <c r="O61" i="143"/>
  <c r="M61" i="143"/>
  <c r="K61" i="143"/>
  <c r="I61" i="143"/>
  <c r="D61" i="143"/>
  <c r="B61" i="143"/>
  <c r="AB61" i="143"/>
  <c r="P61" i="143"/>
  <c r="L61" i="143"/>
  <c r="H61" i="143"/>
  <c r="C61" i="143"/>
  <c r="R61" i="143"/>
  <c r="AD61" i="143"/>
  <c r="N61" i="143"/>
  <c r="T60" i="143"/>
  <c r="Y59" i="143"/>
  <c r="Z59" i="143" s="1"/>
  <c r="AA59" i="143" l="1"/>
  <c r="E269" i="138" s="1"/>
  <c r="X59" i="144"/>
  <c r="G374" i="138" s="1"/>
  <c r="AA59" i="144"/>
  <c r="E374" i="138" s="1"/>
  <c r="F269" i="138"/>
  <c r="D269" i="138"/>
  <c r="I269" i="138"/>
  <c r="F374" i="138"/>
  <c r="D374" i="138"/>
  <c r="I374" i="138"/>
  <c r="B375" i="138"/>
  <c r="B270" i="138"/>
  <c r="Y60" i="144"/>
  <c r="Z60" i="144" s="1"/>
  <c r="J60" i="144"/>
  <c r="W60" i="144" s="1"/>
  <c r="S60" i="144"/>
  <c r="AA60" i="144" s="1"/>
  <c r="A62" i="144"/>
  <c r="AC61" i="144"/>
  <c r="Q61" i="144"/>
  <c r="T61" i="144" s="1"/>
  <c r="O61" i="144"/>
  <c r="M61" i="144"/>
  <c r="K61" i="144"/>
  <c r="I61" i="144"/>
  <c r="D61" i="144"/>
  <c r="B61" i="144"/>
  <c r="AB61" i="144"/>
  <c r="P61" i="144"/>
  <c r="L61" i="144"/>
  <c r="H61" i="144"/>
  <c r="C61" i="144"/>
  <c r="AD61" i="144"/>
  <c r="R61" i="144"/>
  <c r="N61" i="144"/>
  <c r="AD62" i="143"/>
  <c r="AB62" i="143"/>
  <c r="R62" i="143"/>
  <c r="P62" i="143"/>
  <c r="N62" i="143"/>
  <c r="L62" i="143"/>
  <c r="H62" i="143"/>
  <c r="C62" i="143"/>
  <c r="AC62" i="143"/>
  <c r="Q62" i="143"/>
  <c r="M62" i="143"/>
  <c r="I62" i="143"/>
  <c r="B62" i="143"/>
  <c r="A63" i="143"/>
  <c r="O62" i="143"/>
  <c r="D62" i="143"/>
  <c r="K62" i="143"/>
  <c r="X59" i="143"/>
  <c r="T61" i="143"/>
  <c r="Y60" i="143"/>
  <c r="Z60" i="143" s="1"/>
  <c r="S61" i="143"/>
  <c r="J61" i="143"/>
  <c r="W61" i="143" s="1"/>
  <c r="AA60" i="143" l="1"/>
  <c r="E270" i="138" s="1"/>
  <c r="F375" i="138"/>
  <c r="E375" i="138"/>
  <c r="D375" i="138"/>
  <c r="I375" i="138"/>
  <c r="G269" i="138"/>
  <c r="F270" i="138"/>
  <c r="D270" i="138"/>
  <c r="I270" i="138"/>
  <c r="B376" i="138"/>
  <c r="B271" i="138"/>
  <c r="X60" i="144"/>
  <c r="G375" i="138" s="1"/>
  <c r="S61" i="144"/>
  <c r="J61" i="144"/>
  <c r="W61" i="144" s="1"/>
  <c r="AD62" i="144"/>
  <c r="AB62" i="144"/>
  <c r="R62" i="144"/>
  <c r="P62" i="144"/>
  <c r="N62" i="144"/>
  <c r="L62" i="144"/>
  <c r="H62" i="144"/>
  <c r="C62" i="144"/>
  <c r="AC62" i="144"/>
  <c r="Q62" i="144"/>
  <c r="M62" i="144"/>
  <c r="I62" i="144"/>
  <c r="B62" i="144"/>
  <c r="A63" i="144"/>
  <c r="O62" i="144"/>
  <c r="K62" i="144"/>
  <c r="D62" i="144"/>
  <c r="T62" i="144"/>
  <c r="Y61" i="144"/>
  <c r="Z61" i="144" s="1"/>
  <c r="T62" i="143"/>
  <c r="Y61" i="143"/>
  <c r="Z61" i="143" s="1"/>
  <c r="J62" i="143"/>
  <c r="W62" i="143" s="1"/>
  <c r="S62" i="143"/>
  <c r="A64" i="143"/>
  <c r="AC63" i="143"/>
  <c r="Q63" i="143"/>
  <c r="O63" i="143"/>
  <c r="M63" i="143"/>
  <c r="K63" i="143"/>
  <c r="I63" i="143"/>
  <c r="D63" i="143"/>
  <c r="B63" i="143"/>
  <c r="AD63" i="143"/>
  <c r="R63" i="143"/>
  <c r="N63" i="143"/>
  <c r="AB63" i="143"/>
  <c r="P63" i="143"/>
  <c r="L63" i="143"/>
  <c r="H63" i="143"/>
  <c r="C63" i="143"/>
  <c r="X60" i="143"/>
  <c r="G270" i="138" s="1"/>
  <c r="AA61" i="143" l="1"/>
  <c r="X61" i="144"/>
  <c r="G376" i="138" s="1"/>
  <c r="AA61" i="144"/>
  <c r="E376" i="138" s="1"/>
  <c r="D376" i="138"/>
  <c r="F376" i="138"/>
  <c r="I376" i="138"/>
  <c r="E271" i="138"/>
  <c r="D271" i="138"/>
  <c r="F271" i="138"/>
  <c r="I271" i="138"/>
  <c r="B377" i="138"/>
  <c r="B272" i="138"/>
  <c r="Y62" i="144"/>
  <c r="Z62" i="144" s="1"/>
  <c r="J62" i="144"/>
  <c r="W62" i="144" s="1"/>
  <c r="S62" i="144"/>
  <c r="A64" i="144"/>
  <c r="AC63" i="144"/>
  <c r="Q63" i="144"/>
  <c r="T63" i="144" s="1"/>
  <c r="O63" i="144"/>
  <c r="M63" i="144"/>
  <c r="K63" i="144"/>
  <c r="I63" i="144"/>
  <c r="D63" i="144"/>
  <c r="B63" i="144"/>
  <c r="AB63" i="144"/>
  <c r="P63" i="144"/>
  <c r="L63" i="144"/>
  <c r="H63" i="144"/>
  <c r="C63" i="144"/>
  <c r="AD63" i="144"/>
  <c r="R63" i="144"/>
  <c r="N63" i="144"/>
  <c r="S63" i="143"/>
  <c r="J63" i="143"/>
  <c r="W63" i="143" s="1"/>
  <c r="AD64" i="143"/>
  <c r="AB64" i="143"/>
  <c r="R64" i="143"/>
  <c r="P64" i="143"/>
  <c r="N64" i="143"/>
  <c r="L64" i="143"/>
  <c r="H64" i="143"/>
  <c r="C64" i="143"/>
  <c r="A65" i="143"/>
  <c r="O64" i="143"/>
  <c r="K64" i="143"/>
  <c r="D64" i="143"/>
  <c r="AC64" i="143"/>
  <c r="Q64" i="143"/>
  <c r="M64" i="143"/>
  <c r="I64" i="143"/>
  <c r="B64" i="143"/>
  <c r="X61" i="143"/>
  <c r="T63" i="143"/>
  <c r="Y62" i="143"/>
  <c r="Z62" i="143" s="1"/>
  <c r="AA62" i="144" l="1"/>
  <c r="AA62" i="143"/>
  <c r="F272" i="138"/>
  <c r="E272" i="138"/>
  <c r="D272" i="138"/>
  <c r="I272" i="138"/>
  <c r="G271" i="138"/>
  <c r="F377" i="138"/>
  <c r="E377" i="138"/>
  <c r="D377" i="138"/>
  <c r="I377" i="138"/>
  <c r="B378" i="138"/>
  <c r="B273" i="138"/>
  <c r="X62" i="144"/>
  <c r="S63" i="144"/>
  <c r="J63" i="144"/>
  <c r="W63" i="144" s="1"/>
  <c r="AD64" i="144"/>
  <c r="AB64" i="144"/>
  <c r="R64" i="144"/>
  <c r="P64" i="144"/>
  <c r="N64" i="144"/>
  <c r="L64" i="144"/>
  <c r="H64" i="144"/>
  <c r="C64" i="144"/>
  <c r="AC64" i="144"/>
  <c r="Q64" i="144"/>
  <c r="M64" i="144"/>
  <c r="I64" i="144"/>
  <c r="B64" i="144"/>
  <c r="A65" i="144"/>
  <c r="O64" i="144"/>
  <c r="K64" i="144"/>
  <c r="D64" i="144"/>
  <c r="T64" i="144"/>
  <c r="Y63" i="144"/>
  <c r="Z63" i="144" s="1"/>
  <c r="T64" i="143"/>
  <c r="Y63" i="143"/>
  <c r="A66" i="143"/>
  <c r="AC65" i="143"/>
  <c r="Q65" i="143"/>
  <c r="O65" i="143"/>
  <c r="M65" i="143"/>
  <c r="K65" i="143"/>
  <c r="I65" i="143"/>
  <c r="D65" i="143"/>
  <c r="B65" i="143"/>
  <c r="AD65" i="143"/>
  <c r="R65" i="143"/>
  <c r="N65" i="143"/>
  <c r="AB65" i="143"/>
  <c r="P65" i="143"/>
  <c r="L65" i="143"/>
  <c r="H65" i="143"/>
  <c r="C65" i="143"/>
  <c r="X62" i="143"/>
  <c r="G272" i="138" s="1"/>
  <c r="J64" i="143"/>
  <c r="W64" i="143" s="1"/>
  <c r="S64" i="143"/>
  <c r="Z63" i="143" l="1"/>
  <c r="F273" i="138" s="1"/>
  <c r="AA63" i="143"/>
  <c r="X63" i="144"/>
  <c r="AA63" i="144"/>
  <c r="E378" i="138" s="1"/>
  <c r="G378" i="138"/>
  <c r="F378" i="138"/>
  <c r="D378" i="138"/>
  <c r="I378" i="138"/>
  <c r="G377" i="138"/>
  <c r="E273" i="138"/>
  <c r="D273" i="138"/>
  <c r="I273" i="138"/>
  <c r="B379" i="138"/>
  <c r="B274" i="138"/>
  <c r="Y64" i="144"/>
  <c r="Z64" i="144" s="1"/>
  <c r="J64" i="144"/>
  <c r="W64" i="144" s="1"/>
  <c r="S64" i="144"/>
  <c r="A66" i="144"/>
  <c r="AC65" i="144"/>
  <c r="Q65" i="144"/>
  <c r="T65" i="144" s="1"/>
  <c r="O65" i="144"/>
  <c r="M65" i="144"/>
  <c r="K65" i="144"/>
  <c r="I65" i="144"/>
  <c r="D65" i="144"/>
  <c r="B65" i="144"/>
  <c r="AB65" i="144"/>
  <c r="P65" i="144"/>
  <c r="L65" i="144"/>
  <c r="H65" i="144"/>
  <c r="C65" i="144"/>
  <c r="AD65" i="144"/>
  <c r="R65" i="144"/>
  <c r="N65" i="144"/>
  <c r="X63" i="143"/>
  <c r="AD66" i="143"/>
  <c r="AB66" i="143"/>
  <c r="R66" i="143"/>
  <c r="P66" i="143"/>
  <c r="N66" i="143"/>
  <c r="L66" i="143"/>
  <c r="H66" i="143"/>
  <c r="C66" i="143"/>
  <c r="A67" i="143"/>
  <c r="O66" i="143"/>
  <c r="K66" i="143"/>
  <c r="D66" i="143"/>
  <c r="AC66" i="143"/>
  <c r="Q66" i="143"/>
  <c r="M66" i="143"/>
  <c r="I66" i="143"/>
  <c r="B66" i="143"/>
  <c r="S65" i="143"/>
  <c r="J65" i="143"/>
  <c r="W65" i="143" s="1"/>
  <c r="T65" i="143"/>
  <c r="Y64" i="143"/>
  <c r="Z64" i="143" s="1"/>
  <c r="AA64" i="144" l="1"/>
  <c r="AA64" i="143"/>
  <c r="F274" i="138"/>
  <c r="E274" i="138"/>
  <c r="D274" i="138"/>
  <c r="I274" i="138"/>
  <c r="G273" i="138"/>
  <c r="F379" i="138"/>
  <c r="E379" i="138"/>
  <c r="D379" i="138"/>
  <c r="I379" i="138"/>
  <c r="B380" i="138"/>
  <c r="B275" i="138"/>
  <c r="X64" i="144"/>
  <c r="G379" i="138" s="1"/>
  <c r="S65" i="144"/>
  <c r="J65" i="144"/>
  <c r="W65" i="144" s="1"/>
  <c r="AD66" i="144"/>
  <c r="AB66" i="144"/>
  <c r="R66" i="144"/>
  <c r="P66" i="144"/>
  <c r="N66" i="144"/>
  <c r="L66" i="144"/>
  <c r="H66" i="144"/>
  <c r="C66" i="144"/>
  <c r="AC66" i="144"/>
  <c r="Q66" i="144"/>
  <c r="M66" i="144"/>
  <c r="I66" i="144"/>
  <c r="B66" i="144"/>
  <c r="A67" i="144"/>
  <c r="O66" i="144"/>
  <c r="K66" i="144"/>
  <c r="D66" i="144"/>
  <c r="T66" i="144"/>
  <c r="Y65" i="144"/>
  <c r="Z65" i="144" s="1"/>
  <c r="X64" i="143"/>
  <c r="G274" i="138" s="1"/>
  <c r="A68" i="143"/>
  <c r="AC67" i="143"/>
  <c r="Q67" i="143"/>
  <c r="O67" i="143"/>
  <c r="M67" i="143"/>
  <c r="K67" i="143"/>
  <c r="I67" i="143"/>
  <c r="D67" i="143"/>
  <c r="B67" i="143"/>
  <c r="AD67" i="143"/>
  <c r="R67" i="143"/>
  <c r="N67" i="143"/>
  <c r="AB67" i="143"/>
  <c r="P67" i="143"/>
  <c r="L67" i="143"/>
  <c r="H67" i="143"/>
  <c r="C67" i="143"/>
  <c r="T66" i="143"/>
  <c r="Y65" i="143"/>
  <c r="Z65" i="143" s="1"/>
  <c r="J66" i="143"/>
  <c r="W66" i="143" s="1"/>
  <c r="S66" i="143"/>
  <c r="AA65" i="143" l="1"/>
  <c r="E275" i="138" s="1"/>
  <c r="D275" i="138"/>
  <c r="F275" i="138"/>
  <c r="I275" i="138"/>
  <c r="D380" i="138"/>
  <c r="F380" i="138"/>
  <c r="I380" i="138"/>
  <c r="AA65" i="144"/>
  <c r="E380" i="138" s="1"/>
  <c r="B276" i="138"/>
  <c r="B381" i="138"/>
  <c r="X65" i="144"/>
  <c r="G380" i="138" s="1"/>
  <c r="Y66" i="144"/>
  <c r="Z66" i="144" s="1"/>
  <c r="J66" i="144"/>
  <c r="W66" i="144" s="1"/>
  <c r="AA66" i="144"/>
  <c r="S66" i="144"/>
  <c r="A68" i="144"/>
  <c r="AC67" i="144"/>
  <c r="Q67" i="144"/>
  <c r="T67" i="144" s="1"/>
  <c r="O67" i="144"/>
  <c r="M67" i="144"/>
  <c r="K67" i="144"/>
  <c r="I67" i="144"/>
  <c r="D67" i="144"/>
  <c r="B67" i="144"/>
  <c r="AB67" i="144"/>
  <c r="P67" i="144"/>
  <c r="L67" i="144"/>
  <c r="H67" i="144"/>
  <c r="C67" i="144"/>
  <c r="AD67" i="144"/>
  <c r="R67" i="144"/>
  <c r="N67" i="144"/>
  <c r="X65" i="143"/>
  <c r="G275" i="138" s="1"/>
  <c r="T67" i="143"/>
  <c r="Y66" i="143"/>
  <c r="Z66" i="143" s="1"/>
  <c r="S67" i="143"/>
  <c r="J67" i="143"/>
  <c r="W67" i="143" s="1"/>
  <c r="AD68" i="143"/>
  <c r="AB68" i="143"/>
  <c r="R68" i="143"/>
  <c r="P68" i="143"/>
  <c r="N68" i="143"/>
  <c r="L68" i="143"/>
  <c r="H68" i="143"/>
  <c r="C68" i="143"/>
  <c r="A69" i="143"/>
  <c r="O68" i="143"/>
  <c r="K68" i="143"/>
  <c r="D68" i="143"/>
  <c r="AC68" i="143"/>
  <c r="Q68" i="143"/>
  <c r="M68" i="143"/>
  <c r="I68" i="143"/>
  <c r="B68" i="143"/>
  <c r="AA66" i="143" l="1"/>
  <c r="F381" i="138"/>
  <c r="E381" i="138"/>
  <c r="I381" i="138"/>
  <c r="D381" i="138"/>
  <c r="F276" i="138"/>
  <c r="E276" i="138"/>
  <c r="I276" i="138"/>
  <c r="D276" i="138"/>
  <c r="B382" i="138"/>
  <c r="B277" i="138"/>
  <c r="X66" i="144"/>
  <c r="S67" i="144"/>
  <c r="J67" i="144"/>
  <c r="W67" i="144" s="1"/>
  <c r="AD68" i="144"/>
  <c r="AB68" i="144"/>
  <c r="R68" i="144"/>
  <c r="P68" i="144"/>
  <c r="N68" i="144"/>
  <c r="L68" i="144"/>
  <c r="H68" i="144"/>
  <c r="C68" i="144"/>
  <c r="AC68" i="144"/>
  <c r="Q68" i="144"/>
  <c r="T68" i="144" s="1"/>
  <c r="M68" i="144"/>
  <c r="I68" i="144"/>
  <c r="B68" i="144"/>
  <c r="A69" i="144"/>
  <c r="O68" i="144"/>
  <c r="K68" i="144"/>
  <c r="D68" i="144"/>
  <c r="Y67" i="144"/>
  <c r="Z67" i="144" s="1"/>
  <c r="J68" i="143"/>
  <c r="W68" i="143" s="1"/>
  <c r="S68" i="143"/>
  <c r="T68" i="143"/>
  <c r="Y67" i="143"/>
  <c r="A70" i="143"/>
  <c r="AC69" i="143"/>
  <c r="Q69" i="143"/>
  <c r="O69" i="143"/>
  <c r="M69" i="143"/>
  <c r="K69" i="143"/>
  <c r="I69" i="143"/>
  <c r="D69" i="143"/>
  <c r="B69" i="143"/>
  <c r="AD69" i="143"/>
  <c r="R69" i="143"/>
  <c r="N69" i="143"/>
  <c r="AB69" i="143"/>
  <c r="P69" i="143"/>
  <c r="L69" i="143"/>
  <c r="H69" i="143"/>
  <c r="C69" i="143"/>
  <c r="X66" i="143"/>
  <c r="Z67" i="143" l="1"/>
  <c r="AA67" i="143"/>
  <c r="E277" i="138" s="1"/>
  <c r="X67" i="144"/>
  <c r="G382" i="138" s="1"/>
  <c r="AA67" i="144"/>
  <c r="E382" i="138" s="1"/>
  <c r="F277" i="138"/>
  <c r="D277" i="138"/>
  <c r="I277" i="138"/>
  <c r="G381" i="138"/>
  <c r="F382" i="138"/>
  <c r="D382" i="138"/>
  <c r="I382" i="138"/>
  <c r="G276" i="138"/>
  <c r="B383" i="138"/>
  <c r="B278" i="138"/>
  <c r="Y68" i="144"/>
  <c r="Z68" i="144" s="1"/>
  <c r="J68" i="144"/>
  <c r="W68" i="144" s="1"/>
  <c r="S68" i="144"/>
  <c r="A70" i="144"/>
  <c r="AC69" i="144"/>
  <c r="Q69" i="144"/>
  <c r="T69" i="144" s="1"/>
  <c r="O69" i="144"/>
  <c r="M69" i="144"/>
  <c r="K69" i="144"/>
  <c r="I69" i="144"/>
  <c r="D69" i="144"/>
  <c r="B69" i="144"/>
  <c r="AB69" i="144"/>
  <c r="P69" i="144"/>
  <c r="L69" i="144"/>
  <c r="H69" i="144"/>
  <c r="C69" i="144"/>
  <c r="AD69" i="144"/>
  <c r="R69" i="144"/>
  <c r="N69" i="144"/>
  <c r="S69" i="143"/>
  <c r="J69" i="143"/>
  <c r="W69" i="143" s="1"/>
  <c r="AD70" i="143"/>
  <c r="AB70" i="143"/>
  <c r="R70" i="143"/>
  <c r="P70" i="143"/>
  <c r="N70" i="143"/>
  <c r="L70" i="143"/>
  <c r="H70" i="143"/>
  <c r="C70" i="143"/>
  <c r="A71" i="143"/>
  <c r="O70" i="143"/>
  <c r="K70" i="143"/>
  <c r="AC70" i="143"/>
  <c r="M70" i="143"/>
  <c r="D70" i="143"/>
  <c r="Q70" i="143"/>
  <c r="I70" i="143"/>
  <c r="B70" i="143"/>
  <c r="X67" i="143"/>
  <c r="G277" i="138" s="1"/>
  <c r="T69" i="143"/>
  <c r="Y68" i="143"/>
  <c r="AA68" i="144" l="1"/>
  <c r="Z68" i="143"/>
  <c r="AA68" i="143"/>
  <c r="F383" i="138"/>
  <c r="E383" i="138"/>
  <c r="D383" i="138"/>
  <c r="I383" i="138"/>
  <c r="F278" i="138"/>
  <c r="E278" i="138"/>
  <c r="D278" i="138"/>
  <c r="I278" i="138"/>
  <c r="B384" i="138"/>
  <c r="B279" i="138"/>
  <c r="X68" i="144"/>
  <c r="G383" i="138" s="1"/>
  <c r="S69" i="144"/>
  <c r="J69" i="144"/>
  <c r="W69" i="144" s="1"/>
  <c r="AD70" i="144"/>
  <c r="AB70" i="144"/>
  <c r="R70" i="144"/>
  <c r="P70" i="144"/>
  <c r="N70" i="144"/>
  <c r="L70" i="144"/>
  <c r="H70" i="144"/>
  <c r="C70" i="144"/>
  <c r="AC70" i="144"/>
  <c r="Q70" i="144"/>
  <c r="T70" i="144" s="1"/>
  <c r="M70" i="144"/>
  <c r="I70" i="144"/>
  <c r="B70" i="144"/>
  <c r="A71" i="144"/>
  <c r="O70" i="144"/>
  <c r="K70" i="144"/>
  <c r="D70" i="144"/>
  <c r="Y69" i="144"/>
  <c r="Z69" i="144" s="1"/>
  <c r="X68" i="143"/>
  <c r="J70" i="143"/>
  <c r="W70" i="143" s="1"/>
  <c r="S70" i="143"/>
  <c r="T70" i="143"/>
  <c r="Y69" i="143"/>
  <c r="Z69" i="143" s="1"/>
  <c r="A72" i="143"/>
  <c r="AC71" i="143"/>
  <c r="Q71" i="143"/>
  <c r="O71" i="143"/>
  <c r="M71" i="143"/>
  <c r="K71" i="143"/>
  <c r="I71" i="143"/>
  <c r="D71" i="143"/>
  <c r="B71" i="143"/>
  <c r="AD71" i="143"/>
  <c r="R71" i="143"/>
  <c r="N71" i="143"/>
  <c r="AB71" i="143"/>
  <c r="L71" i="143"/>
  <c r="P71" i="143"/>
  <c r="H71" i="143"/>
  <c r="C71" i="143"/>
  <c r="AA69" i="143" l="1"/>
  <c r="E279" i="138" s="1"/>
  <c r="X69" i="144"/>
  <c r="G384" i="138" s="1"/>
  <c r="D384" i="138"/>
  <c r="F384" i="138"/>
  <c r="I384" i="138"/>
  <c r="G278" i="138"/>
  <c r="AA69" i="144"/>
  <c r="E384" i="138" s="1"/>
  <c r="D279" i="138"/>
  <c r="F279" i="138"/>
  <c r="I279" i="138"/>
  <c r="B385" i="138"/>
  <c r="B280" i="138"/>
  <c r="Y70" i="144"/>
  <c r="Z70" i="144" s="1"/>
  <c r="J70" i="144"/>
  <c r="W70" i="144" s="1"/>
  <c r="S70" i="144"/>
  <c r="AA70" i="144" s="1"/>
  <c r="A72" i="144"/>
  <c r="AC71" i="144"/>
  <c r="Q71" i="144"/>
  <c r="T71" i="144" s="1"/>
  <c r="O71" i="144"/>
  <c r="M71" i="144"/>
  <c r="K71" i="144"/>
  <c r="I71" i="144"/>
  <c r="D71" i="144"/>
  <c r="B71" i="144"/>
  <c r="AB71" i="144"/>
  <c r="P71" i="144"/>
  <c r="L71" i="144"/>
  <c r="H71" i="144"/>
  <c r="C71" i="144"/>
  <c r="AD71" i="144"/>
  <c r="R71" i="144"/>
  <c r="N71" i="144"/>
  <c r="S71" i="143"/>
  <c r="J71" i="143"/>
  <c r="W71" i="143" s="1"/>
  <c r="AD72" i="143"/>
  <c r="AB72" i="143"/>
  <c r="AC72" i="143"/>
  <c r="R72" i="143"/>
  <c r="P72" i="143"/>
  <c r="N72" i="143"/>
  <c r="L72" i="143"/>
  <c r="H72" i="143"/>
  <c r="C72" i="143"/>
  <c r="O72" i="143"/>
  <c r="K72" i="143"/>
  <c r="D72" i="143"/>
  <c r="A73" i="143"/>
  <c r="Q72" i="143"/>
  <c r="I72" i="143"/>
  <c r="M72" i="143"/>
  <c r="B72" i="143"/>
  <c r="X69" i="143"/>
  <c r="G279" i="138" s="1"/>
  <c r="T71" i="143"/>
  <c r="Y70" i="143"/>
  <c r="Z70" i="143" s="1"/>
  <c r="AA70" i="143" l="1"/>
  <c r="F385" i="138"/>
  <c r="E385" i="138"/>
  <c r="D385" i="138"/>
  <c r="I385" i="138"/>
  <c r="F280" i="138"/>
  <c r="E280" i="138"/>
  <c r="D280" i="138"/>
  <c r="I280" i="138"/>
  <c r="B386" i="138"/>
  <c r="B281" i="138"/>
  <c r="X70" i="144"/>
  <c r="G385" i="138" s="1"/>
  <c r="S71" i="144"/>
  <c r="J71" i="144"/>
  <c r="W71" i="144" s="1"/>
  <c r="AD72" i="144"/>
  <c r="AB72" i="144"/>
  <c r="R72" i="144"/>
  <c r="P72" i="144"/>
  <c r="N72" i="144"/>
  <c r="L72" i="144"/>
  <c r="H72" i="144"/>
  <c r="C72" i="144"/>
  <c r="AC72" i="144"/>
  <c r="Q72" i="144"/>
  <c r="T72" i="144" s="1"/>
  <c r="M72" i="144"/>
  <c r="I72" i="144"/>
  <c r="B72" i="144"/>
  <c r="A73" i="144"/>
  <c r="O72" i="144"/>
  <c r="K72" i="144"/>
  <c r="D72" i="144"/>
  <c r="Y71" i="144"/>
  <c r="Z71" i="144" s="1"/>
  <c r="T72" i="143"/>
  <c r="Y71" i="143"/>
  <c r="Z71" i="143" s="1"/>
  <c r="A74" i="143"/>
  <c r="AC73" i="143"/>
  <c r="Q73" i="143"/>
  <c r="O73" i="143"/>
  <c r="M73" i="143"/>
  <c r="K73" i="143"/>
  <c r="I73" i="143"/>
  <c r="D73" i="143"/>
  <c r="B73" i="143"/>
  <c r="AB73" i="143"/>
  <c r="P73" i="143"/>
  <c r="L73" i="143"/>
  <c r="H73" i="143"/>
  <c r="C73" i="143"/>
  <c r="AD73" i="143"/>
  <c r="N73" i="143"/>
  <c r="R73" i="143"/>
  <c r="X70" i="143"/>
  <c r="J72" i="143"/>
  <c r="W72" i="143" s="1"/>
  <c r="S72" i="143"/>
  <c r="AA71" i="143" l="1"/>
  <c r="AA71" i="144"/>
  <c r="E386" i="138" s="1"/>
  <c r="F386" i="138"/>
  <c r="D386" i="138"/>
  <c r="I386" i="138"/>
  <c r="G280" i="138"/>
  <c r="E281" i="138"/>
  <c r="F281" i="138"/>
  <c r="D281" i="138"/>
  <c r="I281" i="138"/>
  <c r="B387" i="138"/>
  <c r="B282" i="138"/>
  <c r="X71" i="144"/>
  <c r="G386" i="138" s="1"/>
  <c r="Y72" i="144"/>
  <c r="Z72" i="144" s="1"/>
  <c r="J72" i="144"/>
  <c r="W72" i="144" s="1"/>
  <c r="S72" i="144"/>
  <c r="AA72" i="144" s="1"/>
  <c r="A74" i="144"/>
  <c r="AC73" i="144"/>
  <c r="Q73" i="144"/>
  <c r="T73" i="144" s="1"/>
  <c r="O73" i="144"/>
  <c r="M73" i="144"/>
  <c r="K73" i="144"/>
  <c r="I73" i="144"/>
  <c r="D73" i="144"/>
  <c r="B73" i="144"/>
  <c r="AB73" i="144"/>
  <c r="P73" i="144"/>
  <c r="L73" i="144"/>
  <c r="H73" i="144"/>
  <c r="C73" i="144"/>
  <c r="AD73" i="144"/>
  <c r="R73" i="144"/>
  <c r="N73" i="144"/>
  <c r="AD74" i="143"/>
  <c r="AB74" i="143"/>
  <c r="R74" i="143"/>
  <c r="P74" i="143"/>
  <c r="N74" i="143"/>
  <c r="L74" i="143"/>
  <c r="H74" i="143"/>
  <c r="C74" i="143"/>
  <c r="AC74" i="143"/>
  <c r="Q74" i="143"/>
  <c r="M74" i="143"/>
  <c r="I74" i="143"/>
  <c r="B74" i="143"/>
  <c r="K74" i="143"/>
  <c r="A75" i="143"/>
  <c r="O74" i="143"/>
  <c r="D74" i="143"/>
  <c r="S73" i="143"/>
  <c r="J73" i="143"/>
  <c r="W73" i="143" s="1"/>
  <c r="X71" i="143"/>
  <c r="T73" i="143"/>
  <c r="Y72" i="143"/>
  <c r="Z72" i="143" s="1"/>
  <c r="AA72" i="143" l="1"/>
  <c r="F282" i="138"/>
  <c r="E282" i="138"/>
  <c r="D282" i="138"/>
  <c r="I282" i="138"/>
  <c r="F387" i="138"/>
  <c r="E387" i="138"/>
  <c r="D387" i="138"/>
  <c r="I387" i="138"/>
  <c r="G281" i="138"/>
  <c r="B388" i="138"/>
  <c r="B283" i="138"/>
  <c r="X72" i="144"/>
  <c r="G387" i="138" s="1"/>
  <c r="S73" i="144"/>
  <c r="J73" i="144"/>
  <c r="W73" i="144" s="1"/>
  <c r="AD74" i="144"/>
  <c r="AB74" i="144"/>
  <c r="R74" i="144"/>
  <c r="P74" i="144"/>
  <c r="N74" i="144"/>
  <c r="L74" i="144"/>
  <c r="H74" i="144"/>
  <c r="C74" i="144"/>
  <c r="AC74" i="144"/>
  <c r="Q74" i="144"/>
  <c r="T74" i="144" s="1"/>
  <c r="M74" i="144"/>
  <c r="I74" i="144"/>
  <c r="B74" i="144"/>
  <c r="A75" i="144"/>
  <c r="O74" i="144"/>
  <c r="K74" i="144"/>
  <c r="D74" i="144"/>
  <c r="Y73" i="144"/>
  <c r="Z73" i="144" s="1"/>
  <c r="X72" i="143"/>
  <c r="G282" i="138" s="1"/>
  <c r="T74" i="143"/>
  <c r="Y73" i="143"/>
  <c r="J74" i="143"/>
  <c r="W74" i="143" s="1"/>
  <c r="S74" i="143"/>
  <c r="A76" i="143"/>
  <c r="AC75" i="143"/>
  <c r="Q75" i="143"/>
  <c r="O75" i="143"/>
  <c r="M75" i="143"/>
  <c r="K75" i="143"/>
  <c r="I75" i="143"/>
  <c r="D75" i="143"/>
  <c r="B75" i="143"/>
  <c r="AB75" i="143"/>
  <c r="P75" i="143"/>
  <c r="L75" i="143"/>
  <c r="H75" i="143"/>
  <c r="C75" i="143"/>
  <c r="AD75" i="143"/>
  <c r="N75" i="143"/>
  <c r="R75" i="143"/>
  <c r="Z73" i="143" l="1"/>
  <c r="AA73" i="143"/>
  <c r="E283" i="138" s="1"/>
  <c r="X73" i="144"/>
  <c r="AA73" i="144"/>
  <c r="E388" i="138" s="1"/>
  <c r="D283" i="138"/>
  <c r="F283" i="138"/>
  <c r="I283" i="138"/>
  <c r="G388" i="138"/>
  <c r="D388" i="138"/>
  <c r="F388" i="138"/>
  <c r="I388" i="138"/>
  <c r="B389" i="138"/>
  <c r="B284" i="138"/>
  <c r="Y74" i="144"/>
  <c r="Z74" i="144" s="1"/>
  <c r="J74" i="144"/>
  <c r="W74" i="144" s="1"/>
  <c r="AA74" i="144"/>
  <c r="S74" i="144"/>
  <c r="AD75" i="144"/>
  <c r="AB75" i="144"/>
  <c r="A76" i="144"/>
  <c r="Q75" i="144"/>
  <c r="T75" i="144" s="1"/>
  <c r="O75" i="144"/>
  <c r="M75" i="144"/>
  <c r="K75" i="144"/>
  <c r="I75" i="144"/>
  <c r="D75" i="144"/>
  <c r="B75" i="144"/>
  <c r="AC75" i="144"/>
  <c r="P75" i="144"/>
  <c r="L75" i="144"/>
  <c r="H75" i="144"/>
  <c r="C75" i="144"/>
  <c r="R75" i="144"/>
  <c r="N75" i="144"/>
  <c r="S75" i="143"/>
  <c r="J75" i="143"/>
  <c r="W75" i="143" s="1"/>
  <c r="AD76" i="143"/>
  <c r="AB76" i="143"/>
  <c r="R76" i="143"/>
  <c r="P76" i="143"/>
  <c r="N76" i="143"/>
  <c r="L76" i="143"/>
  <c r="H76" i="143"/>
  <c r="C76" i="143"/>
  <c r="AC76" i="143"/>
  <c r="Q76" i="143"/>
  <c r="M76" i="143"/>
  <c r="I76" i="143"/>
  <c r="B76" i="143"/>
  <c r="K76" i="143"/>
  <c r="A77" i="143"/>
  <c r="O76" i="143"/>
  <c r="D76" i="143"/>
  <c r="X73" i="143"/>
  <c r="G283" i="138" s="1"/>
  <c r="T75" i="143"/>
  <c r="Y74" i="143"/>
  <c r="Z74" i="143" l="1"/>
  <c r="AA74" i="143"/>
  <c r="F389" i="138"/>
  <c r="E389" i="138"/>
  <c r="I389" i="138"/>
  <c r="D389" i="138"/>
  <c r="F284" i="138"/>
  <c r="E284" i="138"/>
  <c r="I284" i="138"/>
  <c r="D284" i="138"/>
  <c r="B390" i="138"/>
  <c r="B285" i="138"/>
  <c r="X74" i="144"/>
  <c r="G389" i="138" s="1"/>
  <c r="S75" i="144"/>
  <c r="J75" i="144"/>
  <c r="W75" i="144" s="1"/>
  <c r="A77" i="144"/>
  <c r="AC76" i="144"/>
  <c r="Q76" i="144"/>
  <c r="T76" i="144" s="1"/>
  <c r="O76" i="144"/>
  <c r="M76" i="144"/>
  <c r="K76" i="144"/>
  <c r="I76" i="144"/>
  <c r="D76" i="144"/>
  <c r="B76" i="144"/>
  <c r="AD76" i="144"/>
  <c r="R76" i="144"/>
  <c r="N76" i="144"/>
  <c r="AB76" i="144"/>
  <c r="L76" i="144"/>
  <c r="P76" i="144"/>
  <c r="H76" i="144"/>
  <c r="C76" i="144"/>
  <c r="Y75" i="144"/>
  <c r="Z75" i="144" s="1"/>
  <c r="T76" i="143"/>
  <c r="Y75" i="143"/>
  <c r="Z75" i="143" s="1"/>
  <c r="X74" i="143"/>
  <c r="J76" i="143"/>
  <c r="W76" i="143" s="1"/>
  <c r="S76" i="143"/>
  <c r="A78" i="143"/>
  <c r="AC77" i="143"/>
  <c r="Q77" i="143"/>
  <c r="O77" i="143"/>
  <c r="M77" i="143"/>
  <c r="K77" i="143"/>
  <c r="I77" i="143"/>
  <c r="D77" i="143"/>
  <c r="B77" i="143"/>
  <c r="AB77" i="143"/>
  <c r="P77" i="143"/>
  <c r="L77" i="143"/>
  <c r="H77" i="143"/>
  <c r="C77" i="143"/>
  <c r="AD77" i="143"/>
  <c r="N77" i="143"/>
  <c r="R77" i="143"/>
  <c r="AA75" i="143" l="1"/>
  <c r="E285" i="138" s="1"/>
  <c r="F390" i="138"/>
  <c r="D390" i="138"/>
  <c r="I390" i="138"/>
  <c r="AA75" i="144"/>
  <c r="F285" i="138"/>
  <c r="D285" i="138"/>
  <c r="I285" i="138"/>
  <c r="G284" i="138"/>
  <c r="B391" i="138"/>
  <c r="B286" i="138"/>
  <c r="X75" i="144"/>
  <c r="G390" i="138" s="1"/>
  <c r="Y76" i="144"/>
  <c r="Z76" i="144" s="1"/>
  <c r="S76" i="144"/>
  <c r="J76" i="144"/>
  <c r="W76" i="144" s="1"/>
  <c r="AD77" i="144"/>
  <c r="AB77" i="144"/>
  <c r="R77" i="144"/>
  <c r="P77" i="144"/>
  <c r="N77" i="144"/>
  <c r="L77" i="144"/>
  <c r="H77" i="144"/>
  <c r="C77" i="144"/>
  <c r="A78" i="144"/>
  <c r="O77" i="144"/>
  <c r="K77" i="144"/>
  <c r="D77" i="144"/>
  <c r="Q77" i="144"/>
  <c r="T77" i="144" s="1"/>
  <c r="I77" i="144"/>
  <c r="AC77" i="144"/>
  <c r="M77" i="144"/>
  <c r="B77" i="144"/>
  <c r="X75" i="143"/>
  <c r="G285" i="138" s="1"/>
  <c r="S77" i="143"/>
  <c r="J77" i="143"/>
  <c r="W77" i="143" s="1"/>
  <c r="AD78" i="143"/>
  <c r="AB78" i="143"/>
  <c r="R78" i="143"/>
  <c r="P78" i="143"/>
  <c r="N78" i="143"/>
  <c r="L78" i="143"/>
  <c r="H78" i="143"/>
  <c r="C78" i="143"/>
  <c r="AC78" i="143"/>
  <c r="Q78" i="143"/>
  <c r="M78" i="143"/>
  <c r="I78" i="143"/>
  <c r="B78" i="143"/>
  <c r="K78" i="143"/>
  <c r="A79" i="143"/>
  <c r="O78" i="143"/>
  <c r="D78" i="143"/>
  <c r="T77" i="143"/>
  <c r="Y76" i="143"/>
  <c r="Z76" i="143" s="1"/>
  <c r="AA76" i="143" l="1"/>
  <c r="AA76" i="144"/>
  <c r="E391" i="138" s="1"/>
  <c r="F391" i="138"/>
  <c r="D391" i="138"/>
  <c r="I391" i="138"/>
  <c r="E390" i="138"/>
  <c r="F286" i="138"/>
  <c r="E286" i="138"/>
  <c r="D286" i="138"/>
  <c r="I286" i="138"/>
  <c r="B392" i="138"/>
  <c r="B287" i="138"/>
  <c r="X76" i="144"/>
  <c r="G391" i="138" s="1"/>
  <c r="J77" i="144"/>
  <c r="W77" i="144" s="1"/>
  <c r="S77" i="144"/>
  <c r="A79" i="144"/>
  <c r="AC78" i="144"/>
  <c r="Q78" i="144"/>
  <c r="T78" i="144" s="1"/>
  <c r="O78" i="144"/>
  <c r="M78" i="144"/>
  <c r="K78" i="144"/>
  <c r="I78" i="144"/>
  <c r="D78" i="144"/>
  <c r="B78" i="144"/>
  <c r="AD78" i="144"/>
  <c r="R78" i="144"/>
  <c r="N78" i="144"/>
  <c r="P78" i="144"/>
  <c r="H78" i="144"/>
  <c r="C78" i="144"/>
  <c r="AB78" i="144"/>
  <c r="L78" i="144"/>
  <c r="Y77" i="144"/>
  <c r="Z77" i="144" s="1"/>
  <c r="T78" i="143"/>
  <c r="Y77" i="143"/>
  <c r="J78" i="143"/>
  <c r="W78" i="143" s="1"/>
  <c r="S78" i="143"/>
  <c r="A80" i="143"/>
  <c r="AC79" i="143"/>
  <c r="Q79" i="143"/>
  <c r="O79" i="143"/>
  <c r="M79" i="143"/>
  <c r="K79" i="143"/>
  <c r="I79" i="143"/>
  <c r="D79" i="143"/>
  <c r="B79" i="143"/>
  <c r="AB79" i="143"/>
  <c r="P79" i="143"/>
  <c r="L79" i="143"/>
  <c r="H79" i="143"/>
  <c r="C79" i="143"/>
  <c r="AD79" i="143"/>
  <c r="N79" i="143"/>
  <c r="R79" i="143"/>
  <c r="X76" i="143"/>
  <c r="Z77" i="143" l="1"/>
  <c r="F287" i="138" s="1"/>
  <c r="AA77" i="143"/>
  <c r="X77" i="144"/>
  <c r="AA77" i="144"/>
  <c r="G392" i="138"/>
  <c r="E392" i="138"/>
  <c r="D392" i="138"/>
  <c r="F392" i="138"/>
  <c r="I392" i="138"/>
  <c r="E287" i="138"/>
  <c r="D287" i="138"/>
  <c r="I287" i="138"/>
  <c r="G286" i="138"/>
  <c r="B393" i="138"/>
  <c r="B288" i="138"/>
  <c r="Y78" i="144"/>
  <c r="Z78" i="144" s="1"/>
  <c r="S78" i="144"/>
  <c r="J78" i="144"/>
  <c r="W78" i="144" s="1"/>
  <c r="AD79" i="144"/>
  <c r="AB79" i="144"/>
  <c r="R79" i="144"/>
  <c r="P79" i="144"/>
  <c r="N79" i="144"/>
  <c r="L79" i="144"/>
  <c r="H79" i="144"/>
  <c r="C79" i="144"/>
  <c r="A80" i="144"/>
  <c r="O79" i="144"/>
  <c r="K79" i="144"/>
  <c r="D79" i="144"/>
  <c r="AC79" i="144"/>
  <c r="M79" i="144"/>
  <c r="B79" i="144"/>
  <c r="Q79" i="144"/>
  <c r="T79" i="144" s="1"/>
  <c r="I79" i="144"/>
  <c r="X77" i="143"/>
  <c r="G287" i="138" s="1"/>
  <c r="T79" i="143"/>
  <c r="Y78" i="143"/>
  <c r="Z78" i="143" s="1"/>
  <c r="S79" i="143"/>
  <c r="J79" i="143"/>
  <c r="W79" i="143" s="1"/>
  <c r="AD80" i="143"/>
  <c r="AB80" i="143"/>
  <c r="R80" i="143"/>
  <c r="P80" i="143"/>
  <c r="N80" i="143"/>
  <c r="L80" i="143"/>
  <c r="H80" i="143"/>
  <c r="C80" i="143"/>
  <c r="AC80" i="143"/>
  <c r="Q80" i="143"/>
  <c r="M80" i="143"/>
  <c r="I80" i="143"/>
  <c r="B80" i="143"/>
  <c r="K80" i="143"/>
  <c r="A81" i="143"/>
  <c r="O80" i="143"/>
  <c r="D80" i="143"/>
  <c r="AA78" i="143" l="1"/>
  <c r="E288" i="138" s="1"/>
  <c r="AA78" i="144"/>
  <c r="E393" i="138" s="1"/>
  <c r="X78" i="144"/>
  <c r="G393" i="138" s="1"/>
  <c r="F393" i="138"/>
  <c r="D393" i="138"/>
  <c r="I393" i="138"/>
  <c r="F288" i="138"/>
  <c r="D288" i="138"/>
  <c r="I288" i="138"/>
  <c r="B394" i="138"/>
  <c r="B289" i="138"/>
  <c r="J79" i="144"/>
  <c r="W79" i="144" s="1"/>
  <c r="S79" i="144"/>
  <c r="A81" i="144"/>
  <c r="AC80" i="144"/>
  <c r="Q80" i="144"/>
  <c r="T80" i="144" s="1"/>
  <c r="O80" i="144"/>
  <c r="M80" i="144"/>
  <c r="K80" i="144"/>
  <c r="I80" i="144"/>
  <c r="D80" i="144"/>
  <c r="B80" i="144"/>
  <c r="AD80" i="144"/>
  <c r="R80" i="144"/>
  <c r="N80" i="144"/>
  <c r="AB80" i="144"/>
  <c r="L80" i="144"/>
  <c r="P80" i="144"/>
  <c r="H80" i="144"/>
  <c r="C80" i="144"/>
  <c r="Y79" i="144"/>
  <c r="Z79" i="144" s="1"/>
  <c r="T80" i="143"/>
  <c r="Y79" i="143"/>
  <c r="Z79" i="143" s="1"/>
  <c r="J80" i="143"/>
  <c r="W80" i="143" s="1"/>
  <c r="S80" i="143"/>
  <c r="A82" i="143"/>
  <c r="AC81" i="143"/>
  <c r="Q81" i="143"/>
  <c r="O81" i="143"/>
  <c r="M81" i="143"/>
  <c r="K81" i="143"/>
  <c r="I81" i="143"/>
  <c r="D81" i="143"/>
  <c r="B81" i="143"/>
  <c r="AB81" i="143"/>
  <c r="P81" i="143"/>
  <c r="L81" i="143"/>
  <c r="H81" i="143"/>
  <c r="C81" i="143"/>
  <c r="AD81" i="143"/>
  <c r="N81" i="143"/>
  <c r="R81" i="143"/>
  <c r="X78" i="143"/>
  <c r="AA79" i="143" l="1"/>
  <c r="F394" i="138"/>
  <c r="D394" i="138"/>
  <c r="I394" i="138"/>
  <c r="G288" i="138"/>
  <c r="AA79" i="144"/>
  <c r="E394" i="138" s="1"/>
  <c r="E289" i="138"/>
  <c r="F289" i="138"/>
  <c r="D289" i="138"/>
  <c r="I289" i="138"/>
  <c r="B395" i="138"/>
  <c r="B290" i="138"/>
  <c r="X79" i="144"/>
  <c r="G394" i="138" s="1"/>
  <c r="Y80" i="144"/>
  <c r="Z80" i="144" s="1"/>
  <c r="S80" i="144"/>
  <c r="J80" i="144"/>
  <c r="W80" i="144" s="1"/>
  <c r="AD81" i="144"/>
  <c r="AB81" i="144"/>
  <c r="R81" i="144"/>
  <c r="P81" i="144"/>
  <c r="N81" i="144"/>
  <c r="L81" i="144"/>
  <c r="H81" i="144"/>
  <c r="C81" i="144"/>
  <c r="A82" i="144"/>
  <c r="O81" i="144"/>
  <c r="K81" i="144"/>
  <c r="D81" i="144"/>
  <c r="Q81" i="144"/>
  <c r="T81" i="144" s="1"/>
  <c r="I81" i="144"/>
  <c r="AC81" i="144"/>
  <c r="M81" i="144"/>
  <c r="B81" i="144"/>
  <c r="S81" i="143"/>
  <c r="J81" i="143"/>
  <c r="W81" i="143" s="1"/>
  <c r="X79" i="143"/>
  <c r="G289" i="138" s="1"/>
  <c r="T81" i="143"/>
  <c r="Y80" i="143"/>
  <c r="Z80" i="143" s="1"/>
  <c r="AD82" i="143"/>
  <c r="AB82" i="143"/>
  <c r="R82" i="143"/>
  <c r="P82" i="143"/>
  <c r="N82" i="143"/>
  <c r="L82" i="143"/>
  <c r="H82" i="143"/>
  <c r="C82" i="143"/>
  <c r="AC82" i="143"/>
  <c r="Q82" i="143"/>
  <c r="M82" i="143"/>
  <c r="I82" i="143"/>
  <c r="B82" i="143"/>
  <c r="K82" i="143"/>
  <c r="A83" i="143"/>
  <c r="O82" i="143"/>
  <c r="D82" i="143"/>
  <c r="AA80" i="143" l="1"/>
  <c r="F290" i="138"/>
  <c r="E290" i="138"/>
  <c r="D290" i="138"/>
  <c r="I290" i="138"/>
  <c r="AA80" i="144"/>
  <c r="E395" i="138" s="1"/>
  <c r="F395" i="138"/>
  <c r="D395" i="138"/>
  <c r="I395" i="138"/>
  <c r="B396" i="138"/>
  <c r="B291" i="138"/>
  <c r="X80" i="144"/>
  <c r="G395" i="138" s="1"/>
  <c r="J81" i="144"/>
  <c r="W81" i="144" s="1"/>
  <c r="S81" i="144"/>
  <c r="A83" i="144"/>
  <c r="AC82" i="144"/>
  <c r="Q82" i="144"/>
  <c r="O82" i="144"/>
  <c r="M82" i="144"/>
  <c r="K82" i="144"/>
  <c r="I82" i="144"/>
  <c r="D82" i="144"/>
  <c r="B82" i="144"/>
  <c r="AD82" i="144"/>
  <c r="R82" i="144"/>
  <c r="N82" i="144"/>
  <c r="P82" i="144"/>
  <c r="H82" i="144"/>
  <c r="C82" i="144"/>
  <c r="AB82" i="144"/>
  <c r="L82" i="144"/>
  <c r="Y81" i="144"/>
  <c r="Z81" i="144" s="1"/>
  <c r="T82" i="144"/>
  <c r="X80" i="143"/>
  <c r="G290" i="138" s="1"/>
  <c r="J82" i="143"/>
  <c r="W82" i="143" s="1"/>
  <c r="S82" i="143"/>
  <c r="A84" i="143"/>
  <c r="AC83" i="143"/>
  <c r="Q83" i="143"/>
  <c r="O83" i="143"/>
  <c r="M83" i="143"/>
  <c r="K83" i="143"/>
  <c r="I83" i="143"/>
  <c r="D83" i="143"/>
  <c r="B83" i="143"/>
  <c r="AB83" i="143"/>
  <c r="P83" i="143"/>
  <c r="L83" i="143"/>
  <c r="H83" i="143"/>
  <c r="C83" i="143"/>
  <c r="AD83" i="143"/>
  <c r="N83" i="143"/>
  <c r="R83" i="143"/>
  <c r="T82" i="143"/>
  <c r="Y81" i="143"/>
  <c r="Z81" i="143" s="1"/>
  <c r="AA81" i="143" l="1"/>
  <c r="X81" i="143"/>
  <c r="G291" i="138" s="1"/>
  <c r="X81" i="144"/>
  <c r="AA81" i="144"/>
  <c r="E396" i="138" s="1"/>
  <c r="G396" i="138"/>
  <c r="D396" i="138"/>
  <c r="F396" i="138"/>
  <c r="I396" i="138"/>
  <c r="E291" i="138"/>
  <c r="D291" i="138"/>
  <c r="F291" i="138"/>
  <c r="I291" i="138"/>
  <c r="B397" i="138"/>
  <c r="B292" i="138"/>
  <c r="Y82" i="144"/>
  <c r="Z82" i="144" s="1"/>
  <c r="S82" i="144"/>
  <c r="J82" i="144"/>
  <c r="W82" i="144" s="1"/>
  <c r="AD83" i="144"/>
  <c r="AB83" i="144"/>
  <c r="R83" i="144"/>
  <c r="P83" i="144"/>
  <c r="N83" i="144"/>
  <c r="L83" i="144"/>
  <c r="H83" i="144"/>
  <c r="C83" i="144"/>
  <c r="A84" i="144"/>
  <c r="O83" i="144"/>
  <c r="K83" i="144"/>
  <c r="D83" i="144"/>
  <c r="AC83" i="144"/>
  <c r="M83" i="144"/>
  <c r="B83" i="144"/>
  <c r="Q83" i="144"/>
  <c r="T83" i="144" s="1"/>
  <c r="I83" i="144"/>
  <c r="T83" i="143"/>
  <c r="Y82" i="143"/>
  <c r="S83" i="143"/>
  <c r="J83" i="143"/>
  <c r="W83" i="143" s="1"/>
  <c r="AD84" i="143"/>
  <c r="AB84" i="143"/>
  <c r="R84" i="143"/>
  <c r="P84" i="143"/>
  <c r="N84" i="143"/>
  <c r="L84" i="143"/>
  <c r="H84" i="143"/>
  <c r="C84" i="143"/>
  <c r="AC84" i="143"/>
  <c r="Q84" i="143"/>
  <c r="M84" i="143"/>
  <c r="I84" i="143"/>
  <c r="B84" i="143"/>
  <c r="K84" i="143"/>
  <c r="A85" i="143"/>
  <c r="O84" i="143"/>
  <c r="D84" i="143"/>
  <c r="Z82" i="143" l="1"/>
  <c r="F292" i="138" s="1"/>
  <c r="AA82" i="143"/>
  <c r="AA82" i="144"/>
  <c r="E397" i="138" s="1"/>
  <c r="X82" i="144"/>
  <c r="G397" i="138" s="1"/>
  <c r="F397" i="138"/>
  <c r="I397" i="138"/>
  <c r="D397" i="138"/>
  <c r="E292" i="138"/>
  <c r="I292" i="138"/>
  <c r="D292" i="138"/>
  <c r="B398" i="138"/>
  <c r="B293" i="138"/>
  <c r="J83" i="144"/>
  <c r="W83" i="144" s="1"/>
  <c r="S83" i="144"/>
  <c r="A85" i="144"/>
  <c r="AC84" i="144"/>
  <c r="Q84" i="144"/>
  <c r="T84" i="144" s="1"/>
  <c r="O84" i="144"/>
  <c r="M84" i="144"/>
  <c r="K84" i="144"/>
  <c r="I84" i="144"/>
  <c r="D84" i="144"/>
  <c r="B84" i="144"/>
  <c r="AD84" i="144"/>
  <c r="R84" i="144"/>
  <c r="N84" i="144"/>
  <c r="AB84" i="144"/>
  <c r="L84" i="144"/>
  <c r="P84" i="144"/>
  <c r="H84" i="144"/>
  <c r="C84" i="144"/>
  <c r="Y83" i="144"/>
  <c r="Z83" i="144" s="1"/>
  <c r="T84" i="143"/>
  <c r="Y83" i="143"/>
  <c r="Z83" i="143" s="1"/>
  <c r="J84" i="143"/>
  <c r="W84" i="143" s="1"/>
  <c r="S84" i="143"/>
  <c r="A86" i="143"/>
  <c r="AC85" i="143"/>
  <c r="Q85" i="143"/>
  <c r="O85" i="143"/>
  <c r="M85" i="143"/>
  <c r="K85" i="143"/>
  <c r="I85" i="143"/>
  <c r="D85" i="143"/>
  <c r="B85" i="143"/>
  <c r="AB85" i="143"/>
  <c r="P85" i="143"/>
  <c r="L85" i="143"/>
  <c r="H85" i="143"/>
  <c r="C85" i="143"/>
  <c r="AD85" i="143"/>
  <c r="N85" i="143"/>
  <c r="R85" i="143"/>
  <c r="X82" i="143"/>
  <c r="G292" i="138" s="1"/>
  <c r="AA83" i="143" l="1"/>
  <c r="AA83" i="144"/>
  <c r="E398" i="138" s="1"/>
  <c r="E293" i="138"/>
  <c r="F293" i="138"/>
  <c r="D293" i="138"/>
  <c r="I293" i="138"/>
  <c r="F398" i="138"/>
  <c r="D398" i="138"/>
  <c r="I398" i="138"/>
  <c r="B399" i="138"/>
  <c r="B294" i="138"/>
  <c r="X83" i="144"/>
  <c r="G398" i="138" s="1"/>
  <c r="Y84" i="144"/>
  <c r="Z84" i="144" s="1"/>
  <c r="S84" i="144"/>
  <c r="J84" i="144"/>
  <c r="W84" i="144" s="1"/>
  <c r="AD85" i="144"/>
  <c r="AB85" i="144"/>
  <c r="R85" i="144"/>
  <c r="P85" i="144"/>
  <c r="N85" i="144"/>
  <c r="L85" i="144"/>
  <c r="H85" i="144"/>
  <c r="C85" i="144"/>
  <c r="A86" i="144"/>
  <c r="O85" i="144"/>
  <c r="K85" i="144"/>
  <c r="D85" i="144"/>
  <c r="Q85" i="144"/>
  <c r="T85" i="144" s="1"/>
  <c r="I85" i="144"/>
  <c r="AC85" i="144"/>
  <c r="M85" i="144"/>
  <c r="B85" i="144"/>
  <c r="X83" i="143"/>
  <c r="G293" i="138" s="1"/>
  <c r="T85" i="143"/>
  <c r="Y84" i="143"/>
  <c r="AD86" i="143"/>
  <c r="AB86" i="143"/>
  <c r="R86" i="143"/>
  <c r="P86" i="143"/>
  <c r="N86" i="143"/>
  <c r="L86" i="143"/>
  <c r="H86" i="143"/>
  <c r="C86" i="143"/>
  <c r="AC86" i="143"/>
  <c r="Q86" i="143"/>
  <c r="M86" i="143"/>
  <c r="I86" i="143"/>
  <c r="B86" i="143"/>
  <c r="K86" i="143"/>
  <c r="A87" i="143"/>
  <c r="O86" i="143"/>
  <c r="D86" i="143"/>
  <c r="S85" i="143"/>
  <c r="J85" i="143"/>
  <c r="W85" i="143" s="1"/>
  <c r="Z84" i="143" l="1"/>
  <c r="AA84" i="143"/>
  <c r="F294" i="138"/>
  <c r="E294" i="138"/>
  <c r="D294" i="138"/>
  <c r="I294" i="138"/>
  <c r="AA84" i="144"/>
  <c r="E399" i="138" s="1"/>
  <c r="F399" i="138"/>
  <c r="D399" i="138"/>
  <c r="I399" i="138"/>
  <c r="B400" i="138"/>
  <c r="B295" i="138"/>
  <c r="X84" i="144"/>
  <c r="G399" i="138" s="1"/>
  <c r="J85" i="144"/>
  <c r="W85" i="144" s="1"/>
  <c r="S85" i="144"/>
  <c r="A87" i="144"/>
  <c r="AC86" i="144"/>
  <c r="Q86" i="144"/>
  <c r="O86" i="144"/>
  <c r="M86" i="144"/>
  <c r="K86" i="144"/>
  <c r="I86" i="144"/>
  <c r="D86" i="144"/>
  <c r="B86" i="144"/>
  <c r="AD86" i="144"/>
  <c r="R86" i="144"/>
  <c r="N86" i="144"/>
  <c r="P86" i="144"/>
  <c r="H86" i="144"/>
  <c r="C86" i="144"/>
  <c r="AB86" i="144"/>
  <c r="L86" i="144"/>
  <c r="Y85" i="144"/>
  <c r="Z85" i="144" s="1"/>
  <c r="T86" i="144"/>
  <c r="J86" i="143"/>
  <c r="W86" i="143" s="1"/>
  <c r="S86" i="143"/>
  <c r="X84" i="143"/>
  <c r="G294" i="138" s="1"/>
  <c r="A88" i="143"/>
  <c r="AC87" i="143"/>
  <c r="Q87" i="143"/>
  <c r="O87" i="143"/>
  <c r="M87" i="143"/>
  <c r="K87" i="143"/>
  <c r="I87" i="143"/>
  <c r="D87" i="143"/>
  <c r="B87" i="143"/>
  <c r="AB87" i="143"/>
  <c r="P87" i="143"/>
  <c r="L87" i="143"/>
  <c r="H87" i="143"/>
  <c r="C87" i="143"/>
  <c r="AD87" i="143"/>
  <c r="N87" i="143"/>
  <c r="R87" i="143"/>
  <c r="T86" i="143"/>
  <c r="Y85" i="143"/>
  <c r="Z85" i="143" s="1"/>
  <c r="AA85" i="143" l="1"/>
  <c r="E295" i="138"/>
  <c r="D295" i="138"/>
  <c r="F295" i="138"/>
  <c r="I295" i="138"/>
  <c r="X85" i="144"/>
  <c r="G400" i="138" s="1"/>
  <c r="AA85" i="144"/>
  <c r="E400" i="138" s="1"/>
  <c r="D400" i="138"/>
  <c r="F400" i="138"/>
  <c r="I400" i="138"/>
  <c r="B401" i="138"/>
  <c r="B296" i="138"/>
  <c r="Y86" i="144"/>
  <c r="Z86" i="144" s="1"/>
  <c r="S86" i="144"/>
  <c r="J86" i="144"/>
  <c r="W86" i="144" s="1"/>
  <c r="AD87" i="144"/>
  <c r="AB87" i="144"/>
  <c r="R87" i="144"/>
  <c r="P87" i="144"/>
  <c r="N87" i="144"/>
  <c r="L87" i="144"/>
  <c r="H87" i="144"/>
  <c r="C87" i="144"/>
  <c r="A88" i="144"/>
  <c r="O87" i="144"/>
  <c r="K87" i="144"/>
  <c r="D87" i="144"/>
  <c r="AC87" i="144"/>
  <c r="M87" i="144"/>
  <c r="B87" i="144"/>
  <c r="Q87" i="144"/>
  <c r="T87" i="144" s="1"/>
  <c r="I87" i="144"/>
  <c r="X85" i="143"/>
  <c r="G295" i="138" s="1"/>
  <c r="T87" i="143"/>
  <c r="Y86" i="143"/>
  <c r="S87" i="143"/>
  <c r="J87" i="143"/>
  <c r="W87" i="143" s="1"/>
  <c r="AD88" i="143"/>
  <c r="AB88" i="143"/>
  <c r="R88" i="143"/>
  <c r="P88" i="143"/>
  <c r="N88" i="143"/>
  <c r="L88" i="143"/>
  <c r="H88" i="143"/>
  <c r="C88" i="143"/>
  <c r="AC88" i="143"/>
  <c r="Q88" i="143"/>
  <c r="M88" i="143"/>
  <c r="I88" i="143"/>
  <c r="B88" i="143"/>
  <c r="K88" i="143"/>
  <c r="A89" i="143"/>
  <c r="O88" i="143"/>
  <c r="D88" i="143"/>
  <c r="Z86" i="143" l="1"/>
  <c r="AA86" i="143"/>
  <c r="AA86" i="144"/>
  <c r="E401" i="138" s="1"/>
  <c r="X86" i="144"/>
  <c r="G401" i="138" s="1"/>
  <c r="F296" i="138"/>
  <c r="E296" i="138"/>
  <c r="D296" i="138"/>
  <c r="I296" i="138"/>
  <c r="F401" i="138"/>
  <c r="D401" i="138"/>
  <c r="I401" i="138"/>
  <c r="B402" i="138"/>
  <c r="B297" i="138"/>
  <c r="J87" i="144"/>
  <c r="W87" i="144" s="1"/>
  <c r="S87" i="144"/>
  <c r="A89" i="144"/>
  <c r="AC88" i="144"/>
  <c r="Q88" i="144"/>
  <c r="T88" i="144" s="1"/>
  <c r="O88" i="144"/>
  <c r="M88" i="144"/>
  <c r="K88" i="144"/>
  <c r="I88" i="144"/>
  <c r="D88" i="144"/>
  <c r="B88" i="144"/>
  <c r="AD88" i="144"/>
  <c r="R88" i="144"/>
  <c r="N88" i="144"/>
  <c r="AB88" i="144"/>
  <c r="L88" i="144"/>
  <c r="P88" i="144"/>
  <c r="H88" i="144"/>
  <c r="C88" i="144"/>
  <c r="Y87" i="144"/>
  <c r="Z87" i="144" s="1"/>
  <c r="X86" i="143"/>
  <c r="G296" i="138" s="1"/>
  <c r="J88" i="143"/>
  <c r="W88" i="143" s="1"/>
  <c r="S88" i="143"/>
  <c r="A90" i="143"/>
  <c r="AC89" i="143"/>
  <c r="Q89" i="143"/>
  <c r="O89" i="143"/>
  <c r="M89" i="143"/>
  <c r="K89" i="143"/>
  <c r="I89" i="143"/>
  <c r="D89" i="143"/>
  <c r="B89" i="143"/>
  <c r="AB89" i="143"/>
  <c r="P89" i="143"/>
  <c r="L89" i="143"/>
  <c r="H89" i="143"/>
  <c r="C89" i="143"/>
  <c r="AD89" i="143"/>
  <c r="N89" i="143"/>
  <c r="R89" i="143"/>
  <c r="T88" i="143"/>
  <c r="Y87" i="143"/>
  <c r="Z87" i="143" s="1"/>
  <c r="AA87" i="143" l="1"/>
  <c r="E297" i="138" s="1"/>
  <c r="F402" i="138"/>
  <c r="D402" i="138"/>
  <c r="I402" i="138"/>
  <c r="AA87" i="144"/>
  <c r="E402" i="138" s="1"/>
  <c r="F297" i="138"/>
  <c r="D297" i="138"/>
  <c r="I297" i="138"/>
  <c r="B403" i="138"/>
  <c r="B298" i="138"/>
  <c r="X87" i="144"/>
  <c r="G402" i="138" s="1"/>
  <c r="Y88" i="144"/>
  <c r="Z88" i="144" s="1"/>
  <c r="S88" i="144"/>
  <c r="J88" i="144"/>
  <c r="W88" i="144" s="1"/>
  <c r="AD89" i="144"/>
  <c r="AB89" i="144"/>
  <c r="R89" i="144"/>
  <c r="P89" i="144"/>
  <c r="N89" i="144"/>
  <c r="L89" i="144"/>
  <c r="H89" i="144"/>
  <c r="C89" i="144"/>
  <c r="A90" i="144"/>
  <c r="O89" i="144"/>
  <c r="K89" i="144"/>
  <c r="D89" i="144"/>
  <c r="Q89" i="144"/>
  <c r="T89" i="144" s="1"/>
  <c r="I89" i="144"/>
  <c r="AC89" i="144"/>
  <c r="M89" i="144"/>
  <c r="B89" i="144"/>
  <c r="S89" i="143"/>
  <c r="J89" i="143"/>
  <c r="W89" i="143" s="1"/>
  <c r="X87" i="143"/>
  <c r="G297" i="138" s="1"/>
  <c r="T89" i="143"/>
  <c r="Y88" i="143"/>
  <c r="Z88" i="143" s="1"/>
  <c r="AD90" i="143"/>
  <c r="AB90" i="143"/>
  <c r="AC90" i="143"/>
  <c r="R90" i="143"/>
  <c r="P90" i="143"/>
  <c r="N90" i="143"/>
  <c r="L90" i="143"/>
  <c r="H90" i="143"/>
  <c r="C90" i="143"/>
  <c r="A91" i="143"/>
  <c r="Q90" i="143"/>
  <c r="M90" i="143"/>
  <c r="I90" i="143"/>
  <c r="B90" i="143"/>
  <c r="K90" i="143"/>
  <c r="O90" i="143"/>
  <c r="D90" i="143"/>
  <c r="AA88" i="143" l="1"/>
  <c r="F298" i="138"/>
  <c r="E298" i="138"/>
  <c r="D298" i="138"/>
  <c r="I298" i="138"/>
  <c r="AA88" i="144"/>
  <c r="E403" i="138" s="1"/>
  <c r="F403" i="138"/>
  <c r="D403" i="138"/>
  <c r="I403" i="138"/>
  <c r="B404" i="138"/>
  <c r="B299" i="138"/>
  <c r="X88" i="144"/>
  <c r="J89" i="144"/>
  <c r="W89" i="144" s="1"/>
  <c r="S89" i="144"/>
  <c r="A91" i="144"/>
  <c r="AC90" i="144"/>
  <c r="Q90" i="144"/>
  <c r="T90" i="144" s="1"/>
  <c r="O90" i="144"/>
  <c r="M90" i="144"/>
  <c r="K90" i="144"/>
  <c r="I90" i="144"/>
  <c r="D90" i="144"/>
  <c r="B90" i="144"/>
  <c r="AD90" i="144"/>
  <c r="R90" i="144"/>
  <c r="N90" i="144"/>
  <c r="P90" i="144"/>
  <c r="H90" i="144"/>
  <c r="C90" i="144"/>
  <c r="AB90" i="144"/>
  <c r="L90" i="144"/>
  <c r="Y89" i="144"/>
  <c r="Z89" i="144" s="1"/>
  <c r="J90" i="143"/>
  <c r="W90" i="143" s="1"/>
  <c r="S90" i="143"/>
  <c r="T90" i="143"/>
  <c r="Y89" i="143"/>
  <c r="A92" i="143"/>
  <c r="AC91" i="143"/>
  <c r="Q91" i="143"/>
  <c r="O91" i="143"/>
  <c r="M91" i="143"/>
  <c r="K91" i="143"/>
  <c r="I91" i="143"/>
  <c r="D91" i="143"/>
  <c r="B91" i="143"/>
  <c r="AB91" i="143"/>
  <c r="P91" i="143"/>
  <c r="L91" i="143"/>
  <c r="H91" i="143"/>
  <c r="C91" i="143"/>
  <c r="R91" i="143"/>
  <c r="AD91" i="143"/>
  <c r="N91" i="143"/>
  <c r="X88" i="143"/>
  <c r="G298" i="138" s="1"/>
  <c r="Z89" i="143" l="1"/>
  <c r="F299" i="138" s="1"/>
  <c r="AA89" i="143"/>
  <c r="X89" i="143"/>
  <c r="G299" i="138" s="1"/>
  <c r="X89" i="144"/>
  <c r="G404" i="138" s="1"/>
  <c r="AA89" i="144"/>
  <c r="E404" i="138" s="1"/>
  <c r="D404" i="138"/>
  <c r="F404" i="138"/>
  <c r="I404" i="138"/>
  <c r="G403" i="138"/>
  <c r="E299" i="138"/>
  <c r="D299" i="138"/>
  <c r="I299" i="138"/>
  <c r="B405" i="138"/>
  <c r="B300" i="138"/>
  <c r="Y90" i="144"/>
  <c r="Z90" i="144" s="1"/>
  <c r="S90" i="144"/>
  <c r="J90" i="144"/>
  <c r="W90" i="144" s="1"/>
  <c r="AD91" i="144"/>
  <c r="AB91" i="144"/>
  <c r="R91" i="144"/>
  <c r="P91" i="144"/>
  <c r="N91" i="144"/>
  <c r="L91" i="144"/>
  <c r="H91" i="144"/>
  <c r="C91" i="144"/>
  <c r="A92" i="144"/>
  <c r="O91" i="144"/>
  <c r="K91" i="144"/>
  <c r="D91" i="144"/>
  <c r="AC91" i="144"/>
  <c r="M91" i="144"/>
  <c r="B91" i="144"/>
  <c r="Q91" i="144"/>
  <c r="T91" i="144" s="1"/>
  <c r="I91" i="144"/>
  <c r="S91" i="143"/>
  <c r="J91" i="143"/>
  <c r="W91" i="143" s="1"/>
  <c r="AD92" i="143"/>
  <c r="AB92" i="143"/>
  <c r="R92" i="143"/>
  <c r="P92" i="143"/>
  <c r="N92" i="143"/>
  <c r="L92" i="143"/>
  <c r="H92" i="143"/>
  <c r="C92" i="143"/>
  <c r="AC92" i="143"/>
  <c r="Q92" i="143"/>
  <c r="M92" i="143"/>
  <c r="I92" i="143"/>
  <c r="B92" i="143"/>
  <c r="A93" i="143"/>
  <c r="O92" i="143"/>
  <c r="D92" i="143"/>
  <c r="K92" i="143"/>
  <c r="T91" i="143"/>
  <c r="Y90" i="143"/>
  <c r="Z90" i="143" s="1"/>
  <c r="AA90" i="143" l="1"/>
  <c r="E300" i="138" s="1"/>
  <c r="AA90" i="144"/>
  <c r="E405" i="138" s="1"/>
  <c r="F300" i="138"/>
  <c r="I300" i="138"/>
  <c r="D300" i="138"/>
  <c r="F405" i="138"/>
  <c r="I405" i="138"/>
  <c r="D405" i="138"/>
  <c r="B406" i="138"/>
  <c r="B301" i="138"/>
  <c r="X90" i="143"/>
  <c r="G300" i="138" s="1"/>
  <c r="X90" i="144"/>
  <c r="G405" i="138" s="1"/>
  <c r="J91" i="144"/>
  <c r="W91" i="144" s="1"/>
  <c r="S91" i="144"/>
  <c r="A93" i="144"/>
  <c r="AC92" i="144"/>
  <c r="Q92" i="144"/>
  <c r="T92" i="144" s="1"/>
  <c r="O92" i="144"/>
  <c r="M92" i="144"/>
  <c r="K92" i="144"/>
  <c r="I92" i="144"/>
  <c r="D92" i="144"/>
  <c r="B92" i="144"/>
  <c r="AD92" i="144"/>
  <c r="R92" i="144"/>
  <c r="N92" i="144"/>
  <c r="AB92" i="144"/>
  <c r="L92" i="144"/>
  <c r="P92" i="144"/>
  <c r="H92" i="144"/>
  <c r="C92" i="144"/>
  <c r="Y91" i="144"/>
  <c r="Z91" i="144" s="1"/>
  <c r="T92" i="143"/>
  <c r="Y91" i="143"/>
  <c r="Z91" i="143" s="1"/>
  <c r="J92" i="143"/>
  <c r="W92" i="143" s="1"/>
  <c r="S92" i="143"/>
  <c r="A94" i="143"/>
  <c r="AC93" i="143"/>
  <c r="Q93" i="143"/>
  <c r="O93" i="143"/>
  <c r="M93" i="143"/>
  <c r="K93" i="143"/>
  <c r="I93" i="143"/>
  <c r="D93" i="143"/>
  <c r="B93" i="143"/>
  <c r="AB93" i="143"/>
  <c r="P93" i="143"/>
  <c r="L93" i="143"/>
  <c r="H93" i="143"/>
  <c r="C93" i="143"/>
  <c r="R93" i="143"/>
  <c r="AD93" i="143"/>
  <c r="N93" i="143"/>
  <c r="AA91" i="143" l="1"/>
  <c r="AA91" i="144"/>
  <c r="E406" i="138" s="1"/>
  <c r="E301" i="138"/>
  <c r="F301" i="138"/>
  <c r="D301" i="138"/>
  <c r="I301" i="138"/>
  <c r="F406" i="138"/>
  <c r="D406" i="138"/>
  <c r="I406" i="138"/>
  <c r="B302" i="138"/>
  <c r="B407" i="138"/>
  <c r="X91" i="144"/>
  <c r="Y92" i="144"/>
  <c r="Z92" i="144" s="1"/>
  <c r="S92" i="144"/>
  <c r="J92" i="144"/>
  <c r="W92" i="144" s="1"/>
  <c r="AD93" i="144"/>
  <c r="AB93" i="144"/>
  <c r="AC93" i="144"/>
  <c r="R93" i="144"/>
  <c r="P93" i="144"/>
  <c r="N93" i="144"/>
  <c r="L93" i="144"/>
  <c r="H93" i="144"/>
  <c r="C93" i="144"/>
  <c r="O93" i="144"/>
  <c r="K93" i="144"/>
  <c r="D93" i="144"/>
  <c r="Q93" i="144"/>
  <c r="T93" i="144" s="1"/>
  <c r="I93" i="144"/>
  <c r="A94" i="144"/>
  <c r="M93" i="144"/>
  <c r="B93" i="144"/>
  <c r="X91" i="143"/>
  <c r="G301" i="138" s="1"/>
  <c r="T93" i="143"/>
  <c r="Y92" i="143"/>
  <c r="AD94" i="143"/>
  <c r="AB94" i="143"/>
  <c r="R94" i="143"/>
  <c r="P94" i="143"/>
  <c r="N94" i="143"/>
  <c r="L94" i="143"/>
  <c r="H94" i="143"/>
  <c r="C94" i="143"/>
  <c r="AC94" i="143"/>
  <c r="Q94" i="143"/>
  <c r="M94" i="143"/>
  <c r="I94" i="143"/>
  <c r="B94" i="143"/>
  <c r="A95" i="143"/>
  <c r="O94" i="143"/>
  <c r="D94" i="143"/>
  <c r="K94" i="143"/>
  <c r="S93" i="143"/>
  <c r="J93" i="143"/>
  <c r="W93" i="143" s="1"/>
  <c r="Z92" i="143" l="1"/>
  <c r="AA92" i="143"/>
  <c r="E302" i="138" s="1"/>
  <c r="F302" i="138"/>
  <c r="D302" i="138"/>
  <c r="I302" i="138"/>
  <c r="AA92" i="144"/>
  <c r="F407" i="138"/>
  <c r="E407" i="138"/>
  <c r="D407" i="138"/>
  <c r="I407" i="138"/>
  <c r="G406" i="138"/>
  <c r="B408" i="138"/>
  <c r="B303" i="138"/>
  <c r="X92" i="144"/>
  <c r="A95" i="144"/>
  <c r="AC94" i="144"/>
  <c r="Q94" i="144"/>
  <c r="T94" i="144" s="1"/>
  <c r="O94" i="144"/>
  <c r="M94" i="144"/>
  <c r="K94" i="144"/>
  <c r="I94" i="144"/>
  <c r="D94" i="144"/>
  <c r="B94" i="144"/>
  <c r="AB94" i="144"/>
  <c r="P94" i="144"/>
  <c r="L94" i="144"/>
  <c r="H94" i="144"/>
  <c r="C94" i="144"/>
  <c r="AD94" i="144"/>
  <c r="N94" i="144"/>
  <c r="R94" i="144"/>
  <c r="J93" i="144"/>
  <c r="W93" i="144" s="1"/>
  <c r="S93" i="144"/>
  <c r="Y93" i="144"/>
  <c r="Z93" i="144" s="1"/>
  <c r="T94" i="143"/>
  <c r="Y93" i="143"/>
  <c r="Z93" i="143" s="1"/>
  <c r="J94" i="143"/>
  <c r="W94" i="143" s="1"/>
  <c r="S94" i="143"/>
  <c r="A96" i="143"/>
  <c r="AC95" i="143"/>
  <c r="Q95" i="143"/>
  <c r="O95" i="143"/>
  <c r="M95" i="143"/>
  <c r="K95" i="143"/>
  <c r="I95" i="143"/>
  <c r="D95" i="143"/>
  <c r="B95" i="143"/>
  <c r="AB95" i="143"/>
  <c r="P95" i="143"/>
  <c r="L95" i="143"/>
  <c r="H95" i="143"/>
  <c r="C95" i="143"/>
  <c r="R95" i="143"/>
  <c r="AD95" i="143"/>
  <c r="N95" i="143"/>
  <c r="X92" i="143"/>
  <c r="G302" i="138" s="1"/>
  <c r="AA93" i="143" l="1"/>
  <c r="E303" i="138"/>
  <c r="D303" i="138"/>
  <c r="F303" i="138"/>
  <c r="I303" i="138"/>
  <c r="G407" i="138"/>
  <c r="AA93" i="144"/>
  <c r="E408" i="138" s="1"/>
  <c r="D408" i="138"/>
  <c r="F408" i="138"/>
  <c r="I408" i="138"/>
  <c r="B304" i="138"/>
  <c r="B409" i="138"/>
  <c r="X93" i="144"/>
  <c r="G408" i="138" s="1"/>
  <c r="Y94" i="144"/>
  <c r="Z94" i="144" s="1"/>
  <c r="S94" i="144"/>
  <c r="J94" i="144"/>
  <c r="W94" i="144" s="1"/>
  <c r="AD95" i="144"/>
  <c r="AB95" i="144"/>
  <c r="R95" i="144"/>
  <c r="P95" i="144"/>
  <c r="N95" i="144"/>
  <c r="L95" i="144"/>
  <c r="H95" i="144"/>
  <c r="C95" i="144"/>
  <c r="AC95" i="144"/>
  <c r="Q95" i="144"/>
  <c r="T95" i="144" s="1"/>
  <c r="M95" i="144"/>
  <c r="I95" i="144"/>
  <c r="B95" i="144"/>
  <c r="K95" i="144"/>
  <c r="D95" i="144"/>
  <c r="A96" i="144"/>
  <c r="O95" i="144"/>
  <c r="S95" i="143"/>
  <c r="J95" i="143"/>
  <c r="W95" i="143" s="1"/>
  <c r="AD96" i="143"/>
  <c r="AB96" i="143"/>
  <c r="R96" i="143"/>
  <c r="P96" i="143"/>
  <c r="N96" i="143"/>
  <c r="L96" i="143"/>
  <c r="H96" i="143"/>
  <c r="C96" i="143"/>
  <c r="AC96" i="143"/>
  <c r="Q96" i="143"/>
  <c r="M96" i="143"/>
  <c r="I96" i="143"/>
  <c r="B96" i="143"/>
  <c r="A97" i="143"/>
  <c r="O96" i="143"/>
  <c r="D96" i="143"/>
  <c r="K96" i="143"/>
  <c r="X93" i="143"/>
  <c r="G303" i="138" s="1"/>
  <c r="T95" i="143"/>
  <c r="Y94" i="143"/>
  <c r="Z94" i="143" l="1"/>
  <c r="AA94" i="143"/>
  <c r="F304" i="138"/>
  <c r="E304" i="138"/>
  <c r="D304" i="138"/>
  <c r="I304" i="138"/>
  <c r="AA94" i="144"/>
  <c r="E409" i="138" s="1"/>
  <c r="F409" i="138"/>
  <c r="D409" i="138"/>
  <c r="I409" i="138"/>
  <c r="B410" i="138"/>
  <c r="B305" i="138"/>
  <c r="X94" i="144"/>
  <c r="G409" i="138" s="1"/>
  <c r="A97" i="144"/>
  <c r="AC96" i="144"/>
  <c r="Q96" i="144"/>
  <c r="T96" i="144" s="1"/>
  <c r="O96" i="144"/>
  <c r="M96" i="144"/>
  <c r="K96" i="144"/>
  <c r="I96" i="144"/>
  <c r="D96" i="144"/>
  <c r="B96" i="144"/>
  <c r="AB96" i="144"/>
  <c r="P96" i="144"/>
  <c r="L96" i="144"/>
  <c r="H96" i="144"/>
  <c r="C96" i="144"/>
  <c r="AD96" i="144"/>
  <c r="N96" i="144"/>
  <c r="R96" i="144"/>
  <c r="J95" i="144"/>
  <c r="W95" i="144" s="1"/>
  <c r="S95" i="144"/>
  <c r="Y95" i="144"/>
  <c r="Z95" i="144" s="1"/>
  <c r="X94" i="143"/>
  <c r="G304" i="138" s="1"/>
  <c r="T96" i="143"/>
  <c r="Y95" i="143"/>
  <c r="J96" i="143"/>
  <c r="W96" i="143" s="1"/>
  <c r="S96" i="143"/>
  <c r="A98" i="143"/>
  <c r="AC97" i="143"/>
  <c r="Q97" i="143"/>
  <c r="O97" i="143"/>
  <c r="M97" i="143"/>
  <c r="K97" i="143"/>
  <c r="I97" i="143"/>
  <c r="D97" i="143"/>
  <c r="B97" i="143"/>
  <c r="AB97" i="143"/>
  <c r="P97" i="143"/>
  <c r="L97" i="143"/>
  <c r="H97" i="143"/>
  <c r="C97" i="143"/>
  <c r="R97" i="143"/>
  <c r="AD97" i="143"/>
  <c r="N97" i="143"/>
  <c r="Z95" i="143" l="1"/>
  <c r="F305" i="138" s="1"/>
  <c r="AA95" i="143"/>
  <c r="E305" i="138" s="1"/>
  <c r="AA95" i="144"/>
  <c r="E410" i="138" s="1"/>
  <c r="F410" i="138"/>
  <c r="D410" i="138"/>
  <c r="I410" i="138"/>
  <c r="D305" i="138"/>
  <c r="I305" i="138"/>
  <c r="B306" i="138"/>
  <c r="B411" i="138"/>
  <c r="X95" i="143"/>
  <c r="G305" i="138" s="1"/>
  <c r="X95" i="144"/>
  <c r="G410" i="138" s="1"/>
  <c r="Y96" i="144"/>
  <c r="Z96" i="144" s="1"/>
  <c r="S96" i="144"/>
  <c r="J96" i="144"/>
  <c r="W96" i="144" s="1"/>
  <c r="AD97" i="144"/>
  <c r="AB97" i="144"/>
  <c r="R97" i="144"/>
  <c r="P97" i="144"/>
  <c r="N97" i="144"/>
  <c r="L97" i="144"/>
  <c r="H97" i="144"/>
  <c r="C97" i="144"/>
  <c r="AC97" i="144"/>
  <c r="Q97" i="144"/>
  <c r="T97" i="144" s="1"/>
  <c r="M97" i="144"/>
  <c r="I97" i="144"/>
  <c r="B97" i="144"/>
  <c r="K97" i="144"/>
  <c r="D97" i="144"/>
  <c r="A98" i="144"/>
  <c r="O97" i="144"/>
  <c r="T97" i="143"/>
  <c r="Y96" i="143"/>
  <c r="Z96" i="143" s="1"/>
  <c r="AD98" i="143"/>
  <c r="AB98" i="143"/>
  <c r="R98" i="143"/>
  <c r="P98" i="143"/>
  <c r="N98" i="143"/>
  <c r="L98" i="143"/>
  <c r="H98" i="143"/>
  <c r="C98" i="143"/>
  <c r="AC98" i="143"/>
  <c r="Q98" i="143"/>
  <c r="M98" i="143"/>
  <c r="I98" i="143"/>
  <c r="B98" i="143"/>
  <c r="A99" i="143"/>
  <c r="O98" i="143"/>
  <c r="D98" i="143"/>
  <c r="K98" i="143"/>
  <c r="S97" i="143"/>
  <c r="J97" i="143"/>
  <c r="W97" i="143" s="1"/>
  <c r="AA96" i="143" l="1"/>
  <c r="E306" i="138" s="1"/>
  <c r="AA96" i="144"/>
  <c r="E411" i="138" s="1"/>
  <c r="F306" i="138"/>
  <c r="D306" i="138"/>
  <c r="I306" i="138"/>
  <c r="F411" i="138"/>
  <c r="D411" i="138"/>
  <c r="I411" i="138"/>
  <c r="B412" i="138"/>
  <c r="B307" i="138"/>
  <c r="X96" i="144"/>
  <c r="A99" i="144"/>
  <c r="AC98" i="144"/>
  <c r="Q98" i="144"/>
  <c r="T98" i="144" s="1"/>
  <c r="O98" i="144"/>
  <c r="M98" i="144"/>
  <c r="K98" i="144"/>
  <c r="I98" i="144"/>
  <c r="D98" i="144"/>
  <c r="B98" i="144"/>
  <c r="AB98" i="144"/>
  <c r="P98" i="144"/>
  <c r="L98" i="144"/>
  <c r="H98" i="144"/>
  <c r="C98" i="144"/>
  <c r="AD98" i="144"/>
  <c r="N98" i="144"/>
  <c r="R98" i="144"/>
  <c r="J97" i="144"/>
  <c r="W97" i="144" s="1"/>
  <c r="S97" i="144"/>
  <c r="Y97" i="144"/>
  <c r="Z97" i="144" s="1"/>
  <c r="AD99" i="143"/>
  <c r="AC99" i="143"/>
  <c r="Q99" i="143"/>
  <c r="O99" i="143"/>
  <c r="M99" i="143"/>
  <c r="K99" i="143"/>
  <c r="I99" i="143"/>
  <c r="D99" i="143"/>
  <c r="B99" i="143"/>
  <c r="AB99" i="143"/>
  <c r="P99" i="143"/>
  <c r="L99" i="143"/>
  <c r="H99" i="143"/>
  <c r="C99" i="143"/>
  <c r="R99" i="143"/>
  <c r="A100" i="143"/>
  <c r="N99" i="143"/>
  <c r="X96" i="143"/>
  <c r="G306" i="138" s="1"/>
  <c r="J98" i="143"/>
  <c r="W98" i="143" s="1"/>
  <c r="S98" i="143"/>
  <c r="T98" i="143"/>
  <c r="Y97" i="143"/>
  <c r="Z97" i="143" s="1"/>
  <c r="AA97" i="143" l="1"/>
  <c r="E307" i="138"/>
  <c r="D307" i="138"/>
  <c r="F307" i="138"/>
  <c r="I307" i="138"/>
  <c r="G411" i="138"/>
  <c r="D412" i="138"/>
  <c r="F412" i="138"/>
  <c r="I412" i="138"/>
  <c r="B308" i="138"/>
  <c r="B413" i="138"/>
  <c r="AA97" i="144"/>
  <c r="E412" i="138" s="1"/>
  <c r="X97" i="144"/>
  <c r="G412" i="138" s="1"/>
  <c r="Y98" i="144"/>
  <c r="Z98" i="144" s="1"/>
  <c r="S98" i="144"/>
  <c r="J98" i="144"/>
  <c r="W98" i="144" s="1"/>
  <c r="AD99" i="144"/>
  <c r="AB99" i="144"/>
  <c r="R99" i="144"/>
  <c r="P99" i="144"/>
  <c r="N99" i="144"/>
  <c r="L99" i="144"/>
  <c r="H99" i="144"/>
  <c r="C99" i="144"/>
  <c r="AC99" i="144"/>
  <c r="Q99" i="144"/>
  <c r="T99" i="144" s="1"/>
  <c r="M99" i="144"/>
  <c r="I99" i="144"/>
  <c r="B99" i="144"/>
  <c r="K99" i="144"/>
  <c r="D99" i="144"/>
  <c r="A100" i="144"/>
  <c r="O99" i="144"/>
  <c r="A101" i="143"/>
  <c r="AC100" i="143"/>
  <c r="Q100" i="143"/>
  <c r="O100" i="143"/>
  <c r="M100" i="143"/>
  <c r="K100" i="143"/>
  <c r="I100" i="143"/>
  <c r="D100" i="143"/>
  <c r="B100" i="143"/>
  <c r="AB100" i="143"/>
  <c r="P100" i="143"/>
  <c r="L100" i="143"/>
  <c r="H100" i="143"/>
  <c r="C100" i="143"/>
  <c r="AD100" i="143"/>
  <c r="N100" i="143"/>
  <c r="R100" i="143"/>
  <c r="S99" i="143"/>
  <c r="J99" i="143"/>
  <c r="W99" i="143" s="1"/>
  <c r="X97" i="143"/>
  <c r="G307" i="138" s="1"/>
  <c r="T99" i="143"/>
  <c r="Y98" i="143"/>
  <c r="Z98" i="143" l="1"/>
  <c r="F308" i="138" s="1"/>
  <c r="AA98" i="143"/>
  <c r="AA98" i="144"/>
  <c r="E308" i="138"/>
  <c r="I308" i="138"/>
  <c r="D308" i="138"/>
  <c r="F413" i="138"/>
  <c r="E413" i="138"/>
  <c r="I413" i="138"/>
  <c r="D413" i="138"/>
  <c r="B414" i="138"/>
  <c r="B309" i="138"/>
  <c r="X98" i="144"/>
  <c r="A101" i="144"/>
  <c r="AC100" i="144"/>
  <c r="Q100" i="144"/>
  <c r="T100" i="144" s="1"/>
  <c r="O100" i="144"/>
  <c r="M100" i="144"/>
  <c r="K100" i="144"/>
  <c r="I100" i="144"/>
  <c r="D100" i="144"/>
  <c r="B100" i="144"/>
  <c r="AB100" i="144"/>
  <c r="P100" i="144"/>
  <c r="L100" i="144"/>
  <c r="H100" i="144"/>
  <c r="C100" i="144"/>
  <c r="AD100" i="144"/>
  <c r="N100" i="144"/>
  <c r="R100" i="144"/>
  <c r="J99" i="144"/>
  <c r="W99" i="144" s="1"/>
  <c r="S99" i="144"/>
  <c r="Y99" i="144"/>
  <c r="Z99" i="144" s="1"/>
  <c r="T100" i="143"/>
  <c r="Y99" i="143"/>
  <c r="Z99" i="143" s="1"/>
  <c r="S100" i="143"/>
  <c r="J100" i="143"/>
  <c r="W100" i="143" s="1"/>
  <c r="X98" i="143"/>
  <c r="AD101" i="143"/>
  <c r="AB101" i="143"/>
  <c r="R101" i="143"/>
  <c r="P101" i="143"/>
  <c r="N101" i="143"/>
  <c r="L101" i="143"/>
  <c r="H101" i="143"/>
  <c r="C101" i="143"/>
  <c r="AC101" i="143"/>
  <c r="Q101" i="143"/>
  <c r="M101" i="143"/>
  <c r="I101" i="143"/>
  <c r="B101" i="143"/>
  <c r="K101" i="143"/>
  <c r="D101" i="143"/>
  <c r="O101" i="143"/>
  <c r="A102" i="143"/>
  <c r="AA99" i="143" l="1"/>
  <c r="E309" i="138"/>
  <c r="F309" i="138"/>
  <c r="D309" i="138"/>
  <c r="I309" i="138"/>
  <c r="G413" i="138"/>
  <c r="G308" i="138"/>
  <c r="F414" i="138"/>
  <c r="D414" i="138"/>
  <c r="I414" i="138"/>
  <c r="B310" i="138"/>
  <c r="B415" i="138"/>
  <c r="AA99" i="144"/>
  <c r="E414" i="138" s="1"/>
  <c r="X99" i="144"/>
  <c r="G414" i="138" s="1"/>
  <c r="Y100" i="144"/>
  <c r="Z100" i="144" s="1"/>
  <c r="S100" i="144"/>
  <c r="J100" i="144"/>
  <c r="W100" i="144" s="1"/>
  <c r="AD101" i="144"/>
  <c r="AB101" i="144"/>
  <c r="R101" i="144"/>
  <c r="P101" i="144"/>
  <c r="N101" i="144"/>
  <c r="L101" i="144"/>
  <c r="H101" i="144"/>
  <c r="C101" i="144"/>
  <c r="AC101" i="144"/>
  <c r="Q101" i="144"/>
  <c r="T101" i="144" s="1"/>
  <c r="M101" i="144"/>
  <c r="I101" i="144"/>
  <c r="B101" i="144"/>
  <c r="K101" i="144"/>
  <c r="D101" i="144"/>
  <c r="A102" i="144"/>
  <c r="O101" i="144"/>
  <c r="X99" i="143"/>
  <c r="G309" i="138" s="1"/>
  <c r="T101" i="143"/>
  <c r="Y100" i="143"/>
  <c r="A103" i="143"/>
  <c r="AC102" i="143"/>
  <c r="Q102" i="143"/>
  <c r="O102" i="143"/>
  <c r="M102" i="143"/>
  <c r="K102" i="143"/>
  <c r="I102" i="143"/>
  <c r="D102" i="143"/>
  <c r="B102" i="143"/>
  <c r="AB102" i="143"/>
  <c r="P102" i="143"/>
  <c r="L102" i="143"/>
  <c r="H102" i="143"/>
  <c r="C102" i="143"/>
  <c r="AD102" i="143"/>
  <c r="N102" i="143"/>
  <c r="R102" i="143"/>
  <c r="J101" i="143"/>
  <c r="W101" i="143" s="1"/>
  <c r="S101" i="143"/>
  <c r="Z100" i="143" l="1"/>
  <c r="AA100" i="143"/>
  <c r="AA100" i="144"/>
  <c r="X100" i="144"/>
  <c r="G415" i="138" s="1"/>
  <c r="F310" i="138"/>
  <c r="E310" i="138"/>
  <c r="D310" i="138"/>
  <c r="I310" i="138"/>
  <c r="F415" i="138"/>
  <c r="E415" i="138"/>
  <c r="D415" i="138"/>
  <c r="I415" i="138"/>
  <c r="B416" i="138"/>
  <c r="B311" i="138"/>
  <c r="A103" i="144"/>
  <c r="AC102" i="144"/>
  <c r="Q102" i="144"/>
  <c r="T102" i="144" s="1"/>
  <c r="O102" i="144"/>
  <c r="M102" i="144"/>
  <c r="K102" i="144"/>
  <c r="I102" i="144"/>
  <c r="D102" i="144"/>
  <c r="B102" i="144"/>
  <c r="AB102" i="144"/>
  <c r="P102" i="144"/>
  <c r="L102" i="144"/>
  <c r="H102" i="144"/>
  <c r="C102" i="144"/>
  <c r="AD102" i="144"/>
  <c r="N102" i="144"/>
  <c r="R102" i="144"/>
  <c r="J101" i="144"/>
  <c r="W101" i="144" s="1"/>
  <c r="S101" i="144"/>
  <c r="Y101" i="144"/>
  <c r="Z101" i="144" s="1"/>
  <c r="X100" i="143"/>
  <c r="G310" i="138" s="1"/>
  <c r="S102" i="143"/>
  <c r="J102" i="143"/>
  <c r="W102" i="143" s="1"/>
  <c r="T102" i="143"/>
  <c r="Y101" i="143"/>
  <c r="AD103" i="143"/>
  <c r="AB103" i="143"/>
  <c r="R103" i="143"/>
  <c r="P103" i="143"/>
  <c r="N103" i="143"/>
  <c r="L103" i="143"/>
  <c r="H103" i="143"/>
  <c r="C103" i="143"/>
  <c r="AC103" i="143"/>
  <c r="Q103" i="143"/>
  <c r="M103" i="143"/>
  <c r="I103" i="143"/>
  <c r="B103" i="143"/>
  <c r="K103" i="143"/>
  <c r="D103" i="143"/>
  <c r="A104" i="143"/>
  <c r="O103" i="143"/>
  <c r="Z101" i="143" l="1"/>
  <c r="F311" i="138" s="1"/>
  <c r="AA101" i="143"/>
  <c r="D416" i="138"/>
  <c r="F416" i="138"/>
  <c r="I416" i="138"/>
  <c r="E311" i="138"/>
  <c r="D311" i="138"/>
  <c r="I311" i="138"/>
  <c r="B312" i="138"/>
  <c r="B417" i="138"/>
  <c r="AA101" i="144"/>
  <c r="X101" i="144"/>
  <c r="G416" i="138" s="1"/>
  <c r="Y102" i="144"/>
  <c r="Z102" i="144" s="1"/>
  <c r="S102" i="144"/>
  <c r="J102" i="144"/>
  <c r="W102" i="144" s="1"/>
  <c r="AD103" i="144"/>
  <c r="AB103" i="144"/>
  <c r="R103" i="144"/>
  <c r="P103" i="144"/>
  <c r="N103" i="144"/>
  <c r="L103" i="144"/>
  <c r="H103" i="144"/>
  <c r="C103" i="144"/>
  <c r="AC103" i="144"/>
  <c r="Q103" i="144"/>
  <c r="T103" i="144" s="1"/>
  <c r="M103" i="144"/>
  <c r="I103" i="144"/>
  <c r="B103" i="144"/>
  <c r="K103" i="144"/>
  <c r="D103" i="144"/>
  <c r="A104" i="144"/>
  <c r="O103" i="144"/>
  <c r="A105" i="143"/>
  <c r="AC104" i="143"/>
  <c r="Q104" i="143"/>
  <c r="O104" i="143"/>
  <c r="M104" i="143"/>
  <c r="K104" i="143"/>
  <c r="I104" i="143"/>
  <c r="D104" i="143"/>
  <c r="B104" i="143"/>
  <c r="AB104" i="143"/>
  <c r="P104" i="143"/>
  <c r="L104" i="143"/>
  <c r="H104" i="143"/>
  <c r="C104" i="143"/>
  <c r="AD104" i="143"/>
  <c r="N104" i="143"/>
  <c r="R104" i="143"/>
  <c r="X101" i="143"/>
  <c r="J103" i="143"/>
  <c r="W103" i="143" s="1"/>
  <c r="S103" i="143"/>
  <c r="T103" i="143"/>
  <c r="Y102" i="143"/>
  <c r="Z102" i="143" s="1"/>
  <c r="AA102" i="143" l="1"/>
  <c r="AA102" i="144"/>
  <c r="E417" i="138" s="1"/>
  <c r="F312" i="138"/>
  <c r="E312" i="138"/>
  <c r="D312" i="138"/>
  <c r="I312" i="138"/>
  <c r="E416" i="138"/>
  <c r="F417" i="138"/>
  <c r="D417" i="138"/>
  <c r="I417" i="138"/>
  <c r="G311" i="138"/>
  <c r="B418" i="138"/>
  <c r="B313" i="138"/>
  <c r="X102" i="143"/>
  <c r="G312" i="138" s="1"/>
  <c r="X102" i="144"/>
  <c r="A105" i="144"/>
  <c r="AC104" i="144"/>
  <c r="Q104" i="144"/>
  <c r="T104" i="144" s="1"/>
  <c r="O104" i="144"/>
  <c r="M104" i="144"/>
  <c r="K104" i="144"/>
  <c r="I104" i="144"/>
  <c r="D104" i="144"/>
  <c r="B104" i="144"/>
  <c r="AB104" i="144"/>
  <c r="P104" i="144"/>
  <c r="L104" i="144"/>
  <c r="H104" i="144"/>
  <c r="C104" i="144"/>
  <c r="AD104" i="144"/>
  <c r="N104" i="144"/>
  <c r="R104" i="144"/>
  <c r="J103" i="144"/>
  <c r="W103" i="144" s="1"/>
  <c r="S103" i="144"/>
  <c r="Y103" i="144"/>
  <c r="Z103" i="144" s="1"/>
  <c r="T104" i="143"/>
  <c r="Y103" i="143"/>
  <c r="S104" i="143"/>
  <c r="J104" i="143"/>
  <c r="W104" i="143" s="1"/>
  <c r="AD105" i="143"/>
  <c r="AB105" i="143"/>
  <c r="R105" i="143"/>
  <c r="P105" i="143"/>
  <c r="N105" i="143"/>
  <c r="L105" i="143"/>
  <c r="H105" i="143"/>
  <c r="C105" i="143"/>
  <c r="AC105" i="143"/>
  <c r="Q105" i="143"/>
  <c r="M105" i="143"/>
  <c r="I105" i="143"/>
  <c r="B105" i="143"/>
  <c r="K105" i="143"/>
  <c r="D105" i="143"/>
  <c r="O105" i="143"/>
  <c r="Z103" i="143" l="1"/>
  <c r="AA103" i="143"/>
  <c r="U5" i="143"/>
  <c r="C215" i="138" s="1"/>
  <c r="U6" i="143"/>
  <c r="C216" i="138" s="1"/>
  <c r="U7" i="143"/>
  <c r="C217" i="138" s="1"/>
  <c r="U8" i="143"/>
  <c r="C218" i="138" s="1"/>
  <c r="U9" i="143"/>
  <c r="C219" i="138" s="1"/>
  <c r="U10" i="143"/>
  <c r="C220" i="138" s="1"/>
  <c r="U11" i="143"/>
  <c r="C221" i="138" s="1"/>
  <c r="U12" i="143"/>
  <c r="C222" i="138" s="1"/>
  <c r="U13" i="143"/>
  <c r="C223" i="138" s="1"/>
  <c r="U14" i="143"/>
  <c r="C224" i="138" s="1"/>
  <c r="U16" i="143"/>
  <c r="C226" i="138" s="1"/>
  <c r="U15" i="143"/>
  <c r="C225" i="138" s="1"/>
  <c r="U17" i="143"/>
  <c r="C227" i="138" s="1"/>
  <c r="U18" i="143"/>
  <c r="C228" i="138" s="1"/>
  <c r="U19" i="143"/>
  <c r="C229" i="138" s="1"/>
  <c r="U20" i="143"/>
  <c r="C230" i="138" s="1"/>
  <c r="U22" i="143"/>
  <c r="C232" i="138" s="1"/>
  <c r="U21" i="143"/>
  <c r="C231" i="138" s="1"/>
  <c r="U23" i="143"/>
  <c r="C233" i="138" s="1"/>
  <c r="U24" i="143"/>
  <c r="C234" i="138" s="1"/>
  <c r="U25" i="143"/>
  <c r="C235" i="138" s="1"/>
  <c r="U26" i="143"/>
  <c r="C236" i="138" s="1"/>
  <c r="U27" i="143"/>
  <c r="C237" i="138" s="1"/>
  <c r="U28" i="143"/>
  <c r="C238" i="138" s="1"/>
  <c r="U29" i="143"/>
  <c r="C239" i="138" s="1"/>
  <c r="U30" i="143"/>
  <c r="C240" i="138" s="1"/>
  <c r="U31" i="143"/>
  <c r="C241" i="138" s="1"/>
  <c r="U32" i="143"/>
  <c r="C242" i="138" s="1"/>
  <c r="U33" i="143"/>
  <c r="C243" i="138" s="1"/>
  <c r="U34" i="143"/>
  <c r="C244" i="138" s="1"/>
  <c r="U35" i="143"/>
  <c r="C245" i="138" s="1"/>
  <c r="U36" i="143"/>
  <c r="C246" i="138" s="1"/>
  <c r="U38" i="143"/>
  <c r="C248" i="138" s="1"/>
  <c r="U37" i="143"/>
  <c r="C247" i="138" s="1"/>
  <c r="U39" i="143"/>
  <c r="C249" i="138" s="1"/>
  <c r="U40" i="143"/>
  <c r="C250" i="138" s="1"/>
  <c r="U41" i="143"/>
  <c r="C251" i="138" s="1"/>
  <c r="U42" i="143"/>
  <c r="C252" i="138" s="1"/>
  <c r="U43" i="143"/>
  <c r="C253" i="138" s="1"/>
  <c r="U44" i="143"/>
  <c r="C254" i="138" s="1"/>
  <c r="U45" i="143"/>
  <c r="C255" i="138" s="1"/>
  <c r="U47" i="143"/>
  <c r="C257" i="138" s="1"/>
  <c r="U48" i="143"/>
  <c r="C258" i="138" s="1"/>
  <c r="U46" i="143"/>
  <c r="C256" i="138" s="1"/>
  <c r="U50" i="143"/>
  <c r="C260" i="138" s="1"/>
  <c r="U49" i="143"/>
  <c r="C259" i="138" s="1"/>
  <c r="U52" i="143"/>
  <c r="C262" i="138" s="1"/>
  <c r="U51" i="143"/>
  <c r="C261" i="138" s="1"/>
  <c r="U54" i="143"/>
  <c r="C264" i="138" s="1"/>
  <c r="U53" i="143"/>
  <c r="C263" i="138" s="1"/>
  <c r="U56" i="143"/>
  <c r="C266" i="138" s="1"/>
  <c r="U55" i="143"/>
  <c r="C265" i="138" s="1"/>
  <c r="U57" i="143"/>
  <c r="C267" i="138" s="1"/>
  <c r="U58" i="143"/>
  <c r="C268" i="138" s="1"/>
  <c r="U60" i="143"/>
  <c r="C270" i="138" s="1"/>
  <c r="U61" i="143"/>
  <c r="C271" i="138" s="1"/>
  <c r="U59" i="143"/>
  <c r="C269" i="138" s="1"/>
  <c r="U63" i="143"/>
  <c r="C273" i="138" s="1"/>
  <c r="U62" i="143"/>
  <c r="C272" i="138" s="1"/>
  <c r="U64" i="143"/>
  <c r="C274" i="138" s="1"/>
  <c r="U65" i="143"/>
  <c r="C275" i="138" s="1"/>
  <c r="U66" i="143"/>
  <c r="C276" i="138" s="1"/>
  <c r="U68" i="143"/>
  <c r="C278" i="138" s="1"/>
  <c r="U67" i="143"/>
  <c r="C277" i="138" s="1"/>
  <c r="U69" i="143"/>
  <c r="C279" i="138" s="1"/>
  <c r="U71" i="143"/>
  <c r="C281" i="138" s="1"/>
  <c r="U70" i="143"/>
  <c r="C280" i="138" s="1"/>
  <c r="U72" i="143"/>
  <c r="C282" i="138" s="1"/>
  <c r="U73" i="143"/>
  <c r="C283" i="138" s="1"/>
  <c r="U74" i="143"/>
  <c r="C284" i="138" s="1"/>
  <c r="U75" i="143"/>
  <c r="C285" i="138" s="1"/>
  <c r="U76" i="143"/>
  <c r="C286" i="138" s="1"/>
  <c r="U77" i="143"/>
  <c r="C287" i="138" s="1"/>
  <c r="U78" i="143"/>
  <c r="C288" i="138" s="1"/>
  <c r="U79" i="143"/>
  <c r="C289" i="138" s="1"/>
  <c r="U80" i="143"/>
  <c r="C290" i="138" s="1"/>
  <c r="U81" i="143"/>
  <c r="C291" i="138" s="1"/>
  <c r="U82" i="143"/>
  <c r="C292" i="138" s="1"/>
  <c r="U83" i="143"/>
  <c r="C293" i="138" s="1"/>
  <c r="U84" i="143"/>
  <c r="C294" i="138" s="1"/>
  <c r="U85" i="143"/>
  <c r="C295" i="138" s="1"/>
  <c r="U87" i="143"/>
  <c r="C297" i="138" s="1"/>
  <c r="U86" i="143"/>
  <c r="C296" i="138" s="1"/>
  <c r="U88" i="143"/>
  <c r="C298" i="138" s="1"/>
  <c r="U89" i="143"/>
  <c r="C299" i="138" s="1"/>
  <c r="U91" i="143"/>
  <c r="C301" i="138" s="1"/>
  <c r="U90" i="143"/>
  <c r="C300" i="138" s="1"/>
  <c r="U93" i="143"/>
  <c r="C303" i="138" s="1"/>
  <c r="U92" i="143"/>
  <c r="C302" i="138" s="1"/>
  <c r="U95" i="143"/>
  <c r="C305" i="138" s="1"/>
  <c r="U94" i="143"/>
  <c r="C304" i="138" s="1"/>
  <c r="U96" i="143"/>
  <c r="C306" i="138" s="1"/>
  <c r="U97" i="143"/>
  <c r="C307" i="138" s="1"/>
  <c r="U98" i="143"/>
  <c r="C308" i="138" s="1"/>
  <c r="U99" i="143"/>
  <c r="C309" i="138" s="1"/>
  <c r="U100" i="143"/>
  <c r="C310" i="138" s="1"/>
  <c r="U103" i="143"/>
  <c r="C313" i="138" s="1"/>
  <c r="U101" i="143"/>
  <c r="C311" i="138" s="1"/>
  <c r="U102" i="143"/>
  <c r="C312" i="138" s="1"/>
  <c r="U104" i="143"/>
  <c r="V5" i="143"/>
  <c r="H215" i="138" s="1"/>
  <c r="V6" i="143"/>
  <c r="H216" i="138" s="1"/>
  <c r="V7" i="143"/>
  <c r="H217" i="138" s="1"/>
  <c r="V8" i="143"/>
  <c r="H218" i="138" s="1"/>
  <c r="V9" i="143"/>
  <c r="H219" i="138" s="1"/>
  <c r="V10" i="143"/>
  <c r="H220" i="138" s="1"/>
  <c r="V12" i="143"/>
  <c r="H222" i="138" s="1"/>
  <c r="V11" i="143"/>
  <c r="H221" i="138" s="1"/>
  <c r="V13" i="143"/>
  <c r="H223" i="138" s="1"/>
  <c r="V14" i="143"/>
  <c r="H224" i="138" s="1"/>
  <c r="V15" i="143"/>
  <c r="H225" i="138" s="1"/>
  <c r="V16" i="143"/>
  <c r="H226" i="138" s="1"/>
  <c r="V17" i="143"/>
  <c r="H227" i="138" s="1"/>
  <c r="V18" i="143"/>
  <c r="H228" i="138" s="1"/>
  <c r="V19" i="143"/>
  <c r="H229" i="138" s="1"/>
  <c r="V20" i="143"/>
  <c r="H230" i="138" s="1"/>
  <c r="V21" i="143"/>
  <c r="H231" i="138" s="1"/>
  <c r="V22" i="143"/>
  <c r="H232" i="138" s="1"/>
  <c r="V23" i="143"/>
  <c r="H233" i="138" s="1"/>
  <c r="V24" i="143"/>
  <c r="H234" i="138" s="1"/>
  <c r="V25" i="143"/>
  <c r="H235" i="138" s="1"/>
  <c r="V26" i="143"/>
  <c r="H236" i="138" s="1"/>
  <c r="V27" i="143"/>
  <c r="H237" i="138" s="1"/>
  <c r="V28" i="143"/>
  <c r="H238" i="138" s="1"/>
  <c r="V29" i="143"/>
  <c r="H239" i="138" s="1"/>
  <c r="V30" i="143"/>
  <c r="H240" i="138" s="1"/>
  <c r="V31" i="143"/>
  <c r="H241" i="138" s="1"/>
  <c r="V32" i="143"/>
  <c r="H242" i="138" s="1"/>
  <c r="V33" i="143"/>
  <c r="H243" i="138" s="1"/>
  <c r="V34" i="143"/>
  <c r="H244" i="138" s="1"/>
  <c r="V35" i="143"/>
  <c r="H245" i="138" s="1"/>
  <c r="V36" i="143"/>
  <c r="H246" i="138" s="1"/>
  <c r="V37" i="143"/>
  <c r="H247" i="138" s="1"/>
  <c r="V38" i="143"/>
  <c r="H248" i="138" s="1"/>
  <c r="V39" i="143"/>
  <c r="H249" i="138" s="1"/>
  <c r="V40" i="143"/>
  <c r="H250" i="138" s="1"/>
  <c r="V41" i="143"/>
  <c r="H251" i="138" s="1"/>
  <c r="V42" i="143"/>
  <c r="H252" i="138" s="1"/>
  <c r="V44" i="143"/>
  <c r="H254" i="138" s="1"/>
  <c r="V43" i="143"/>
  <c r="H253" i="138" s="1"/>
  <c r="V45" i="143"/>
  <c r="H255" i="138" s="1"/>
  <c r="V46" i="143"/>
  <c r="H256" i="138" s="1"/>
  <c r="V47" i="143"/>
  <c r="H257" i="138" s="1"/>
  <c r="V49" i="143"/>
  <c r="H259" i="138" s="1"/>
  <c r="V48" i="143"/>
  <c r="H258" i="138" s="1"/>
  <c r="V50" i="143"/>
  <c r="H260" i="138" s="1"/>
  <c r="V51" i="143"/>
  <c r="H261" i="138" s="1"/>
  <c r="V53" i="143"/>
  <c r="H263" i="138" s="1"/>
  <c r="V52" i="143"/>
  <c r="H262" i="138" s="1"/>
  <c r="V54" i="143"/>
  <c r="H264" i="138" s="1"/>
  <c r="V55" i="143"/>
  <c r="H265" i="138" s="1"/>
  <c r="V56" i="143"/>
  <c r="H266" i="138" s="1"/>
  <c r="V57" i="143"/>
  <c r="H267" i="138" s="1"/>
  <c r="V58" i="143"/>
  <c r="H268" i="138" s="1"/>
  <c r="V59" i="143"/>
  <c r="H269" i="138" s="1"/>
  <c r="V60" i="143"/>
  <c r="H270" i="138" s="1"/>
  <c r="V61" i="143"/>
  <c r="H271" i="138" s="1"/>
  <c r="V62" i="143"/>
  <c r="H272" i="138" s="1"/>
  <c r="V64" i="143"/>
  <c r="H274" i="138" s="1"/>
  <c r="V63" i="143"/>
  <c r="H273" i="138" s="1"/>
  <c r="V66" i="143"/>
  <c r="H276" i="138" s="1"/>
  <c r="V65" i="143"/>
  <c r="H275" i="138" s="1"/>
  <c r="V67" i="143"/>
  <c r="H277" i="138" s="1"/>
  <c r="V68" i="143"/>
  <c r="H278" i="138" s="1"/>
  <c r="V72" i="143"/>
  <c r="H282" i="138" s="1"/>
  <c r="V69" i="143"/>
  <c r="H279" i="138" s="1"/>
  <c r="V70" i="143"/>
  <c r="H280" i="138" s="1"/>
  <c r="V71" i="143"/>
  <c r="H281" i="138" s="1"/>
  <c r="V73" i="143"/>
  <c r="H283" i="138" s="1"/>
  <c r="V74" i="143"/>
  <c r="H284" i="138" s="1"/>
  <c r="V76" i="143"/>
  <c r="H286" i="138" s="1"/>
  <c r="V75" i="143"/>
  <c r="H285" i="138" s="1"/>
  <c r="V77" i="143"/>
  <c r="H287" i="138" s="1"/>
  <c r="V78" i="143"/>
  <c r="H288" i="138" s="1"/>
  <c r="V79" i="143"/>
  <c r="H289" i="138" s="1"/>
  <c r="V80" i="143"/>
  <c r="H290" i="138" s="1"/>
  <c r="V81" i="143"/>
  <c r="H291" i="138" s="1"/>
  <c r="V82" i="143"/>
  <c r="H292" i="138" s="1"/>
  <c r="V83" i="143"/>
  <c r="H293" i="138" s="1"/>
  <c r="V84" i="143"/>
  <c r="H294" i="138" s="1"/>
  <c r="V85" i="143"/>
  <c r="H295" i="138" s="1"/>
  <c r="V86" i="143"/>
  <c r="H296" i="138" s="1"/>
  <c r="V87" i="143"/>
  <c r="H297" i="138" s="1"/>
  <c r="V88" i="143"/>
  <c r="H298" i="138" s="1"/>
  <c r="V89" i="143"/>
  <c r="H299" i="138" s="1"/>
  <c r="V90" i="143"/>
  <c r="H300" i="138" s="1"/>
  <c r="V91" i="143"/>
  <c r="H301" i="138" s="1"/>
  <c r="V92" i="143"/>
  <c r="H302" i="138" s="1"/>
  <c r="V93" i="143"/>
  <c r="H303" i="138" s="1"/>
  <c r="V94" i="143"/>
  <c r="H304" i="138" s="1"/>
  <c r="V95" i="143"/>
  <c r="H305" i="138" s="1"/>
  <c r="V97" i="143"/>
  <c r="H307" i="138" s="1"/>
  <c r="V96" i="143"/>
  <c r="H306" i="138" s="1"/>
  <c r="V98" i="143"/>
  <c r="H308" i="138" s="1"/>
  <c r="V99" i="143"/>
  <c r="H309" i="138" s="1"/>
  <c r="V100" i="143"/>
  <c r="H310" i="138" s="1"/>
  <c r="V101" i="143"/>
  <c r="H311" i="138" s="1"/>
  <c r="V103" i="143"/>
  <c r="H313" i="138" s="1"/>
  <c r="V102" i="143"/>
  <c r="H312" i="138" s="1"/>
  <c r="V104" i="143"/>
  <c r="AA103" i="144"/>
  <c r="E418" i="138" s="1"/>
  <c r="E313" i="138"/>
  <c r="F313" i="138"/>
  <c r="D313" i="138"/>
  <c r="I313" i="138"/>
  <c r="G417" i="138"/>
  <c r="F418" i="138"/>
  <c r="D418" i="138"/>
  <c r="I418" i="138"/>
  <c r="B314" i="138"/>
  <c r="B419" i="138"/>
  <c r="X103" i="144"/>
  <c r="G418" i="138" s="1"/>
  <c r="Y104" i="144"/>
  <c r="Z104" i="144" s="1"/>
  <c r="S104" i="144"/>
  <c r="J104" i="144"/>
  <c r="W104" i="144" s="1"/>
  <c r="AD105" i="144"/>
  <c r="AB105" i="144"/>
  <c r="R105" i="144"/>
  <c r="P105" i="144"/>
  <c r="N105" i="144"/>
  <c r="L105" i="144"/>
  <c r="V104" i="144" s="1"/>
  <c r="H105" i="144"/>
  <c r="C105" i="144"/>
  <c r="AC105" i="144"/>
  <c r="Q105" i="144"/>
  <c r="T105" i="144" s="1"/>
  <c r="M105" i="144"/>
  <c r="I105" i="144"/>
  <c r="B105" i="144"/>
  <c r="K105" i="144"/>
  <c r="D105" i="144"/>
  <c r="O105" i="144"/>
  <c r="T105" i="143"/>
  <c r="U105" i="143" s="1"/>
  <c r="Y104" i="143"/>
  <c r="J105" i="143"/>
  <c r="W105" i="143" s="1"/>
  <c r="S105" i="143"/>
  <c r="X103" i="143"/>
  <c r="G313" i="138" s="1"/>
  <c r="Z104" i="143" l="1"/>
  <c r="AA104" i="143"/>
  <c r="E314" i="138" s="1"/>
  <c r="V105" i="143"/>
  <c r="U105" i="144"/>
  <c r="U5" i="144"/>
  <c r="C320" i="138" s="1"/>
  <c r="U6" i="144"/>
  <c r="C321" i="138" s="1"/>
  <c r="U7" i="144"/>
  <c r="C322" i="138" s="1"/>
  <c r="U9" i="144"/>
  <c r="C324" i="138" s="1"/>
  <c r="U8" i="144"/>
  <c r="C323" i="138" s="1"/>
  <c r="U11" i="144"/>
  <c r="C326" i="138" s="1"/>
  <c r="U10" i="144"/>
  <c r="C325" i="138" s="1"/>
  <c r="U12" i="144"/>
  <c r="C327" i="138" s="1"/>
  <c r="U13" i="144"/>
  <c r="C328" i="138" s="1"/>
  <c r="U14" i="144"/>
  <c r="C329" i="138" s="1"/>
  <c r="U15" i="144"/>
  <c r="C330" i="138" s="1"/>
  <c r="U16" i="144"/>
  <c r="C331" i="138" s="1"/>
  <c r="U17" i="144"/>
  <c r="C332" i="138" s="1"/>
  <c r="U18" i="144"/>
  <c r="C333" i="138" s="1"/>
  <c r="U19" i="144"/>
  <c r="C334" i="138" s="1"/>
  <c r="U20" i="144"/>
  <c r="C335" i="138" s="1"/>
  <c r="U21" i="144"/>
  <c r="C336" i="138" s="1"/>
  <c r="U22" i="144"/>
  <c r="C337" i="138" s="1"/>
  <c r="U23" i="144"/>
  <c r="C338" i="138" s="1"/>
  <c r="U24" i="144"/>
  <c r="C339" i="138" s="1"/>
  <c r="U25" i="144"/>
  <c r="C340" i="138" s="1"/>
  <c r="U26" i="144"/>
  <c r="C341" i="138" s="1"/>
  <c r="U27" i="144"/>
  <c r="C342" i="138" s="1"/>
  <c r="U29" i="144"/>
  <c r="C344" i="138" s="1"/>
  <c r="U28" i="144"/>
  <c r="C343" i="138" s="1"/>
  <c r="U30" i="144"/>
  <c r="C345" i="138" s="1"/>
  <c r="U32" i="144"/>
  <c r="C347" i="138" s="1"/>
  <c r="U31" i="144"/>
  <c r="C346" i="138" s="1"/>
  <c r="U33" i="144"/>
  <c r="C348" i="138" s="1"/>
  <c r="U35" i="144"/>
  <c r="C350" i="138" s="1"/>
  <c r="U36" i="144"/>
  <c r="C351" i="138" s="1"/>
  <c r="U34" i="144"/>
  <c r="C349" i="138" s="1"/>
  <c r="U37" i="144"/>
  <c r="C352" i="138" s="1"/>
  <c r="U38" i="144"/>
  <c r="C353" i="138" s="1"/>
  <c r="U39" i="144"/>
  <c r="C354" i="138" s="1"/>
  <c r="U40" i="144"/>
  <c r="C355" i="138" s="1"/>
  <c r="U41" i="144"/>
  <c r="C356" i="138" s="1"/>
  <c r="U42" i="144"/>
  <c r="C357" i="138" s="1"/>
  <c r="U44" i="144"/>
  <c r="C359" i="138" s="1"/>
  <c r="U43" i="144"/>
  <c r="C358" i="138" s="1"/>
  <c r="U45" i="144"/>
  <c r="C360" i="138" s="1"/>
  <c r="U46" i="144"/>
  <c r="C361" i="138" s="1"/>
  <c r="U47" i="144"/>
  <c r="C362" i="138" s="1"/>
  <c r="U49" i="144"/>
  <c r="C364" i="138" s="1"/>
  <c r="U48" i="144"/>
  <c r="C363" i="138" s="1"/>
  <c r="U51" i="144"/>
  <c r="C366" i="138" s="1"/>
  <c r="U50" i="144"/>
  <c r="C365" i="138" s="1"/>
  <c r="U52" i="144"/>
  <c r="C367" i="138" s="1"/>
  <c r="U54" i="144"/>
  <c r="C369" i="138" s="1"/>
  <c r="U53" i="144"/>
  <c r="C368" i="138" s="1"/>
  <c r="U56" i="144"/>
  <c r="C371" i="138" s="1"/>
  <c r="U55" i="144"/>
  <c r="C370" i="138" s="1"/>
  <c r="U57" i="144"/>
  <c r="C372" i="138" s="1"/>
  <c r="U58" i="144"/>
  <c r="C373" i="138" s="1"/>
  <c r="U59" i="144"/>
  <c r="C374" i="138" s="1"/>
  <c r="U60" i="144"/>
  <c r="C375" i="138" s="1"/>
  <c r="U62" i="144"/>
  <c r="C377" i="138" s="1"/>
  <c r="U61" i="144"/>
  <c r="C376" i="138" s="1"/>
  <c r="U63" i="144"/>
  <c r="C378" i="138" s="1"/>
  <c r="U64" i="144"/>
  <c r="C379" i="138" s="1"/>
  <c r="U66" i="144"/>
  <c r="C381" i="138" s="1"/>
  <c r="U65" i="144"/>
  <c r="C380" i="138" s="1"/>
  <c r="U67" i="144"/>
  <c r="C382" i="138" s="1"/>
  <c r="U68" i="144"/>
  <c r="C383" i="138" s="1"/>
  <c r="U69" i="144"/>
  <c r="C384" i="138" s="1"/>
  <c r="U70" i="144"/>
  <c r="C385" i="138" s="1"/>
  <c r="U71" i="144"/>
  <c r="C386" i="138" s="1"/>
  <c r="U72" i="144"/>
  <c r="C387" i="138" s="1"/>
  <c r="U73" i="144"/>
  <c r="C388" i="138" s="1"/>
  <c r="U74" i="144"/>
  <c r="C389" i="138" s="1"/>
  <c r="U75" i="144"/>
  <c r="C390" i="138" s="1"/>
  <c r="U76" i="144"/>
  <c r="C391" i="138" s="1"/>
  <c r="U77" i="144"/>
  <c r="C392" i="138" s="1"/>
  <c r="U78" i="144"/>
  <c r="C393" i="138" s="1"/>
  <c r="U79" i="144"/>
  <c r="C394" i="138" s="1"/>
  <c r="U80" i="144"/>
  <c r="C395" i="138" s="1"/>
  <c r="U81" i="144"/>
  <c r="C396" i="138" s="1"/>
  <c r="U82" i="144"/>
  <c r="C397" i="138" s="1"/>
  <c r="U84" i="144"/>
  <c r="C399" i="138" s="1"/>
  <c r="U83" i="144"/>
  <c r="C398" i="138" s="1"/>
  <c r="U85" i="144"/>
  <c r="C400" i="138" s="1"/>
  <c r="U86" i="144"/>
  <c r="C401" i="138" s="1"/>
  <c r="U88" i="144"/>
  <c r="C403" i="138" s="1"/>
  <c r="U87" i="144"/>
  <c r="C402" i="138" s="1"/>
  <c r="U89" i="144"/>
  <c r="C404" i="138" s="1"/>
  <c r="U90" i="144"/>
  <c r="C405" i="138" s="1"/>
  <c r="U91" i="144"/>
  <c r="C406" i="138" s="1"/>
  <c r="U92" i="144"/>
  <c r="C407" i="138" s="1"/>
  <c r="U93" i="144"/>
  <c r="C408" i="138" s="1"/>
  <c r="U94" i="144"/>
  <c r="C409" i="138" s="1"/>
  <c r="U96" i="144"/>
  <c r="C411" i="138" s="1"/>
  <c r="U95" i="144"/>
  <c r="C410" i="138" s="1"/>
  <c r="U98" i="144"/>
  <c r="C413" i="138" s="1"/>
  <c r="U97" i="144"/>
  <c r="C412" i="138" s="1"/>
  <c r="U100" i="144"/>
  <c r="C415" i="138" s="1"/>
  <c r="U99" i="144"/>
  <c r="C414" i="138" s="1"/>
  <c r="V102" i="144"/>
  <c r="H417" i="138" s="1"/>
  <c r="V101" i="144"/>
  <c r="H416" i="138" s="1"/>
  <c r="U102" i="144"/>
  <c r="C417" i="138" s="1"/>
  <c r="V105" i="144"/>
  <c r="V5" i="144"/>
  <c r="H320" i="138" s="1"/>
  <c r="V6" i="144"/>
  <c r="H321" i="138" s="1"/>
  <c r="V7" i="144"/>
  <c r="H322" i="138" s="1"/>
  <c r="V8" i="144"/>
  <c r="H323" i="138" s="1"/>
  <c r="V9" i="144"/>
  <c r="H324" i="138" s="1"/>
  <c r="V10" i="144"/>
  <c r="H325" i="138" s="1"/>
  <c r="V11" i="144"/>
  <c r="H326" i="138" s="1"/>
  <c r="V12" i="144"/>
  <c r="H327" i="138" s="1"/>
  <c r="V13" i="144"/>
  <c r="H328" i="138" s="1"/>
  <c r="V14" i="144"/>
  <c r="H329" i="138" s="1"/>
  <c r="V15" i="144"/>
  <c r="H330" i="138" s="1"/>
  <c r="V16" i="144"/>
  <c r="H331" i="138" s="1"/>
  <c r="V17" i="144"/>
  <c r="H332" i="138" s="1"/>
  <c r="V18" i="144"/>
  <c r="H333" i="138" s="1"/>
  <c r="V19" i="144"/>
  <c r="H334" i="138" s="1"/>
  <c r="V20" i="144"/>
  <c r="H335" i="138" s="1"/>
  <c r="V22" i="144"/>
  <c r="H337" i="138" s="1"/>
  <c r="V21" i="144"/>
  <c r="H336" i="138" s="1"/>
  <c r="V24" i="144"/>
  <c r="H339" i="138" s="1"/>
  <c r="V23" i="144"/>
  <c r="H338" i="138" s="1"/>
  <c r="V25" i="144"/>
  <c r="H340" i="138" s="1"/>
  <c r="V27" i="144"/>
  <c r="H342" i="138" s="1"/>
  <c r="V26" i="144"/>
  <c r="H341" i="138" s="1"/>
  <c r="V28" i="144"/>
  <c r="H343" i="138" s="1"/>
  <c r="V30" i="144"/>
  <c r="H345" i="138" s="1"/>
  <c r="V29" i="144"/>
  <c r="H344" i="138" s="1"/>
  <c r="V31" i="144"/>
  <c r="H346" i="138" s="1"/>
  <c r="V32" i="144"/>
  <c r="H347" i="138" s="1"/>
  <c r="V33" i="144"/>
  <c r="H348" i="138" s="1"/>
  <c r="V34" i="144"/>
  <c r="H349" i="138" s="1"/>
  <c r="V35" i="144"/>
  <c r="H350" i="138" s="1"/>
  <c r="V37" i="144"/>
  <c r="H352" i="138" s="1"/>
  <c r="V36" i="144"/>
  <c r="H351" i="138" s="1"/>
  <c r="V38" i="144"/>
  <c r="H353" i="138" s="1"/>
  <c r="V39" i="144"/>
  <c r="H354" i="138" s="1"/>
  <c r="V40" i="144"/>
  <c r="H355" i="138" s="1"/>
  <c r="V41" i="144"/>
  <c r="H356" i="138" s="1"/>
  <c r="V42" i="144"/>
  <c r="H357" i="138" s="1"/>
  <c r="V43" i="144"/>
  <c r="H358" i="138" s="1"/>
  <c r="V45" i="144"/>
  <c r="H360" i="138" s="1"/>
  <c r="V46" i="144"/>
  <c r="H361" i="138" s="1"/>
  <c r="V44" i="144"/>
  <c r="H359" i="138" s="1"/>
  <c r="V47" i="144"/>
  <c r="H362" i="138" s="1"/>
  <c r="V49" i="144"/>
  <c r="H364" i="138" s="1"/>
  <c r="V48" i="144"/>
  <c r="H363" i="138" s="1"/>
  <c r="V50" i="144"/>
  <c r="H365" i="138" s="1"/>
  <c r="V52" i="144"/>
  <c r="H367" i="138" s="1"/>
  <c r="V51" i="144"/>
  <c r="H366" i="138" s="1"/>
  <c r="V53" i="144"/>
  <c r="H368" i="138" s="1"/>
  <c r="V54" i="144"/>
  <c r="H369" i="138" s="1"/>
  <c r="V55" i="144"/>
  <c r="H370" i="138" s="1"/>
  <c r="V56" i="144"/>
  <c r="H371" i="138" s="1"/>
  <c r="V57" i="144"/>
  <c r="H372" i="138" s="1"/>
  <c r="V58" i="144"/>
  <c r="H373" i="138" s="1"/>
  <c r="V59" i="144"/>
  <c r="H374" i="138" s="1"/>
  <c r="V60" i="144"/>
  <c r="H375" i="138" s="1"/>
  <c r="V61" i="144"/>
  <c r="H376" i="138" s="1"/>
  <c r="V62" i="144"/>
  <c r="H377" i="138" s="1"/>
  <c r="V63" i="144"/>
  <c r="H378" i="138" s="1"/>
  <c r="V64" i="144"/>
  <c r="H379" i="138" s="1"/>
  <c r="V66" i="144"/>
  <c r="H381" i="138" s="1"/>
  <c r="V65" i="144"/>
  <c r="H380" i="138" s="1"/>
  <c r="V68" i="144"/>
  <c r="H383" i="138" s="1"/>
  <c r="V67" i="144"/>
  <c r="H382" i="138" s="1"/>
  <c r="V69" i="144"/>
  <c r="H384" i="138" s="1"/>
  <c r="V70" i="144"/>
  <c r="H385" i="138" s="1"/>
  <c r="V72" i="144"/>
  <c r="H387" i="138" s="1"/>
  <c r="V71" i="144"/>
  <c r="H386" i="138" s="1"/>
  <c r="V73" i="144"/>
  <c r="H388" i="138" s="1"/>
  <c r="V74" i="144"/>
  <c r="H389" i="138" s="1"/>
  <c r="V75" i="144"/>
  <c r="H390" i="138" s="1"/>
  <c r="V76" i="144"/>
  <c r="H391" i="138" s="1"/>
  <c r="V77" i="144"/>
  <c r="H392" i="138" s="1"/>
  <c r="V78" i="144"/>
  <c r="H393" i="138" s="1"/>
  <c r="V79" i="144"/>
  <c r="H394" i="138" s="1"/>
  <c r="V80" i="144"/>
  <c r="H395" i="138" s="1"/>
  <c r="V81" i="144"/>
  <c r="H396" i="138" s="1"/>
  <c r="V82" i="144"/>
  <c r="H397" i="138" s="1"/>
  <c r="V83" i="144"/>
  <c r="H398" i="138" s="1"/>
  <c r="V84" i="144"/>
  <c r="H399" i="138" s="1"/>
  <c r="V85" i="144"/>
  <c r="H400" i="138" s="1"/>
  <c r="V86" i="144"/>
  <c r="H401" i="138" s="1"/>
  <c r="V87" i="144"/>
  <c r="H402" i="138" s="1"/>
  <c r="V88" i="144"/>
  <c r="H403" i="138" s="1"/>
  <c r="V89" i="144"/>
  <c r="H404" i="138" s="1"/>
  <c r="V91" i="144"/>
  <c r="H406" i="138" s="1"/>
  <c r="V90" i="144"/>
  <c r="H405" i="138" s="1"/>
  <c r="V95" i="144"/>
  <c r="H410" i="138" s="1"/>
  <c r="V92" i="144"/>
  <c r="H407" i="138" s="1"/>
  <c r="V94" i="144"/>
  <c r="H409" i="138" s="1"/>
  <c r="V93" i="144"/>
  <c r="H408" i="138" s="1"/>
  <c r="V96" i="144"/>
  <c r="H411" i="138" s="1"/>
  <c r="V97" i="144"/>
  <c r="H412" i="138" s="1"/>
  <c r="V98" i="144"/>
  <c r="H413" i="138" s="1"/>
  <c r="V100" i="144"/>
  <c r="H415" i="138" s="1"/>
  <c r="V99" i="144"/>
  <c r="H414" i="138" s="1"/>
  <c r="AA104" i="144"/>
  <c r="E419" i="138" s="1"/>
  <c r="U103" i="144"/>
  <c r="C418" i="138" s="1"/>
  <c r="V103" i="144"/>
  <c r="H418" i="138" s="1"/>
  <c r="U101" i="144"/>
  <c r="C416" i="138" s="1"/>
  <c r="U104" i="144"/>
  <c r="C419" i="138" s="1"/>
  <c r="H419" i="138"/>
  <c r="F419" i="138"/>
  <c r="D419" i="138"/>
  <c r="I419" i="138"/>
  <c r="H314" i="138"/>
  <c r="F314" i="138"/>
  <c r="C314" i="138"/>
  <c r="D314" i="138"/>
  <c r="I314" i="138"/>
  <c r="B420" i="138"/>
  <c r="B315" i="138"/>
  <c r="X104" i="144"/>
  <c r="G419" i="138" s="1"/>
  <c r="J105" i="144"/>
  <c r="W105" i="144" s="1"/>
  <c r="S105" i="144"/>
  <c r="Y105" i="144"/>
  <c r="Z105" i="144" s="1"/>
  <c r="X104" i="143"/>
  <c r="Y105" i="143"/>
  <c r="Z105" i="143" s="1"/>
  <c r="AA105" i="143" l="1"/>
  <c r="X105" i="143"/>
  <c r="G315" i="138" s="1"/>
  <c r="E315" i="138"/>
  <c r="C315" i="138"/>
  <c r="H315" i="138"/>
  <c r="D315" i="138"/>
  <c r="F315" i="138"/>
  <c r="I315" i="138"/>
  <c r="AA105" i="144"/>
  <c r="E420" i="138" s="1"/>
  <c r="C420" i="138"/>
  <c r="H420" i="138"/>
  <c r="D420" i="138"/>
  <c r="F420" i="138"/>
  <c r="I420" i="138"/>
  <c r="G314" i="138"/>
  <c r="X105" i="144"/>
  <c r="G420" i="138" l="1"/>
  <c r="F3" i="142"/>
  <c r="C3" i="142" s="1"/>
  <c r="A3" i="142"/>
  <c r="F2" i="142"/>
  <c r="B2" i="142" s="1"/>
  <c r="A2" i="142"/>
  <c r="A6" i="141"/>
  <c r="A2" i="141"/>
  <c r="F6" i="141"/>
  <c r="F2" i="141"/>
  <c r="L2" i="138"/>
  <c r="L107" i="138"/>
  <c r="L108" i="138" s="1"/>
  <c r="L109" i="138" s="1"/>
  <c r="L110" i="138" s="1"/>
  <c r="L111" i="138" s="1"/>
  <c r="L112" i="138" s="1"/>
  <c r="L113" i="138" s="1"/>
  <c r="L114" i="138" s="1"/>
  <c r="L115" i="138" s="1"/>
  <c r="L116" i="138" s="1"/>
  <c r="L117" i="138" s="1"/>
  <c r="L118" i="138" s="1"/>
  <c r="L119" i="138" s="1"/>
  <c r="L120" i="138" s="1"/>
  <c r="L121" i="138" s="1"/>
  <c r="L122" i="138" s="1"/>
  <c r="L123" i="138" s="1"/>
  <c r="L124" i="138" s="1"/>
  <c r="L125" i="138" s="1"/>
  <c r="L126" i="138" s="1"/>
  <c r="L127" i="138" s="1"/>
  <c r="L128" i="138" s="1"/>
  <c r="L129" i="138" s="1"/>
  <c r="L130" i="138" s="1"/>
  <c r="L131" i="138" s="1"/>
  <c r="L132" i="138" s="1"/>
  <c r="L133" i="138" s="1"/>
  <c r="L134" i="138" s="1"/>
  <c r="L135" i="138" s="1"/>
  <c r="L136" i="138" s="1"/>
  <c r="L137" i="138" s="1"/>
  <c r="L138" i="138" s="1"/>
  <c r="L139" i="138" s="1"/>
  <c r="L140" i="138" s="1"/>
  <c r="L141" i="138" s="1"/>
  <c r="L142" i="138" s="1"/>
  <c r="L143" i="138" s="1"/>
  <c r="L144" i="138" s="1"/>
  <c r="L145" i="138" s="1"/>
  <c r="L146" i="138" s="1"/>
  <c r="L147" i="138" s="1"/>
  <c r="L148" i="138" s="1"/>
  <c r="L149" i="138" s="1"/>
  <c r="L150" i="138" s="1"/>
  <c r="L151" i="138" s="1"/>
  <c r="L152" i="138" s="1"/>
  <c r="L153" i="138" s="1"/>
  <c r="L154" i="138" s="1"/>
  <c r="L155" i="138" s="1"/>
  <c r="L156" i="138" s="1"/>
  <c r="L157" i="138" s="1"/>
  <c r="L158" i="138" s="1"/>
  <c r="L159" i="138" s="1"/>
  <c r="L160" i="138" s="1"/>
  <c r="L161" i="138" s="1"/>
  <c r="L162" i="138" s="1"/>
  <c r="L163" i="138" s="1"/>
  <c r="L164" i="138" s="1"/>
  <c r="L165" i="138" s="1"/>
  <c r="L166" i="138" s="1"/>
  <c r="L167" i="138" s="1"/>
  <c r="L168" i="138" s="1"/>
  <c r="L169" i="138" s="1"/>
  <c r="L170" i="138" s="1"/>
  <c r="L171" i="138" s="1"/>
  <c r="L172" i="138" s="1"/>
  <c r="L173" i="138" s="1"/>
  <c r="L174" i="138" s="1"/>
  <c r="L175" i="138" s="1"/>
  <c r="L176" i="138" s="1"/>
  <c r="L177" i="138" s="1"/>
  <c r="L178" i="138" s="1"/>
  <c r="L179" i="138" s="1"/>
  <c r="L180" i="138" s="1"/>
  <c r="L181" i="138" s="1"/>
  <c r="L182" i="138" s="1"/>
  <c r="L183" i="138" s="1"/>
  <c r="L184" i="138" s="1"/>
  <c r="L185" i="138" s="1"/>
  <c r="L186" i="138" s="1"/>
  <c r="L187" i="138" s="1"/>
  <c r="L188" i="138" s="1"/>
  <c r="L189" i="138" s="1"/>
  <c r="L190" i="138" s="1"/>
  <c r="L191" i="138" s="1"/>
  <c r="L192" i="138" s="1"/>
  <c r="L193" i="138" s="1"/>
  <c r="L194" i="138" s="1"/>
  <c r="L195" i="138" s="1"/>
  <c r="L196" i="138" s="1"/>
  <c r="L197" i="138" s="1"/>
  <c r="L198" i="138" s="1"/>
  <c r="L199" i="138" s="1"/>
  <c r="L200" i="138" s="1"/>
  <c r="L201" i="138" s="1"/>
  <c r="L202" i="138" s="1"/>
  <c r="L203" i="138" s="1"/>
  <c r="L204" i="138" s="1"/>
  <c r="L205" i="138" s="1"/>
  <c r="L206" i="138" s="1"/>
  <c r="L207" i="138" s="1"/>
  <c r="L208" i="138" s="1"/>
  <c r="L209" i="138" s="1"/>
  <c r="L210" i="138" s="1"/>
  <c r="A107" i="138"/>
  <c r="B107" i="138" s="1"/>
  <c r="A108" i="138"/>
  <c r="A109" i="138"/>
  <c r="A110" i="138"/>
  <c r="A111" i="138"/>
  <c r="A112" i="138"/>
  <c r="A113" i="138"/>
  <c r="A114" i="138"/>
  <c r="A115" i="138"/>
  <c r="A116" i="138"/>
  <c r="A117" i="138"/>
  <c r="A118" i="138"/>
  <c r="A119" i="138"/>
  <c r="A120" i="138"/>
  <c r="A121" i="138"/>
  <c r="A122" i="138"/>
  <c r="A123" i="138"/>
  <c r="A124" i="138"/>
  <c r="A125" i="138"/>
  <c r="A126" i="138"/>
  <c r="A127" i="138"/>
  <c r="A128" i="138"/>
  <c r="A129" i="138"/>
  <c r="A130" i="138"/>
  <c r="A131" i="138"/>
  <c r="A132" i="138"/>
  <c r="A133" i="138"/>
  <c r="A134" i="138"/>
  <c r="A135" i="138"/>
  <c r="A136" i="138"/>
  <c r="A137" i="138"/>
  <c r="A138" i="138"/>
  <c r="A139" i="138"/>
  <c r="A140" i="138"/>
  <c r="A141" i="138"/>
  <c r="A142" i="138"/>
  <c r="A143" i="138"/>
  <c r="A144" i="138"/>
  <c r="A145" i="138"/>
  <c r="A146" i="138"/>
  <c r="A147" i="138"/>
  <c r="A148" i="138"/>
  <c r="A149" i="138"/>
  <c r="A150" i="138"/>
  <c r="A151" i="138"/>
  <c r="A152" i="138"/>
  <c r="A153" i="138"/>
  <c r="A154" i="138"/>
  <c r="A155" i="138"/>
  <c r="A156" i="138"/>
  <c r="A157" i="138"/>
  <c r="A158" i="138"/>
  <c r="A159" i="138"/>
  <c r="A160" i="138"/>
  <c r="A161" i="138"/>
  <c r="A162" i="138"/>
  <c r="A163" i="138"/>
  <c r="A164" i="138"/>
  <c r="A165" i="138"/>
  <c r="A166" i="138"/>
  <c r="A167" i="138"/>
  <c r="A168" i="138"/>
  <c r="A169" i="138"/>
  <c r="A170" i="138"/>
  <c r="A171" i="138"/>
  <c r="A172" i="138"/>
  <c r="A173" i="138"/>
  <c r="A174" i="138"/>
  <c r="A175" i="138"/>
  <c r="A176" i="138"/>
  <c r="A177" i="138"/>
  <c r="A178" i="138"/>
  <c r="A179" i="138"/>
  <c r="A180" i="138"/>
  <c r="A181" i="138"/>
  <c r="A182" i="138"/>
  <c r="A183" i="138"/>
  <c r="A184" i="138"/>
  <c r="A185" i="138"/>
  <c r="A186" i="138"/>
  <c r="A187" i="138"/>
  <c r="A188" i="138"/>
  <c r="A189" i="138"/>
  <c r="A190" i="138"/>
  <c r="A191" i="138"/>
  <c r="A192" i="138"/>
  <c r="A193" i="138"/>
  <c r="A194" i="138"/>
  <c r="A195" i="138"/>
  <c r="A196" i="138"/>
  <c r="A197" i="138"/>
  <c r="A198" i="138"/>
  <c r="A199" i="138"/>
  <c r="A200" i="138"/>
  <c r="A201" i="138"/>
  <c r="A202" i="138"/>
  <c r="A203" i="138"/>
  <c r="A204" i="138"/>
  <c r="A205" i="138"/>
  <c r="A206" i="138"/>
  <c r="A207" i="138"/>
  <c r="A208" i="138"/>
  <c r="A209" i="138"/>
  <c r="A210" i="138"/>
  <c r="C2" i="136"/>
  <c r="B2" i="136"/>
  <c r="C2" i="135"/>
  <c r="L3" i="138"/>
  <c r="L4" i="138" s="1"/>
  <c r="L5" i="138" s="1"/>
  <c r="L6" i="138" s="1"/>
  <c r="L7" i="138" s="1"/>
  <c r="L8" i="138" s="1"/>
  <c r="L9" i="138" s="1"/>
  <c r="L10" i="138" s="1"/>
  <c r="L11" i="138" s="1"/>
  <c r="L12" i="138" s="1"/>
  <c r="L13" i="138" s="1"/>
  <c r="L14" i="138" s="1"/>
  <c r="L15" i="138" s="1"/>
  <c r="L16" i="138" s="1"/>
  <c r="L17" i="138" s="1"/>
  <c r="L18" i="138" s="1"/>
  <c r="L19" i="138" s="1"/>
  <c r="L20" i="138" s="1"/>
  <c r="L21" i="138" s="1"/>
  <c r="L22" i="138" s="1"/>
  <c r="L23" i="138" s="1"/>
  <c r="L24" i="138" s="1"/>
  <c r="L25" i="138" s="1"/>
  <c r="L26" i="138" s="1"/>
  <c r="L27" i="138" s="1"/>
  <c r="L28" i="138" s="1"/>
  <c r="L29" i="138" s="1"/>
  <c r="L30" i="138" s="1"/>
  <c r="L31" i="138" s="1"/>
  <c r="L32" i="138" s="1"/>
  <c r="L33" i="138" s="1"/>
  <c r="L34" i="138" s="1"/>
  <c r="L35" i="138" s="1"/>
  <c r="L36" i="138" s="1"/>
  <c r="L37" i="138" s="1"/>
  <c r="L38" i="138" s="1"/>
  <c r="L39" i="138" s="1"/>
  <c r="L40" i="138" s="1"/>
  <c r="L41" i="138" s="1"/>
  <c r="L42" i="138" s="1"/>
  <c r="L43" i="138" s="1"/>
  <c r="L44" i="138" s="1"/>
  <c r="L45" i="138" s="1"/>
  <c r="L46" i="138" s="1"/>
  <c r="L47" i="138" s="1"/>
  <c r="L48" i="138" s="1"/>
  <c r="L49" i="138" s="1"/>
  <c r="L50" i="138" s="1"/>
  <c r="L51" i="138" s="1"/>
  <c r="L52" i="138" s="1"/>
  <c r="L53" i="138" s="1"/>
  <c r="L54" i="138" s="1"/>
  <c r="L55" i="138" s="1"/>
  <c r="L56" i="138" s="1"/>
  <c r="L57" i="138" s="1"/>
  <c r="L58" i="138" s="1"/>
  <c r="L59" i="138" s="1"/>
  <c r="L60" i="138" s="1"/>
  <c r="L61" i="138" s="1"/>
  <c r="L62" i="138" s="1"/>
  <c r="L63" i="138" s="1"/>
  <c r="L64" i="138" s="1"/>
  <c r="L65" i="138" s="1"/>
  <c r="L66" i="138" s="1"/>
  <c r="L67" i="138" s="1"/>
  <c r="L68" i="138" s="1"/>
  <c r="L69" i="138" s="1"/>
  <c r="L70" i="138" s="1"/>
  <c r="L71" i="138" s="1"/>
  <c r="L72" i="138" s="1"/>
  <c r="L73" i="138" s="1"/>
  <c r="L74" i="138" s="1"/>
  <c r="L75" i="138" s="1"/>
  <c r="L76" i="138" s="1"/>
  <c r="L77" i="138" s="1"/>
  <c r="L78" i="138" s="1"/>
  <c r="L79" i="138" s="1"/>
  <c r="L80" i="138" s="1"/>
  <c r="L81" i="138" s="1"/>
  <c r="L82" i="138" s="1"/>
  <c r="L83" i="138" s="1"/>
  <c r="L84" i="138" s="1"/>
  <c r="L85" i="138" s="1"/>
  <c r="L86" i="138" s="1"/>
  <c r="L87" i="138" s="1"/>
  <c r="L88" i="138" s="1"/>
  <c r="L89" i="138" s="1"/>
  <c r="L90" i="138" s="1"/>
  <c r="L91" i="138" s="1"/>
  <c r="L92" i="138" s="1"/>
  <c r="L93" i="138" s="1"/>
  <c r="L94" i="138" s="1"/>
  <c r="L95" i="138" s="1"/>
  <c r="L96" i="138" s="1"/>
  <c r="L97" i="138" s="1"/>
  <c r="L98" i="138" s="1"/>
  <c r="L99" i="138" s="1"/>
  <c r="L100" i="138" s="1"/>
  <c r="L101" i="138" s="1"/>
  <c r="L102" i="138" s="1"/>
  <c r="L103" i="138" s="1"/>
  <c r="L104" i="138" s="1"/>
  <c r="L105" i="138" s="1"/>
  <c r="A105" i="138"/>
  <c r="A104" i="138"/>
  <c r="A103" i="138"/>
  <c r="A102" i="138"/>
  <c r="A101" i="138"/>
  <c r="A100" i="138"/>
  <c r="A99" i="138"/>
  <c r="A98" i="138"/>
  <c r="A97" i="138"/>
  <c r="A96" i="138"/>
  <c r="A95" i="138"/>
  <c r="A94" i="138"/>
  <c r="A93" i="138"/>
  <c r="A92" i="138"/>
  <c r="A91" i="138"/>
  <c r="A90" i="138"/>
  <c r="A89" i="138"/>
  <c r="A88" i="138"/>
  <c r="A87" i="138"/>
  <c r="A86" i="138"/>
  <c r="A85" i="138"/>
  <c r="A84" i="138"/>
  <c r="A83" i="138"/>
  <c r="A82" i="138"/>
  <c r="A81" i="138"/>
  <c r="A80" i="138"/>
  <c r="A79" i="138"/>
  <c r="A78" i="138"/>
  <c r="A77" i="138"/>
  <c r="A76" i="138"/>
  <c r="A75" i="138"/>
  <c r="A74" i="138"/>
  <c r="A73" i="138"/>
  <c r="A72" i="138"/>
  <c r="A71" i="138"/>
  <c r="A70" i="138"/>
  <c r="A69" i="138"/>
  <c r="A68" i="138"/>
  <c r="A67" i="138"/>
  <c r="A66" i="138"/>
  <c r="A65" i="138"/>
  <c r="A64" i="138"/>
  <c r="A63" i="138"/>
  <c r="A62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A3" i="138"/>
  <c r="A2" i="138"/>
  <c r="F7" i="141" l="1"/>
  <c r="E6" i="141"/>
  <c r="D6" i="141"/>
  <c r="F3" i="141"/>
  <c r="E2" i="141"/>
  <c r="D2" i="141"/>
  <c r="B2" i="138"/>
  <c r="C2" i="142"/>
  <c r="B3" i="142"/>
  <c r="B108" i="138"/>
  <c r="F4" i="141" l="1"/>
  <c r="E3" i="141"/>
  <c r="D3" i="141"/>
  <c r="F8" i="141"/>
  <c r="E7" i="141"/>
  <c r="D7" i="141"/>
  <c r="A7" i="141"/>
  <c r="A3" i="141"/>
  <c r="B109" i="138"/>
  <c r="E8" i="141" l="1"/>
  <c r="D8" i="141"/>
  <c r="E4" i="141"/>
  <c r="D4" i="141"/>
  <c r="A4" i="141"/>
  <c r="A8" i="141"/>
  <c r="B110" i="138"/>
  <c r="D110" i="138" s="1"/>
  <c r="B111" i="138" l="1"/>
  <c r="D111" i="138" s="1"/>
  <c r="I110" i="138"/>
  <c r="B112" i="138" l="1"/>
  <c r="D112" i="138" s="1"/>
  <c r="I111" i="138"/>
  <c r="B113" i="138" l="1"/>
  <c r="D113" i="138" s="1"/>
  <c r="I112" i="138"/>
  <c r="B114" i="138" l="1"/>
  <c r="D114" i="138" s="1"/>
  <c r="I113" i="138"/>
  <c r="B115" i="138" l="1"/>
  <c r="D115" i="138" s="1"/>
  <c r="I114" i="138"/>
  <c r="B116" i="138" l="1"/>
  <c r="D116" i="138" s="1"/>
  <c r="I115" i="138"/>
  <c r="B117" i="138" l="1"/>
  <c r="D117" i="138" s="1"/>
  <c r="I116" i="138"/>
  <c r="B118" i="138" l="1"/>
  <c r="D118" i="138" s="1"/>
  <c r="I117" i="138"/>
  <c r="B119" i="138" l="1"/>
  <c r="D119" i="138" s="1"/>
  <c r="I118" i="138"/>
  <c r="B120" i="138" l="1"/>
  <c r="D120" i="138" s="1"/>
  <c r="I119" i="138"/>
  <c r="B121" i="138" l="1"/>
  <c r="D121" i="138" s="1"/>
  <c r="I120" i="138"/>
  <c r="B122" i="138" l="1"/>
  <c r="D122" i="138" s="1"/>
  <c r="I121" i="138"/>
  <c r="B123" i="138" l="1"/>
  <c r="D123" i="138" s="1"/>
  <c r="I122" i="138"/>
  <c r="B124" i="138" l="1"/>
  <c r="D124" i="138" s="1"/>
  <c r="I123" i="138"/>
  <c r="B125" i="138" l="1"/>
  <c r="D125" i="138" s="1"/>
  <c r="I124" i="138"/>
  <c r="B126" i="138" l="1"/>
  <c r="D126" i="138" s="1"/>
  <c r="I125" i="138"/>
  <c r="B127" i="138" l="1"/>
  <c r="D127" i="138" s="1"/>
  <c r="I126" i="138"/>
  <c r="B128" i="138" l="1"/>
  <c r="I127" i="138"/>
  <c r="B129" i="138" l="1"/>
  <c r="I128" i="138"/>
  <c r="D128" i="138"/>
  <c r="B130" i="138" l="1"/>
  <c r="I129" i="138"/>
  <c r="D129" i="138"/>
  <c r="B131" i="138" l="1"/>
  <c r="D131" i="138" s="1"/>
  <c r="I130" i="138"/>
  <c r="D130" i="138"/>
  <c r="I131" i="138" l="1"/>
  <c r="B132" i="138"/>
  <c r="B133" i="138" l="1"/>
  <c r="D133" i="138" s="1"/>
  <c r="I132" i="138"/>
  <c r="D132" i="138"/>
  <c r="I133" i="138" l="1"/>
  <c r="B134" i="138"/>
  <c r="B135" i="138" l="1"/>
  <c r="D135" i="138" s="1"/>
  <c r="I134" i="138"/>
  <c r="D134" i="138"/>
  <c r="I135" i="138" l="1"/>
  <c r="B136" i="138"/>
  <c r="B137" i="138" l="1"/>
  <c r="D137" i="138" s="1"/>
  <c r="I136" i="138"/>
  <c r="D136" i="138"/>
  <c r="I137" i="138" l="1"/>
  <c r="B138" i="138"/>
  <c r="B139" i="138" l="1"/>
  <c r="D139" i="138" s="1"/>
  <c r="I138" i="138"/>
  <c r="D138" i="138"/>
  <c r="I139" i="138" l="1"/>
  <c r="B140" i="138"/>
  <c r="B141" i="138" l="1"/>
  <c r="D141" i="138" s="1"/>
  <c r="I140" i="138"/>
  <c r="D140" i="138"/>
  <c r="I141" i="138" l="1"/>
  <c r="B142" i="138"/>
  <c r="B143" i="138" l="1"/>
  <c r="D143" i="138" s="1"/>
  <c r="I142" i="138"/>
  <c r="D142" i="138"/>
  <c r="I143" i="138" l="1"/>
  <c r="B144" i="138"/>
  <c r="B145" i="138" l="1"/>
  <c r="D145" i="138" s="1"/>
  <c r="I144" i="138"/>
  <c r="D144" i="138"/>
  <c r="I145" i="138" l="1"/>
  <c r="B146" i="138"/>
  <c r="B147" i="138" l="1"/>
  <c r="D147" i="138" s="1"/>
  <c r="I146" i="138"/>
  <c r="D146" i="138"/>
  <c r="I147" i="138" l="1"/>
  <c r="B148" i="138"/>
  <c r="B149" i="138" l="1"/>
  <c r="I149" i="138" s="1"/>
  <c r="I148" i="138"/>
  <c r="D148" i="138"/>
  <c r="D149" i="138" l="1"/>
  <c r="B150" i="138"/>
  <c r="B151" i="138" l="1"/>
  <c r="I150" i="138"/>
  <c r="D150" i="138"/>
  <c r="B152" i="138" l="1"/>
  <c r="D152" i="138" s="1"/>
  <c r="I151" i="138"/>
  <c r="D151" i="138"/>
  <c r="I152" i="138" l="1"/>
  <c r="B153" i="138"/>
  <c r="B154" i="138" l="1"/>
  <c r="D154" i="138" s="1"/>
  <c r="I153" i="138"/>
  <c r="D153" i="138"/>
  <c r="I154" i="138" l="1"/>
  <c r="B155" i="138"/>
  <c r="B156" i="138" l="1"/>
  <c r="D156" i="138" s="1"/>
  <c r="I155" i="138"/>
  <c r="D155" i="138"/>
  <c r="I156" i="138" l="1"/>
  <c r="B157" i="138"/>
  <c r="B158" i="138" l="1"/>
  <c r="D158" i="138" s="1"/>
  <c r="I157" i="138"/>
  <c r="D157" i="138"/>
  <c r="I158" i="138" l="1"/>
  <c r="B159" i="138"/>
  <c r="B160" i="138" l="1"/>
  <c r="D160" i="138" s="1"/>
  <c r="I159" i="138"/>
  <c r="D159" i="138"/>
  <c r="I160" i="138" l="1"/>
  <c r="B161" i="138"/>
  <c r="B162" i="138" l="1"/>
  <c r="D162" i="138" s="1"/>
  <c r="I161" i="138"/>
  <c r="D161" i="138"/>
  <c r="I162" i="138" l="1"/>
  <c r="B163" i="138"/>
  <c r="B164" i="138" l="1"/>
  <c r="D164" i="138" s="1"/>
  <c r="I163" i="138"/>
  <c r="D163" i="138"/>
  <c r="I164" i="138" l="1"/>
  <c r="B165" i="138"/>
  <c r="B166" i="138" l="1"/>
  <c r="D166" i="138" s="1"/>
  <c r="I165" i="138"/>
  <c r="D165" i="138"/>
  <c r="I166" i="138" l="1"/>
  <c r="B167" i="138"/>
  <c r="B168" i="138" l="1"/>
  <c r="D168" i="138" s="1"/>
  <c r="I167" i="138"/>
  <c r="D167" i="138"/>
  <c r="I168" i="138" l="1"/>
  <c r="B169" i="138"/>
  <c r="B170" i="138" l="1"/>
  <c r="D170" i="138" s="1"/>
  <c r="I169" i="138"/>
  <c r="D169" i="138"/>
  <c r="I170" i="138" l="1"/>
  <c r="B171" i="138"/>
  <c r="B172" i="138" l="1"/>
  <c r="D172" i="138" s="1"/>
  <c r="I171" i="138"/>
  <c r="D171" i="138"/>
  <c r="I172" i="138" l="1"/>
  <c r="B173" i="138"/>
  <c r="B174" i="138" l="1"/>
  <c r="D174" i="138" s="1"/>
  <c r="I173" i="138"/>
  <c r="D173" i="138"/>
  <c r="I174" i="138" l="1"/>
  <c r="B175" i="138"/>
  <c r="B176" i="138" l="1"/>
  <c r="D176" i="138" s="1"/>
  <c r="I175" i="138"/>
  <c r="D175" i="138"/>
  <c r="I176" i="138" l="1"/>
  <c r="B177" i="138"/>
  <c r="B178" i="138" l="1"/>
  <c r="D178" i="138" s="1"/>
  <c r="I177" i="138"/>
  <c r="D177" i="138"/>
  <c r="I178" i="138" l="1"/>
  <c r="B179" i="138"/>
  <c r="B180" i="138" l="1"/>
  <c r="D180" i="138" s="1"/>
  <c r="I179" i="138"/>
  <c r="D179" i="138"/>
  <c r="I180" i="138" l="1"/>
  <c r="B181" i="138"/>
  <c r="B182" i="138" l="1"/>
  <c r="D182" i="138" s="1"/>
  <c r="I181" i="138"/>
  <c r="D181" i="138"/>
  <c r="I182" i="138" l="1"/>
  <c r="B183" i="138"/>
  <c r="B184" i="138" l="1"/>
  <c r="D184" i="138" s="1"/>
  <c r="I183" i="138"/>
  <c r="D183" i="138"/>
  <c r="I184" i="138" l="1"/>
  <c r="B185" i="138"/>
  <c r="B186" i="138" l="1"/>
  <c r="D186" i="138" s="1"/>
  <c r="I185" i="138"/>
  <c r="D185" i="138"/>
  <c r="I186" i="138" l="1"/>
  <c r="B187" i="138"/>
  <c r="B188" i="138" l="1"/>
  <c r="D188" i="138" s="1"/>
  <c r="I187" i="138"/>
  <c r="D187" i="138"/>
  <c r="I188" i="138" l="1"/>
  <c r="B189" i="138"/>
  <c r="B190" i="138" l="1"/>
  <c r="D190" i="138" s="1"/>
  <c r="I189" i="138"/>
  <c r="D189" i="138"/>
  <c r="I190" i="138" l="1"/>
  <c r="B191" i="138"/>
  <c r="B192" i="138" l="1"/>
  <c r="D192" i="138" s="1"/>
  <c r="I191" i="138"/>
  <c r="D191" i="138"/>
  <c r="I192" i="138" l="1"/>
  <c r="B193" i="138"/>
  <c r="B194" i="138" l="1"/>
  <c r="D194" i="138" s="1"/>
  <c r="I193" i="138"/>
  <c r="D193" i="138"/>
  <c r="I194" i="138" l="1"/>
  <c r="B195" i="138"/>
  <c r="B196" i="138" l="1"/>
  <c r="I196" i="138" s="1"/>
  <c r="I195" i="138"/>
  <c r="D195" i="138"/>
  <c r="B197" i="138" l="1"/>
  <c r="D197" i="138" s="1"/>
  <c r="D196" i="138"/>
  <c r="B198" i="138" l="1"/>
  <c r="D198" i="138" s="1"/>
  <c r="I197" i="138"/>
  <c r="B199" i="138" l="1"/>
  <c r="D199" i="138" s="1"/>
  <c r="I198" i="138"/>
  <c r="B200" i="138" l="1"/>
  <c r="D200" i="138" s="1"/>
  <c r="I199" i="138"/>
  <c r="B201" i="138" l="1"/>
  <c r="D201" i="138" s="1"/>
  <c r="I200" i="138"/>
  <c r="B202" i="138" l="1"/>
  <c r="D202" i="138" s="1"/>
  <c r="I201" i="138"/>
  <c r="B203" i="138" l="1"/>
  <c r="D203" i="138" s="1"/>
  <c r="I202" i="138"/>
  <c r="B204" i="138" l="1"/>
  <c r="D204" i="138" s="1"/>
  <c r="I203" i="138"/>
  <c r="B205" i="138" l="1"/>
  <c r="D205" i="138" s="1"/>
  <c r="I204" i="138"/>
  <c r="B206" i="138" l="1"/>
  <c r="D206" i="138" s="1"/>
  <c r="I205" i="138"/>
  <c r="B207" i="138" l="1"/>
  <c r="D207" i="138" s="1"/>
  <c r="I206" i="138"/>
  <c r="B208" i="138" l="1"/>
  <c r="D208" i="138" s="1"/>
  <c r="I207" i="138"/>
  <c r="B209" i="138" l="1"/>
  <c r="D209" i="138" s="1"/>
  <c r="I208" i="138"/>
  <c r="B210" i="138" l="1"/>
  <c r="D210" i="138" s="1"/>
  <c r="I209" i="138"/>
  <c r="I210" i="138" l="1"/>
  <c r="A3" i="136" l="1"/>
  <c r="A3" i="135"/>
  <c r="O3" i="135" s="1"/>
  <c r="E101" i="136"/>
  <c r="G101" i="136" s="1"/>
  <c r="E100" i="136"/>
  <c r="G100" i="136" s="1"/>
  <c r="E99" i="136"/>
  <c r="G99" i="136" s="1"/>
  <c r="E98" i="136"/>
  <c r="G98" i="136" s="1"/>
  <c r="E97" i="136"/>
  <c r="G97" i="136" s="1"/>
  <c r="E96" i="136"/>
  <c r="G96" i="136" s="1"/>
  <c r="E95" i="136"/>
  <c r="G95" i="136" s="1"/>
  <c r="E94" i="136"/>
  <c r="G94" i="136" s="1"/>
  <c r="E93" i="136"/>
  <c r="G93" i="136" s="1"/>
  <c r="E92" i="136"/>
  <c r="G92" i="136" s="1"/>
  <c r="E91" i="136"/>
  <c r="G91" i="136" s="1"/>
  <c r="E90" i="136"/>
  <c r="G90" i="136" s="1"/>
  <c r="E89" i="136"/>
  <c r="G89" i="136" s="1"/>
  <c r="E88" i="136"/>
  <c r="G88" i="136" s="1"/>
  <c r="E87" i="136"/>
  <c r="G87" i="136" s="1"/>
  <c r="E86" i="136"/>
  <c r="G86" i="136" s="1"/>
  <c r="E85" i="136"/>
  <c r="G85" i="136" s="1"/>
  <c r="E84" i="136"/>
  <c r="G84" i="136" s="1"/>
  <c r="E83" i="136"/>
  <c r="G83" i="136" s="1"/>
  <c r="E82" i="136"/>
  <c r="G82" i="136" s="1"/>
  <c r="E81" i="136"/>
  <c r="G81" i="136" s="1"/>
  <c r="E80" i="136"/>
  <c r="G80" i="136" s="1"/>
  <c r="E79" i="136"/>
  <c r="G79" i="136" s="1"/>
  <c r="E78" i="136"/>
  <c r="G78" i="136" s="1"/>
  <c r="E77" i="136"/>
  <c r="G77" i="136" s="1"/>
  <c r="E76" i="136"/>
  <c r="G76" i="136" s="1"/>
  <c r="E75" i="136"/>
  <c r="G75" i="136" s="1"/>
  <c r="E74" i="136"/>
  <c r="G74" i="136" s="1"/>
  <c r="E73" i="136"/>
  <c r="G73" i="136" s="1"/>
  <c r="E72" i="136"/>
  <c r="G72" i="136" s="1"/>
  <c r="E71" i="136"/>
  <c r="G71" i="136" s="1"/>
  <c r="E70" i="136"/>
  <c r="G70" i="136" s="1"/>
  <c r="E69" i="136"/>
  <c r="G69" i="136" s="1"/>
  <c r="E68" i="136"/>
  <c r="G68" i="136" s="1"/>
  <c r="E67" i="136"/>
  <c r="G67" i="136" s="1"/>
  <c r="E66" i="136"/>
  <c r="G66" i="136" s="1"/>
  <c r="E65" i="136"/>
  <c r="G65" i="136" s="1"/>
  <c r="E64" i="136"/>
  <c r="G64" i="136" s="1"/>
  <c r="E63" i="136"/>
  <c r="G63" i="136" s="1"/>
  <c r="E62" i="136"/>
  <c r="G62" i="136" s="1"/>
  <c r="E61" i="136"/>
  <c r="G61" i="136" s="1"/>
  <c r="E60" i="136"/>
  <c r="G60" i="136" s="1"/>
  <c r="E59" i="136"/>
  <c r="G59" i="136" s="1"/>
  <c r="E58" i="136"/>
  <c r="G58" i="136" s="1"/>
  <c r="E57" i="136"/>
  <c r="G57" i="136" s="1"/>
  <c r="E56" i="136"/>
  <c r="G56" i="136" s="1"/>
  <c r="E55" i="136"/>
  <c r="G55" i="136" s="1"/>
  <c r="E54" i="136"/>
  <c r="G54" i="136" s="1"/>
  <c r="E53" i="136"/>
  <c r="G53" i="136" s="1"/>
  <c r="E52" i="136"/>
  <c r="G52" i="136" s="1"/>
  <c r="E51" i="136"/>
  <c r="G51" i="136" s="1"/>
  <c r="E50" i="136"/>
  <c r="G50" i="136" s="1"/>
  <c r="E49" i="136"/>
  <c r="G49" i="136" s="1"/>
  <c r="E48" i="136"/>
  <c r="G48" i="136" s="1"/>
  <c r="E47" i="136"/>
  <c r="G47" i="136" s="1"/>
  <c r="E46" i="136"/>
  <c r="G46" i="136" s="1"/>
  <c r="E45" i="136"/>
  <c r="G45" i="136" s="1"/>
  <c r="E44" i="136"/>
  <c r="G44" i="136" s="1"/>
  <c r="E43" i="136"/>
  <c r="G43" i="136" s="1"/>
  <c r="E42" i="136"/>
  <c r="G42" i="136" s="1"/>
  <c r="E41" i="136"/>
  <c r="G41" i="136" s="1"/>
  <c r="E40" i="136"/>
  <c r="G40" i="136" s="1"/>
  <c r="E39" i="136"/>
  <c r="G39" i="136" s="1"/>
  <c r="E38" i="136"/>
  <c r="G38" i="136" s="1"/>
  <c r="E37" i="136"/>
  <c r="G37" i="136" s="1"/>
  <c r="E36" i="136"/>
  <c r="G36" i="136" s="1"/>
  <c r="E35" i="136"/>
  <c r="G35" i="136" s="1"/>
  <c r="E34" i="136"/>
  <c r="G34" i="136" s="1"/>
  <c r="E33" i="136"/>
  <c r="G33" i="136" s="1"/>
  <c r="E32" i="136"/>
  <c r="G32" i="136" s="1"/>
  <c r="E31" i="136"/>
  <c r="G31" i="136" s="1"/>
  <c r="E30" i="136"/>
  <c r="G30" i="136" s="1"/>
  <c r="E29" i="136"/>
  <c r="G29" i="136" s="1"/>
  <c r="E28" i="136"/>
  <c r="G28" i="136" s="1"/>
  <c r="E27" i="136"/>
  <c r="G27" i="136" s="1"/>
  <c r="E26" i="136"/>
  <c r="G26" i="136" s="1"/>
  <c r="E25" i="136"/>
  <c r="G25" i="136" s="1"/>
  <c r="E24" i="136"/>
  <c r="G24" i="136" s="1"/>
  <c r="E23" i="136"/>
  <c r="G23" i="136" s="1"/>
  <c r="E22" i="136"/>
  <c r="G22" i="136" s="1"/>
  <c r="E21" i="136"/>
  <c r="G21" i="136" s="1"/>
  <c r="E20" i="136"/>
  <c r="G20" i="136" s="1"/>
  <c r="E19" i="136"/>
  <c r="G19" i="136" s="1"/>
  <c r="E18" i="136"/>
  <c r="G18" i="136" s="1"/>
  <c r="E17" i="136"/>
  <c r="G17" i="136" s="1"/>
  <c r="E16" i="136"/>
  <c r="G16" i="136" s="1"/>
  <c r="E15" i="136"/>
  <c r="G15" i="136" s="1"/>
  <c r="E14" i="136"/>
  <c r="G14" i="136" s="1"/>
  <c r="E13" i="136"/>
  <c r="G13" i="136" s="1"/>
  <c r="E12" i="136"/>
  <c r="G12" i="136" s="1"/>
  <c r="E11" i="136"/>
  <c r="G11" i="136" s="1"/>
  <c r="E10" i="136"/>
  <c r="G10" i="136" s="1"/>
  <c r="E9" i="136"/>
  <c r="G9" i="136" s="1"/>
  <c r="E8" i="136"/>
  <c r="G8" i="136" s="1"/>
  <c r="E7" i="136"/>
  <c r="G7" i="136" s="1"/>
  <c r="E6" i="136"/>
  <c r="G6" i="136" s="1"/>
  <c r="E5" i="136"/>
  <c r="G5" i="136" s="1"/>
  <c r="E4" i="136"/>
  <c r="G4" i="136" s="1"/>
  <c r="R3" i="136"/>
  <c r="P3" i="136"/>
  <c r="N3" i="136"/>
  <c r="E3" i="136"/>
  <c r="G3" i="136" s="1"/>
  <c r="R2" i="136"/>
  <c r="Q2" i="136"/>
  <c r="P2" i="136"/>
  <c r="O2" i="136"/>
  <c r="N2" i="136"/>
  <c r="M2" i="136"/>
  <c r="E2" i="136"/>
  <c r="G2" i="136" s="1"/>
  <c r="D2" i="136"/>
  <c r="R2" i="135"/>
  <c r="Q2" i="135"/>
  <c r="P2" i="135"/>
  <c r="O2" i="135"/>
  <c r="N2" i="135"/>
  <c r="M2" i="135"/>
  <c r="D2" i="135"/>
  <c r="E2" i="135"/>
  <c r="G2" i="135" s="1"/>
  <c r="E3" i="135"/>
  <c r="G3" i="135" s="1"/>
  <c r="E4" i="135"/>
  <c r="G4" i="135" s="1"/>
  <c r="E5" i="135"/>
  <c r="G5" i="135" s="1"/>
  <c r="E6" i="135"/>
  <c r="G6" i="135" s="1"/>
  <c r="E7" i="135"/>
  <c r="G7" i="135" s="1"/>
  <c r="E8" i="135"/>
  <c r="G8" i="135" s="1"/>
  <c r="E9" i="135"/>
  <c r="G9" i="135" s="1"/>
  <c r="E10" i="135"/>
  <c r="G10" i="135" s="1"/>
  <c r="E11" i="135"/>
  <c r="G11" i="135" s="1"/>
  <c r="E12" i="135"/>
  <c r="G12" i="135" s="1"/>
  <c r="E13" i="135"/>
  <c r="G13" i="135" s="1"/>
  <c r="E14" i="135"/>
  <c r="G14" i="135" s="1"/>
  <c r="E15" i="135"/>
  <c r="G15" i="135" s="1"/>
  <c r="E16" i="135"/>
  <c r="G16" i="135" s="1"/>
  <c r="E17" i="135"/>
  <c r="G17" i="135" s="1"/>
  <c r="E18" i="135"/>
  <c r="G18" i="135" s="1"/>
  <c r="E19" i="135"/>
  <c r="G19" i="135" s="1"/>
  <c r="E20" i="135"/>
  <c r="G20" i="135" s="1"/>
  <c r="E21" i="135"/>
  <c r="G21" i="135" s="1"/>
  <c r="E22" i="135"/>
  <c r="G22" i="135" s="1"/>
  <c r="E23" i="135"/>
  <c r="G23" i="135" s="1"/>
  <c r="E24" i="135"/>
  <c r="G24" i="135" s="1"/>
  <c r="E25" i="135"/>
  <c r="G25" i="135" s="1"/>
  <c r="E26" i="135"/>
  <c r="G26" i="135" s="1"/>
  <c r="E27" i="135"/>
  <c r="G27" i="135" s="1"/>
  <c r="E28" i="135"/>
  <c r="G28" i="135" s="1"/>
  <c r="E29" i="135"/>
  <c r="G29" i="135" s="1"/>
  <c r="E30" i="135"/>
  <c r="G30" i="135" s="1"/>
  <c r="E31" i="135"/>
  <c r="G31" i="135" s="1"/>
  <c r="E32" i="135"/>
  <c r="G32" i="135" s="1"/>
  <c r="E33" i="135"/>
  <c r="G33" i="135" s="1"/>
  <c r="E34" i="135"/>
  <c r="G34" i="135" s="1"/>
  <c r="E35" i="135"/>
  <c r="G35" i="135" s="1"/>
  <c r="E36" i="135"/>
  <c r="G36" i="135" s="1"/>
  <c r="E37" i="135"/>
  <c r="G37" i="135" s="1"/>
  <c r="E38" i="135"/>
  <c r="G38" i="135" s="1"/>
  <c r="E39" i="135"/>
  <c r="G39" i="135" s="1"/>
  <c r="E40" i="135"/>
  <c r="G40" i="135" s="1"/>
  <c r="E41" i="135"/>
  <c r="G41" i="135" s="1"/>
  <c r="E42" i="135"/>
  <c r="G42" i="135" s="1"/>
  <c r="E43" i="135"/>
  <c r="G43" i="135" s="1"/>
  <c r="E44" i="135"/>
  <c r="G44" i="135" s="1"/>
  <c r="E45" i="135"/>
  <c r="G45" i="135" s="1"/>
  <c r="E46" i="135"/>
  <c r="G46" i="135" s="1"/>
  <c r="E47" i="135"/>
  <c r="G47" i="135" s="1"/>
  <c r="E48" i="135"/>
  <c r="G48" i="135" s="1"/>
  <c r="E49" i="135"/>
  <c r="G49" i="135" s="1"/>
  <c r="E50" i="135"/>
  <c r="G50" i="135" s="1"/>
  <c r="E51" i="135"/>
  <c r="G51" i="135" s="1"/>
  <c r="E52" i="135"/>
  <c r="G52" i="135" s="1"/>
  <c r="E53" i="135"/>
  <c r="G53" i="135" s="1"/>
  <c r="E54" i="135"/>
  <c r="G54" i="135" s="1"/>
  <c r="E55" i="135"/>
  <c r="G55" i="135" s="1"/>
  <c r="E56" i="135"/>
  <c r="G56" i="135" s="1"/>
  <c r="E57" i="135"/>
  <c r="G57" i="135" s="1"/>
  <c r="E58" i="135"/>
  <c r="G58" i="135" s="1"/>
  <c r="E59" i="135"/>
  <c r="G59" i="135" s="1"/>
  <c r="E60" i="135"/>
  <c r="G60" i="135" s="1"/>
  <c r="E61" i="135"/>
  <c r="G61" i="135" s="1"/>
  <c r="E62" i="135"/>
  <c r="G62" i="135" s="1"/>
  <c r="E63" i="135"/>
  <c r="G63" i="135" s="1"/>
  <c r="E64" i="135"/>
  <c r="G64" i="135" s="1"/>
  <c r="E65" i="135"/>
  <c r="G65" i="135" s="1"/>
  <c r="E66" i="135"/>
  <c r="G66" i="135" s="1"/>
  <c r="E67" i="135"/>
  <c r="G67" i="135" s="1"/>
  <c r="E68" i="135"/>
  <c r="G68" i="135" s="1"/>
  <c r="E69" i="135"/>
  <c r="G69" i="135" s="1"/>
  <c r="E70" i="135"/>
  <c r="G70" i="135" s="1"/>
  <c r="E71" i="135"/>
  <c r="G71" i="135" s="1"/>
  <c r="E72" i="135"/>
  <c r="G72" i="135" s="1"/>
  <c r="E73" i="135"/>
  <c r="G73" i="135" s="1"/>
  <c r="E74" i="135"/>
  <c r="G74" i="135" s="1"/>
  <c r="E75" i="135"/>
  <c r="G75" i="135" s="1"/>
  <c r="E76" i="135"/>
  <c r="G76" i="135" s="1"/>
  <c r="E77" i="135"/>
  <c r="G77" i="135" s="1"/>
  <c r="E78" i="135"/>
  <c r="G78" i="135" s="1"/>
  <c r="E79" i="135"/>
  <c r="G79" i="135" s="1"/>
  <c r="E80" i="135"/>
  <c r="G80" i="135" s="1"/>
  <c r="E81" i="135"/>
  <c r="G81" i="135" s="1"/>
  <c r="E82" i="135"/>
  <c r="G82" i="135" s="1"/>
  <c r="E83" i="135"/>
  <c r="G83" i="135" s="1"/>
  <c r="E84" i="135"/>
  <c r="G84" i="135" s="1"/>
  <c r="E85" i="135"/>
  <c r="G85" i="135" s="1"/>
  <c r="E86" i="135"/>
  <c r="G86" i="135" s="1"/>
  <c r="E87" i="135"/>
  <c r="G87" i="135" s="1"/>
  <c r="E88" i="135"/>
  <c r="G88" i="135" s="1"/>
  <c r="E89" i="135"/>
  <c r="G89" i="135" s="1"/>
  <c r="E90" i="135"/>
  <c r="G90" i="135" s="1"/>
  <c r="E91" i="135"/>
  <c r="G91" i="135" s="1"/>
  <c r="E92" i="135"/>
  <c r="G92" i="135" s="1"/>
  <c r="E93" i="135"/>
  <c r="G93" i="135" s="1"/>
  <c r="E94" i="135"/>
  <c r="G94" i="135" s="1"/>
  <c r="E95" i="135"/>
  <c r="G95" i="135" s="1"/>
  <c r="E96" i="135"/>
  <c r="G96" i="135" s="1"/>
  <c r="E97" i="135"/>
  <c r="G97" i="135" s="1"/>
  <c r="E98" i="135"/>
  <c r="G98" i="135" s="1"/>
  <c r="E99" i="135"/>
  <c r="G99" i="135" s="1"/>
  <c r="E100" i="135"/>
  <c r="G100" i="135" s="1"/>
  <c r="E101" i="135"/>
  <c r="G101" i="135" s="1"/>
  <c r="H2" i="135" l="1"/>
  <c r="U2" i="135" s="1"/>
  <c r="I2" i="135"/>
  <c r="A4" i="136"/>
  <c r="C3" i="136"/>
  <c r="B3" i="136"/>
  <c r="A4" i="135"/>
  <c r="C3" i="135"/>
  <c r="B3" i="135"/>
  <c r="S2" i="135"/>
  <c r="AA2" i="135" s="1"/>
  <c r="S2" i="136"/>
  <c r="J2" i="136"/>
  <c r="W2" i="136" s="1"/>
  <c r="J2" i="135"/>
  <c r="W2" i="135" s="1"/>
  <c r="AD2" i="136"/>
  <c r="AB2" i="135"/>
  <c r="D2" i="138" s="1"/>
  <c r="M3" i="135"/>
  <c r="AD3" i="136"/>
  <c r="AC3" i="136"/>
  <c r="AB3" i="136"/>
  <c r="I3" i="136"/>
  <c r="V3" i="136" s="1"/>
  <c r="L3" i="135"/>
  <c r="AD3" i="135"/>
  <c r="AC3" i="135"/>
  <c r="AB3" i="135"/>
  <c r="AB2" i="136"/>
  <c r="AC2" i="136"/>
  <c r="AD4" i="135"/>
  <c r="AC4" i="135"/>
  <c r="AD2" i="135"/>
  <c r="AC2" i="135"/>
  <c r="AB4" i="135"/>
  <c r="A5" i="135"/>
  <c r="H5" i="135" s="1"/>
  <c r="O4" i="135"/>
  <c r="M4" i="135"/>
  <c r="R4" i="135"/>
  <c r="Q4" i="135"/>
  <c r="P4" i="135"/>
  <c r="N4" i="135"/>
  <c r="D4" i="135"/>
  <c r="D3" i="135"/>
  <c r="N3" i="135"/>
  <c r="P3" i="135"/>
  <c r="Q3" i="135"/>
  <c r="T3" i="135" s="1"/>
  <c r="R3" i="135"/>
  <c r="A5" i="136"/>
  <c r="H5" i="136" s="1"/>
  <c r="P4" i="136"/>
  <c r="Q4" i="136"/>
  <c r="M4" i="136"/>
  <c r="D3" i="136"/>
  <c r="M3" i="136"/>
  <c r="O3" i="136"/>
  <c r="Q3" i="136"/>
  <c r="T3" i="136" s="1"/>
  <c r="L2" i="136"/>
  <c r="H2" i="136"/>
  <c r="U2" i="136" s="1"/>
  <c r="K2" i="136"/>
  <c r="I4" i="136"/>
  <c r="V4" i="136" s="1"/>
  <c r="I2" i="136"/>
  <c r="V2" i="136" s="1"/>
  <c r="L3" i="136"/>
  <c r="H3" i="136"/>
  <c r="U3" i="136" s="1"/>
  <c r="K3" i="136"/>
  <c r="L4" i="136"/>
  <c r="I4" i="135"/>
  <c r="V4" i="135" s="1"/>
  <c r="H4" i="135"/>
  <c r="U4" i="135" s="1"/>
  <c r="V2" i="135"/>
  <c r="H3" i="135"/>
  <c r="U3" i="135" s="1"/>
  <c r="I3" i="135"/>
  <c r="V3" i="135" s="1"/>
  <c r="L2" i="135"/>
  <c r="K2" i="135"/>
  <c r="L4" i="135"/>
  <c r="K4" i="135"/>
  <c r="K3" i="135"/>
  <c r="AC5" i="136" l="1"/>
  <c r="C5" i="136"/>
  <c r="B5" i="136"/>
  <c r="AB5" i="136"/>
  <c r="C4" i="136"/>
  <c r="B4" i="136"/>
  <c r="K5" i="136"/>
  <c r="L5" i="136"/>
  <c r="H4" i="136"/>
  <c r="U4" i="136" s="1"/>
  <c r="K4" i="136"/>
  <c r="D4" i="136"/>
  <c r="O4" i="136"/>
  <c r="N4" i="136"/>
  <c r="R4" i="136"/>
  <c r="AC4" i="136"/>
  <c r="C8" i="141" s="1"/>
  <c r="AB4" i="136"/>
  <c r="B8" i="141" s="1"/>
  <c r="AD4" i="136"/>
  <c r="D108" i="138"/>
  <c r="D107" i="138"/>
  <c r="T4" i="136"/>
  <c r="K5" i="135"/>
  <c r="Y3" i="136"/>
  <c r="Z3" i="136" s="1"/>
  <c r="T4" i="135"/>
  <c r="I2" i="138"/>
  <c r="C6" i="141"/>
  <c r="I108" i="138"/>
  <c r="I107" i="138"/>
  <c r="C5" i="135"/>
  <c r="B5" i="135"/>
  <c r="C4" i="135"/>
  <c r="B4" i="135"/>
  <c r="S4" i="136"/>
  <c r="J4" i="136"/>
  <c r="W4" i="136" s="1"/>
  <c r="H109" i="138" s="1"/>
  <c r="S3" i="135"/>
  <c r="AA3" i="135" s="1"/>
  <c r="J3" i="136"/>
  <c r="W3" i="136" s="1"/>
  <c r="S3" i="136"/>
  <c r="S4" i="135"/>
  <c r="AA4" i="135" s="1"/>
  <c r="J3" i="135"/>
  <c r="W3" i="135" s="1"/>
  <c r="J4" i="135"/>
  <c r="W4" i="135" s="1"/>
  <c r="B7" i="141"/>
  <c r="B6" i="141"/>
  <c r="B4" i="141"/>
  <c r="C4" i="141"/>
  <c r="B3" i="141"/>
  <c r="B2" i="141"/>
  <c r="C7" i="141"/>
  <c r="C3" i="141"/>
  <c r="C2" i="141"/>
  <c r="C2" i="138"/>
  <c r="C109" i="138"/>
  <c r="H107" i="138"/>
  <c r="C107" i="138"/>
  <c r="H108" i="138"/>
  <c r="C108" i="138"/>
  <c r="H2" i="138"/>
  <c r="AD5" i="136"/>
  <c r="AB5" i="135"/>
  <c r="AC5" i="135"/>
  <c r="AD5" i="135"/>
  <c r="L5" i="135"/>
  <c r="I5" i="135"/>
  <c r="R5" i="135"/>
  <c r="Q5" i="135"/>
  <c r="T5" i="135" s="1"/>
  <c r="P5" i="135"/>
  <c r="N5" i="135"/>
  <c r="D5" i="135"/>
  <c r="A6" i="135"/>
  <c r="O5" i="135"/>
  <c r="M5" i="135"/>
  <c r="Q5" i="136"/>
  <c r="O5" i="136"/>
  <c r="M5" i="136"/>
  <c r="D5" i="136"/>
  <c r="A6" i="136"/>
  <c r="R5" i="136"/>
  <c r="P5" i="136"/>
  <c r="N5" i="136"/>
  <c r="I5" i="136"/>
  <c r="Y3" i="135"/>
  <c r="Y4" i="135"/>
  <c r="Y2" i="135"/>
  <c r="T5" i="136"/>
  <c r="Y2" i="136"/>
  <c r="D109" i="138" l="1"/>
  <c r="AA3" i="136"/>
  <c r="E108" i="138" s="1"/>
  <c r="C6" i="136"/>
  <c r="B6" i="136"/>
  <c r="Y4" i="136"/>
  <c r="AA4" i="136" s="1"/>
  <c r="E109" i="138" s="1"/>
  <c r="I109" i="138"/>
  <c r="X3" i="136"/>
  <c r="G108" i="138" s="1"/>
  <c r="C6" i="135"/>
  <c r="B6" i="135"/>
  <c r="S5" i="135"/>
  <c r="AA5" i="135" s="1"/>
  <c r="J5" i="135"/>
  <c r="W5" i="135" s="1"/>
  <c r="S5" i="136"/>
  <c r="J5" i="136"/>
  <c r="W5" i="136" s="1"/>
  <c r="F108" i="138"/>
  <c r="E2" i="138"/>
  <c r="Z3" i="135"/>
  <c r="Z4" i="135"/>
  <c r="AC6" i="136"/>
  <c r="AD6" i="136"/>
  <c r="AB6" i="136"/>
  <c r="AB6" i="135"/>
  <c r="AC6" i="135"/>
  <c r="AD6" i="135"/>
  <c r="Y5" i="135"/>
  <c r="O6" i="135"/>
  <c r="M6" i="135"/>
  <c r="P6" i="135"/>
  <c r="N6" i="135"/>
  <c r="D6" i="135"/>
  <c r="Q6" i="135"/>
  <c r="T6" i="135" s="1"/>
  <c r="H6" i="135"/>
  <c r="K6" i="135"/>
  <c r="A7" i="135"/>
  <c r="R6" i="135"/>
  <c r="I6" i="135"/>
  <c r="L6" i="135"/>
  <c r="A7" i="136"/>
  <c r="R6" i="136"/>
  <c r="N6" i="136"/>
  <c r="P6" i="136"/>
  <c r="D6" i="136"/>
  <c r="O6" i="136"/>
  <c r="K6" i="136"/>
  <c r="H6" i="136"/>
  <c r="M6" i="136"/>
  <c r="Q6" i="136"/>
  <c r="T6" i="136" s="1"/>
  <c r="I6" i="136"/>
  <c r="L6" i="136"/>
  <c r="Z2" i="136"/>
  <c r="AA2" i="136"/>
  <c r="E107" i="138" s="1"/>
  <c r="Z2" i="135"/>
  <c r="X2" i="136"/>
  <c r="X4" i="136"/>
  <c r="Y5" i="136"/>
  <c r="X2" i="135"/>
  <c r="X4" i="135"/>
  <c r="X3" i="135"/>
  <c r="Z4" i="136" l="1"/>
  <c r="C7" i="136"/>
  <c r="B7" i="136"/>
  <c r="C7" i="135"/>
  <c r="B7" i="135"/>
  <c r="S6" i="135"/>
  <c r="AA6" i="135" s="1"/>
  <c r="J6" i="135"/>
  <c r="W6" i="135" s="1"/>
  <c r="S6" i="136"/>
  <c r="J6" i="136"/>
  <c r="W6" i="136" s="1"/>
  <c r="G107" i="138"/>
  <c r="G109" i="138"/>
  <c r="F107" i="138"/>
  <c r="F109" i="138"/>
  <c r="G2" i="138"/>
  <c r="F2" i="138"/>
  <c r="Z5" i="135"/>
  <c r="AC7" i="136"/>
  <c r="AD7" i="136"/>
  <c r="AB7" i="136"/>
  <c r="X5" i="135"/>
  <c r="AD7" i="135"/>
  <c r="AB7" i="135"/>
  <c r="AC7" i="135"/>
  <c r="Y6" i="135"/>
  <c r="X6" i="135" s="1"/>
  <c r="L7" i="135"/>
  <c r="I7" i="135"/>
  <c r="H7" i="135"/>
  <c r="K7" i="135"/>
  <c r="Q7" i="135"/>
  <c r="T7" i="135" s="1"/>
  <c r="O7" i="135"/>
  <c r="M7" i="135"/>
  <c r="A8" i="135"/>
  <c r="R7" i="135"/>
  <c r="P7" i="135"/>
  <c r="N7" i="135"/>
  <c r="D7" i="135"/>
  <c r="A8" i="136"/>
  <c r="Q7" i="136"/>
  <c r="T7" i="136" s="1"/>
  <c r="M7" i="136"/>
  <c r="O7" i="136"/>
  <c r="D7" i="136"/>
  <c r="N7" i="136"/>
  <c r="R7" i="136"/>
  <c r="L7" i="136"/>
  <c r="H7" i="136"/>
  <c r="I7" i="136"/>
  <c r="P7" i="136"/>
  <c r="K7" i="136"/>
  <c r="Z5" i="136"/>
  <c r="AA5" i="136"/>
  <c r="E110" i="138" s="1"/>
  <c r="Y6" i="136"/>
  <c r="X5" i="136"/>
  <c r="C8" i="136" l="1"/>
  <c r="B8" i="136"/>
  <c r="C8" i="135"/>
  <c r="B8" i="135"/>
  <c r="S7" i="135"/>
  <c r="AA7" i="135" s="1"/>
  <c r="J7" i="135"/>
  <c r="W7" i="135" s="1"/>
  <c r="J7" i="136"/>
  <c r="W7" i="136" s="1"/>
  <c r="S7" i="136"/>
  <c r="G110" i="138"/>
  <c r="X6" i="136"/>
  <c r="F110" i="138"/>
  <c r="Z6" i="135"/>
  <c r="AD8" i="136"/>
  <c r="AC8" i="136"/>
  <c r="AB8" i="136"/>
  <c r="AC8" i="135"/>
  <c r="AB8" i="135"/>
  <c r="AD8" i="135"/>
  <c r="Y7" i="135"/>
  <c r="Z7" i="135" s="1"/>
  <c r="A9" i="135"/>
  <c r="O8" i="135"/>
  <c r="M8" i="135"/>
  <c r="Q8" i="135"/>
  <c r="T8" i="135" s="1"/>
  <c r="L8" i="135"/>
  <c r="H8" i="135"/>
  <c r="P8" i="135"/>
  <c r="N8" i="135"/>
  <c r="D8" i="135"/>
  <c r="R8" i="135"/>
  <c r="I8" i="135"/>
  <c r="K8" i="135"/>
  <c r="A9" i="136"/>
  <c r="Q8" i="136"/>
  <c r="T8" i="136" s="1"/>
  <c r="M8" i="136"/>
  <c r="D8" i="136"/>
  <c r="O8" i="136"/>
  <c r="P8" i="136"/>
  <c r="I8" i="136"/>
  <c r="H8" i="136"/>
  <c r="N8" i="136"/>
  <c r="R8" i="136"/>
  <c r="K8" i="136"/>
  <c r="L8" i="136"/>
  <c r="Z6" i="136"/>
  <c r="AA6" i="136"/>
  <c r="Y7" i="136"/>
  <c r="C9" i="136" l="1"/>
  <c r="B9" i="136"/>
  <c r="C9" i="135"/>
  <c r="B9" i="135"/>
  <c r="S8" i="136"/>
  <c r="J8" i="136"/>
  <c r="W8" i="136" s="1"/>
  <c r="S8" i="135"/>
  <c r="AA8" i="135" s="1"/>
  <c r="J8" i="135"/>
  <c r="W8" i="135" s="1"/>
  <c r="E111" i="138"/>
  <c r="F111" i="138"/>
  <c r="G111" i="138"/>
  <c r="X7" i="135"/>
  <c r="AC9" i="136"/>
  <c r="AB9" i="136"/>
  <c r="AD9" i="136"/>
  <c r="AD9" i="135"/>
  <c r="AB9" i="135"/>
  <c r="AC9" i="135"/>
  <c r="Y8" i="135"/>
  <c r="R9" i="135"/>
  <c r="A10" i="135"/>
  <c r="O9" i="135"/>
  <c r="M9" i="135"/>
  <c r="L9" i="135"/>
  <c r="K9" i="135"/>
  <c r="I9" i="135"/>
  <c r="Q9" i="135"/>
  <c r="T9" i="135" s="1"/>
  <c r="P9" i="135"/>
  <c r="N9" i="135"/>
  <c r="D9" i="135"/>
  <c r="H9" i="135"/>
  <c r="A10" i="136"/>
  <c r="P9" i="136"/>
  <c r="I9" i="136"/>
  <c r="R9" i="136"/>
  <c r="N9" i="136"/>
  <c r="D9" i="136"/>
  <c r="O9" i="136"/>
  <c r="L9" i="136"/>
  <c r="H9" i="136"/>
  <c r="M9" i="136"/>
  <c r="Q9" i="136"/>
  <c r="T9" i="136" s="1"/>
  <c r="K9" i="136"/>
  <c r="Z7" i="136"/>
  <c r="AA7" i="136"/>
  <c r="X7" i="136"/>
  <c r="Y8" i="136"/>
  <c r="C10" i="136" l="1"/>
  <c r="B10" i="136"/>
  <c r="C10" i="135"/>
  <c r="B10" i="135"/>
  <c r="S9" i="136"/>
  <c r="J9" i="136"/>
  <c r="W9" i="136" s="1"/>
  <c r="S9" i="135"/>
  <c r="AA9" i="135" s="1"/>
  <c r="J9" i="135"/>
  <c r="W9" i="135" s="1"/>
  <c r="E112" i="138"/>
  <c r="G112" i="138"/>
  <c r="F112" i="138"/>
  <c r="Z8" i="135"/>
  <c r="AD10" i="136"/>
  <c r="AB10" i="136"/>
  <c r="AC10" i="136"/>
  <c r="AC10" i="135"/>
  <c r="AB10" i="135"/>
  <c r="AD10" i="135"/>
  <c r="X8" i="135"/>
  <c r="Y9" i="135"/>
  <c r="A11" i="135"/>
  <c r="R10" i="135"/>
  <c r="P10" i="135"/>
  <c r="N10" i="135"/>
  <c r="D10" i="135"/>
  <c r="H10" i="135"/>
  <c r="I10" i="135"/>
  <c r="Q10" i="135"/>
  <c r="T10" i="135" s="1"/>
  <c r="O10" i="135"/>
  <c r="M10" i="135"/>
  <c r="L10" i="135"/>
  <c r="K10" i="135"/>
  <c r="O10" i="136"/>
  <c r="A11" i="136"/>
  <c r="P10" i="136"/>
  <c r="M10" i="136"/>
  <c r="K10" i="136"/>
  <c r="H10" i="136"/>
  <c r="R10" i="136"/>
  <c r="N10" i="136"/>
  <c r="D10" i="136"/>
  <c r="Q10" i="136"/>
  <c r="T10" i="136" s="1"/>
  <c r="I10" i="136"/>
  <c r="L10" i="136"/>
  <c r="Z8" i="136"/>
  <c r="AA8" i="136"/>
  <c r="X8" i="136"/>
  <c r="X9" i="135"/>
  <c r="Y9" i="136"/>
  <c r="C11" i="136" l="1"/>
  <c r="B11" i="136"/>
  <c r="C11" i="135"/>
  <c r="B11" i="135"/>
  <c r="S10" i="136"/>
  <c r="J10" i="136"/>
  <c r="W10" i="136" s="1"/>
  <c r="S10" i="135"/>
  <c r="AA10" i="135" s="1"/>
  <c r="J10" i="135"/>
  <c r="W10" i="135" s="1"/>
  <c r="E113" i="138"/>
  <c r="G113" i="138"/>
  <c r="F113" i="138"/>
  <c r="Z9" i="135"/>
  <c r="AD11" i="136"/>
  <c r="AB11" i="136"/>
  <c r="AC11" i="136"/>
  <c r="AC11" i="135"/>
  <c r="AB11" i="135"/>
  <c r="AD11" i="135"/>
  <c r="Y10" i="135"/>
  <c r="X10" i="135" s="1"/>
  <c r="A12" i="135"/>
  <c r="R11" i="135"/>
  <c r="P11" i="135"/>
  <c r="N11" i="135"/>
  <c r="D11" i="135"/>
  <c r="K11" i="135"/>
  <c r="H11" i="135"/>
  <c r="Q11" i="135"/>
  <c r="T11" i="135" s="1"/>
  <c r="O11" i="135"/>
  <c r="M11" i="135"/>
  <c r="I11" i="135"/>
  <c r="L11" i="135"/>
  <c r="L11" i="136"/>
  <c r="H11" i="136"/>
  <c r="K11" i="136"/>
  <c r="O11" i="136"/>
  <c r="D11" i="136"/>
  <c r="I11" i="136"/>
  <c r="N11" i="136"/>
  <c r="A12" i="136"/>
  <c r="Q11" i="136"/>
  <c r="T11" i="136" s="1"/>
  <c r="M11" i="136"/>
  <c r="P11" i="136"/>
  <c r="R11" i="136"/>
  <c r="Z9" i="136"/>
  <c r="AA9" i="136"/>
  <c r="E114" i="138" s="1"/>
  <c r="X9" i="136"/>
  <c r="Y10" i="136"/>
  <c r="C12" i="136" l="1"/>
  <c r="B12" i="136"/>
  <c r="C12" i="135"/>
  <c r="B12" i="135"/>
  <c r="J11" i="136"/>
  <c r="W11" i="136" s="1"/>
  <c r="S11" i="136"/>
  <c r="S11" i="135"/>
  <c r="AA11" i="135" s="1"/>
  <c r="J11" i="135"/>
  <c r="W11" i="135" s="1"/>
  <c r="X10" i="136"/>
  <c r="G114" i="138"/>
  <c r="F114" i="138"/>
  <c r="Z10" i="135"/>
  <c r="AD12" i="136"/>
  <c r="AB12" i="136"/>
  <c r="AC12" i="136"/>
  <c r="AC12" i="135"/>
  <c r="AD12" i="135"/>
  <c r="AB12" i="135"/>
  <c r="Y11" i="135"/>
  <c r="Q12" i="135"/>
  <c r="T12" i="135" s="1"/>
  <c r="O12" i="135"/>
  <c r="M12" i="135"/>
  <c r="I12" i="135"/>
  <c r="K12" i="135"/>
  <c r="A13" i="135"/>
  <c r="R12" i="135"/>
  <c r="P12" i="135"/>
  <c r="N12" i="135"/>
  <c r="D12" i="135"/>
  <c r="L12" i="135"/>
  <c r="H12" i="135"/>
  <c r="A13" i="136"/>
  <c r="Q12" i="136"/>
  <c r="T12" i="136" s="1"/>
  <c r="M12" i="136"/>
  <c r="R12" i="136"/>
  <c r="P12" i="136"/>
  <c r="I12" i="136"/>
  <c r="O12" i="136"/>
  <c r="D12" i="136"/>
  <c r="N12" i="136"/>
  <c r="K12" i="136"/>
  <c r="L12" i="136"/>
  <c r="H12" i="136"/>
  <c r="Z10" i="136"/>
  <c r="AA10" i="136"/>
  <c r="Y11" i="136"/>
  <c r="C13" i="136" l="1"/>
  <c r="B13" i="136"/>
  <c r="C13" i="135"/>
  <c r="B13" i="135"/>
  <c r="S12" i="136"/>
  <c r="J12" i="136"/>
  <c r="W12" i="136" s="1"/>
  <c r="S12" i="135"/>
  <c r="AA12" i="135" s="1"/>
  <c r="J12" i="135"/>
  <c r="W12" i="135" s="1"/>
  <c r="E115" i="138"/>
  <c r="F115" i="138"/>
  <c r="X11" i="135"/>
  <c r="G115" i="138"/>
  <c r="Z11" i="135"/>
  <c r="AC13" i="136"/>
  <c r="AD13" i="136"/>
  <c r="AB13" i="136"/>
  <c r="AB13" i="135"/>
  <c r="AC13" i="135"/>
  <c r="AD13" i="135"/>
  <c r="Y12" i="135"/>
  <c r="Q13" i="135"/>
  <c r="T13" i="135" s="1"/>
  <c r="O13" i="135"/>
  <c r="M13" i="135"/>
  <c r="A14" i="135"/>
  <c r="I13" i="135"/>
  <c r="R13" i="135"/>
  <c r="P13" i="135"/>
  <c r="N13" i="135"/>
  <c r="D13" i="135"/>
  <c r="L13" i="135"/>
  <c r="H13" i="135"/>
  <c r="K13" i="135"/>
  <c r="P13" i="136"/>
  <c r="I13" i="136"/>
  <c r="Q13" i="136"/>
  <c r="T13" i="136" s="1"/>
  <c r="D13" i="136"/>
  <c r="K13" i="136"/>
  <c r="H13" i="136"/>
  <c r="R13" i="136"/>
  <c r="N13" i="136"/>
  <c r="A14" i="136"/>
  <c r="M13" i="136"/>
  <c r="O13" i="136"/>
  <c r="L13" i="136"/>
  <c r="Z11" i="136"/>
  <c r="AA11" i="136"/>
  <c r="E116" i="138" s="1"/>
  <c r="X11" i="136"/>
  <c r="Y12" i="136"/>
  <c r="C14" i="136" l="1"/>
  <c r="B14" i="136"/>
  <c r="Y13" i="135"/>
  <c r="X13" i="135" s="1"/>
  <c r="C14" i="135"/>
  <c r="B14" i="135"/>
  <c r="S13" i="136"/>
  <c r="J13" i="136"/>
  <c r="W13" i="136" s="1"/>
  <c r="S13" i="135"/>
  <c r="AA13" i="135" s="1"/>
  <c r="J13" i="135"/>
  <c r="W13" i="135" s="1"/>
  <c r="X12" i="136"/>
  <c r="G116" i="138"/>
  <c r="F116" i="138"/>
  <c r="Z12" i="135"/>
  <c r="AB14" i="136"/>
  <c r="AD14" i="136"/>
  <c r="AC14" i="136"/>
  <c r="AB14" i="135"/>
  <c r="AC14" i="135"/>
  <c r="AD14" i="135"/>
  <c r="X12" i="135"/>
  <c r="A15" i="135"/>
  <c r="R14" i="135"/>
  <c r="P14" i="135"/>
  <c r="N14" i="135"/>
  <c r="D14" i="135"/>
  <c r="H14" i="135"/>
  <c r="I14" i="135"/>
  <c r="Q14" i="135"/>
  <c r="T14" i="135" s="1"/>
  <c r="O14" i="135"/>
  <c r="M14" i="135"/>
  <c r="L14" i="135"/>
  <c r="K14" i="135"/>
  <c r="R14" i="136"/>
  <c r="N14" i="136"/>
  <c r="M14" i="136"/>
  <c r="I14" i="136"/>
  <c r="K14" i="136"/>
  <c r="H14" i="136"/>
  <c r="A15" i="136"/>
  <c r="P14" i="136"/>
  <c r="Q14" i="136"/>
  <c r="T14" i="136" s="1"/>
  <c r="D14" i="136"/>
  <c r="O14" i="136"/>
  <c r="L14" i="136"/>
  <c r="Z12" i="136"/>
  <c r="AA12" i="136"/>
  <c r="E117" i="138" s="1"/>
  <c r="Y13" i="136"/>
  <c r="Z13" i="135" l="1"/>
  <c r="C15" i="136"/>
  <c r="B15" i="136"/>
  <c r="C15" i="135"/>
  <c r="B15" i="135"/>
  <c r="S14" i="136"/>
  <c r="J14" i="136"/>
  <c r="W14" i="136" s="1"/>
  <c r="S14" i="135"/>
  <c r="AA14" i="135" s="1"/>
  <c r="J14" i="135"/>
  <c r="W14" i="135" s="1"/>
  <c r="F117" i="138"/>
  <c r="G117" i="138"/>
  <c r="AD15" i="136"/>
  <c r="AB15" i="136"/>
  <c r="AC15" i="136"/>
  <c r="AD15" i="135"/>
  <c r="AB15" i="135"/>
  <c r="AC15" i="135"/>
  <c r="Y14" i="135"/>
  <c r="Q15" i="135"/>
  <c r="T15" i="135" s="1"/>
  <c r="O15" i="135"/>
  <c r="M15" i="135"/>
  <c r="H15" i="135"/>
  <c r="K15" i="135"/>
  <c r="A16" i="135"/>
  <c r="R15" i="135"/>
  <c r="P15" i="135"/>
  <c r="N15" i="135"/>
  <c r="D15" i="135"/>
  <c r="L15" i="135"/>
  <c r="I15" i="135"/>
  <c r="O15" i="136"/>
  <c r="D15" i="136"/>
  <c r="I15" i="136"/>
  <c r="N15" i="136"/>
  <c r="K15" i="136"/>
  <c r="H15" i="136"/>
  <c r="A16" i="136"/>
  <c r="Q15" i="136"/>
  <c r="T15" i="136" s="1"/>
  <c r="M15" i="136"/>
  <c r="P15" i="136"/>
  <c r="R15" i="136"/>
  <c r="L15" i="136"/>
  <c r="Z13" i="136"/>
  <c r="AA13" i="136"/>
  <c r="X13" i="136"/>
  <c r="Y14" i="136"/>
  <c r="C16" i="136" l="1"/>
  <c r="B16" i="136"/>
  <c r="C16" i="135"/>
  <c r="B16" i="135"/>
  <c r="J15" i="136"/>
  <c r="W15" i="136" s="1"/>
  <c r="S15" i="136"/>
  <c r="S15" i="135"/>
  <c r="AA15" i="135" s="1"/>
  <c r="J15" i="135"/>
  <c r="W15" i="135" s="1"/>
  <c r="E118" i="138"/>
  <c r="X14" i="136"/>
  <c r="G118" i="138"/>
  <c r="F118" i="138"/>
  <c r="Z14" i="135"/>
  <c r="AD16" i="136"/>
  <c r="AC16" i="136"/>
  <c r="AB16" i="136"/>
  <c r="AC16" i="135"/>
  <c r="AB16" i="135"/>
  <c r="AD16" i="135"/>
  <c r="X14" i="135"/>
  <c r="Y15" i="135"/>
  <c r="X15" i="135" s="1"/>
  <c r="P16" i="135"/>
  <c r="N16" i="135"/>
  <c r="D16" i="135"/>
  <c r="R16" i="135"/>
  <c r="I16" i="135"/>
  <c r="K16" i="135"/>
  <c r="A17" i="135"/>
  <c r="O16" i="135"/>
  <c r="M16" i="135"/>
  <c r="Q16" i="135"/>
  <c r="T16" i="135" s="1"/>
  <c r="L16" i="135"/>
  <c r="H16" i="135"/>
  <c r="O16" i="136"/>
  <c r="D16" i="136"/>
  <c r="N16" i="136"/>
  <c r="K16" i="136"/>
  <c r="L16" i="136"/>
  <c r="H16" i="136"/>
  <c r="A17" i="136"/>
  <c r="Q16" i="136"/>
  <c r="T16" i="136" s="1"/>
  <c r="M16" i="136"/>
  <c r="R16" i="136"/>
  <c r="P16" i="136"/>
  <c r="I16" i="136"/>
  <c r="Z14" i="136"/>
  <c r="AA14" i="136"/>
  <c r="Y15" i="136"/>
  <c r="C17" i="136" l="1"/>
  <c r="B17" i="136"/>
  <c r="C17" i="135"/>
  <c r="B17" i="135"/>
  <c r="S16" i="136"/>
  <c r="J16" i="136"/>
  <c r="W16" i="136" s="1"/>
  <c r="S16" i="135"/>
  <c r="AA16" i="135" s="1"/>
  <c r="J16" i="135"/>
  <c r="W16" i="135" s="1"/>
  <c r="E119" i="138"/>
  <c r="F119" i="138"/>
  <c r="G119" i="138"/>
  <c r="Z15" i="135"/>
  <c r="AC17" i="136"/>
  <c r="AB17" i="136"/>
  <c r="AD17" i="136"/>
  <c r="AD17" i="135"/>
  <c r="AB17" i="135"/>
  <c r="AC17" i="135"/>
  <c r="Y16" i="135"/>
  <c r="R17" i="135"/>
  <c r="A18" i="135"/>
  <c r="O17" i="135"/>
  <c r="M17" i="135"/>
  <c r="L17" i="135"/>
  <c r="I17" i="135"/>
  <c r="K17" i="135"/>
  <c r="Q17" i="135"/>
  <c r="T17" i="135" s="1"/>
  <c r="P17" i="135"/>
  <c r="N17" i="135"/>
  <c r="D17" i="135"/>
  <c r="H17" i="135"/>
  <c r="A18" i="136"/>
  <c r="P17" i="136"/>
  <c r="I17" i="136"/>
  <c r="M17" i="136"/>
  <c r="O17" i="136"/>
  <c r="L17" i="136"/>
  <c r="R17" i="136"/>
  <c r="N17" i="136"/>
  <c r="Q17" i="136"/>
  <c r="T17" i="136" s="1"/>
  <c r="D17" i="136"/>
  <c r="K17" i="136"/>
  <c r="H17" i="136"/>
  <c r="Z15" i="136"/>
  <c r="AA15" i="136"/>
  <c r="E120" i="138" s="1"/>
  <c r="X15" i="136"/>
  <c r="Y16" i="136"/>
  <c r="C18" i="136" l="1"/>
  <c r="B18" i="136"/>
  <c r="Y17" i="135"/>
  <c r="X17" i="135" s="1"/>
  <c r="C18" i="135"/>
  <c r="B18" i="135"/>
  <c r="S17" i="136"/>
  <c r="J17" i="136"/>
  <c r="W17" i="136" s="1"/>
  <c r="S17" i="135"/>
  <c r="AA17" i="135" s="1"/>
  <c r="J17" i="135"/>
  <c r="W17" i="135" s="1"/>
  <c r="X16" i="136"/>
  <c r="G120" i="138"/>
  <c r="F120" i="138"/>
  <c r="Z16" i="135"/>
  <c r="AD18" i="136"/>
  <c r="AB18" i="136"/>
  <c r="AC18" i="136"/>
  <c r="AB18" i="135"/>
  <c r="AC18" i="135"/>
  <c r="AD18" i="135"/>
  <c r="X16" i="135"/>
  <c r="A19" i="135"/>
  <c r="R18" i="135"/>
  <c r="P18" i="135"/>
  <c r="N18" i="135"/>
  <c r="D18" i="135"/>
  <c r="H18" i="135"/>
  <c r="I18" i="135"/>
  <c r="Q18" i="135"/>
  <c r="T18" i="135" s="1"/>
  <c r="O18" i="135"/>
  <c r="M18" i="135"/>
  <c r="L18" i="135"/>
  <c r="K18" i="135"/>
  <c r="A19" i="136"/>
  <c r="P18" i="136"/>
  <c r="Q18" i="136"/>
  <c r="D18" i="136"/>
  <c r="O18" i="136"/>
  <c r="L18" i="136"/>
  <c r="R18" i="136"/>
  <c r="N18" i="136"/>
  <c r="M18" i="136"/>
  <c r="I18" i="136"/>
  <c r="K18" i="136"/>
  <c r="H18" i="136"/>
  <c r="Z16" i="136"/>
  <c r="AA16" i="136"/>
  <c r="E121" i="138" s="1"/>
  <c r="T18" i="136"/>
  <c r="Y17" i="136"/>
  <c r="Z17" i="135" l="1"/>
  <c r="C19" i="136"/>
  <c r="B19" i="136"/>
  <c r="Y18" i="135"/>
  <c r="Z18" i="135" s="1"/>
  <c r="C19" i="135"/>
  <c r="B19" i="135"/>
  <c r="S18" i="136"/>
  <c r="J18" i="136"/>
  <c r="W18" i="136" s="1"/>
  <c r="AA18" i="135"/>
  <c r="S18" i="135"/>
  <c r="J18" i="135"/>
  <c r="W18" i="135" s="1"/>
  <c r="F121" i="138"/>
  <c r="G121" i="138"/>
  <c r="AC19" i="136"/>
  <c r="AD19" i="136"/>
  <c r="AB19" i="136"/>
  <c r="AC19" i="135"/>
  <c r="AD19" i="135"/>
  <c r="AB19" i="135"/>
  <c r="X18" i="135"/>
  <c r="Q19" i="135"/>
  <c r="T19" i="135" s="1"/>
  <c r="O19" i="135"/>
  <c r="M19" i="135"/>
  <c r="I19" i="135"/>
  <c r="L19" i="135"/>
  <c r="A20" i="135"/>
  <c r="R19" i="135"/>
  <c r="P19" i="135"/>
  <c r="N19" i="135"/>
  <c r="D19" i="135"/>
  <c r="K19" i="135"/>
  <c r="H19" i="135"/>
  <c r="A20" i="136"/>
  <c r="Q19" i="136"/>
  <c r="M19" i="136"/>
  <c r="P19" i="136"/>
  <c r="R19" i="136"/>
  <c r="L19" i="136"/>
  <c r="O19" i="136"/>
  <c r="D19" i="136"/>
  <c r="I19" i="136"/>
  <c r="N19" i="136"/>
  <c r="K19" i="136"/>
  <c r="H19" i="136"/>
  <c r="Z17" i="136"/>
  <c r="AA17" i="136"/>
  <c r="X17" i="136"/>
  <c r="T19" i="136"/>
  <c r="Y18" i="136"/>
  <c r="C20" i="136" l="1"/>
  <c r="B20" i="136"/>
  <c r="C20" i="135"/>
  <c r="B20" i="135"/>
  <c r="AA19" i="135"/>
  <c r="S19" i="135"/>
  <c r="J19" i="135"/>
  <c r="W19" i="135" s="1"/>
  <c r="J19" i="136"/>
  <c r="W19" i="136" s="1"/>
  <c r="S19" i="136"/>
  <c r="E122" i="138"/>
  <c r="X18" i="136"/>
  <c r="G122" i="138"/>
  <c r="F122" i="138"/>
  <c r="Y19" i="135"/>
  <c r="AD20" i="136"/>
  <c r="AB20" i="136"/>
  <c r="AC20" i="136"/>
  <c r="AC20" i="135"/>
  <c r="AD20" i="135"/>
  <c r="AB20" i="135"/>
  <c r="A21" i="135"/>
  <c r="R20" i="135"/>
  <c r="P20" i="135"/>
  <c r="N20" i="135"/>
  <c r="D20" i="135"/>
  <c r="L20" i="135"/>
  <c r="H20" i="135"/>
  <c r="Q20" i="135"/>
  <c r="T20" i="135" s="1"/>
  <c r="O20" i="135"/>
  <c r="M20" i="135"/>
  <c r="I20" i="135"/>
  <c r="K20" i="135"/>
  <c r="A21" i="136"/>
  <c r="Q20" i="136"/>
  <c r="T20" i="136" s="1"/>
  <c r="M20" i="136"/>
  <c r="R20" i="136"/>
  <c r="P20" i="136"/>
  <c r="I20" i="136"/>
  <c r="O20" i="136"/>
  <c r="D20" i="136"/>
  <c r="N20" i="136"/>
  <c r="K20" i="136"/>
  <c r="L20" i="136"/>
  <c r="H20" i="136"/>
  <c r="Z18" i="136"/>
  <c r="AA18" i="136"/>
  <c r="E123" i="138" s="1"/>
  <c r="Y19" i="136"/>
  <c r="C21" i="136" l="1"/>
  <c r="B21" i="136"/>
  <c r="C21" i="135"/>
  <c r="B21" i="135"/>
  <c r="S20" i="136"/>
  <c r="J20" i="136"/>
  <c r="W20" i="136" s="1"/>
  <c r="AA20" i="135"/>
  <c r="S20" i="135"/>
  <c r="J20" i="135"/>
  <c r="W20" i="135" s="1"/>
  <c r="F123" i="138"/>
  <c r="Z19" i="135"/>
  <c r="G123" i="138"/>
  <c r="X19" i="135"/>
  <c r="AC21" i="136"/>
  <c r="AD21" i="136"/>
  <c r="AB21" i="136"/>
  <c r="AB21" i="135"/>
  <c r="AD21" i="135"/>
  <c r="AC21" i="135"/>
  <c r="Y20" i="135"/>
  <c r="X20" i="135" s="1"/>
  <c r="Q21" i="135"/>
  <c r="T21" i="135" s="1"/>
  <c r="O21" i="135"/>
  <c r="M21" i="135"/>
  <c r="A22" i="135"/>
  <c r="I21" i="135"/>
  <c r="R21" i="135"/>
  <c r="P21" i="135"/>
  <c r="N21" i="135"/>
  <c r="D21" i="135"/>
  <c r="L21" i="135"/>
  <c r="H21" i="135"/>
  <c r="K21" i="135"/>
  <c r="R21" i="136"/>
  <c r="N21" i="136"/>
  <c r="Q21" i="136"/>
  <c r="T21" i="136" s="1"/>
  <c r="A22" i="136"/>
  <c r="O21" i="136"/>
  <c r="L21" i="136"/>
  <c r="P21" i="136"/>
  <c r="I21" i="136"/>
  <c r="M21" i="136"/>
  <c r="D21" i="136"/>
  <c r="K21" i="136"/>
  <c r="H21" i="136"/>
  <c r="Z19" i="136"/>
  <c r="AA19" i="136"/>
  <c r="X19" i="136"/>
  <c r="Y20" i="136"/>
  <c r="C22" i="136" l="1"/>
  <c r="B22" i="136"/>
  <c r="C22" i="135"/>
  <c r="B22" i="135"/>
  <c r="S21" i="136"/>
  <c r="J21" i="136"/>
  <c r="W21" i="136" s="1"/>
  <c r="AA21" i="135"/>
  <c r="S21" i="135"/>
  <c r="J21" i="135"/>
  <c r="W21" i="135" s="1"/>
  <c r="E124" i="138"/>
  <c r="X20" i="136"/>
  <c r="G124" i="138"/>
  <c r="F124" i="138"/>
  <c r="Z20" i="135"/>
  <c r="AC22" i="136"/>
  <c r="AD22" i="136"/>
  <c r="AB22" i="136"/>
  <c r="AB22" i="135"/>
  <c r="AC22" i="135"/>
  <c r="AD22" i="135"/>
  <c r="Y21" i="135"/>
  <c r="Q22" i="135"/>
  <c r="T22" i="135" s="1"/>
  <c r="O22" i="135"/>
  <c r="M22" i="135"/>
  <c r="L22" i="135"/>
  <c r="K22" i="135"/>
  <c r="A23" i="135"/>
  <c r="R22" i="135"/>
  <c r="P22" i="135"/>
  <c r="N22" i="135"/>
  <c r="D22" i="135"/>
  <c r="H22" i="135"/>
  <c r="I22" i="135"/>
  <c r="A23" i="136"/>
  <c r="P22" i="136"/>
  <c r="Q22" i="136"/>
  <c r="D22" i="136"/>
  <c r="O22" i="136"/>
  <c r="L22" i="136"/>
  <c r="R22" i="136"/>
  <c r="N22" i="136"/>
  <c r="M22" i="136"/>
  <c r="I22" i="136"/>
  <c r="K22" i="136"/>
  <c r="H22" i="136"/>
  <c r="Z20" i="136"/>
  <c r="AA20" i="136"/>
  <c r="T22" i="136"/>
  <c r="Y21" i="136"/>
  <c r="C23" i="136" l="1"/>
  <c r="B23" i="136"/>
  <c r="C23" i="135"/>
  <c r="B23" i="135"/>
  <c r="S22" i="136"/>
  <c r="J22" i="136"/>
  <c r="W22" i="136" s="1"/>
  <c r="AA22" i="135"/>
  <c r="S22" i="135"/>
  <c r="J22" i="135"/>
  <c r="W22" i="135" s="1"/>
  <c r="E125" i="138"/>
  <c r="F125" i="138"/>
  <c r="G125" i="138"/>
  <c r="Z21" i="135"/>
  <c r="AC23" i="136"/>
  <c r="AB23" i="136"/>
  <c r="AD23" i="136"/>
  <c r="AD23" i="135"/>
  <c r="AB23" i="135"/>
  <c r="AC23" i="135"/>
  <c r="X21" i="135"/>
  <c r="Y22" i="135"/>
  <c r="X22" i="135" s="1"/>
  <c r="Q23" i="135"/>
  <c r="T23" i="135" s="1"/>
  <c r="O23" i="135"/>
  <c r="M23" i="135"/>
  <c r="H23" i="135"/>
  <c r="K23" i="135"/>
  <c r="A24" i="135"/>
  <c r="R23" i="135"/>
  <c r="P23" i="135"/>
  <c r="N23" i="135"/>
  <c r="D23" i="135"/>
  <c r="L23" i="135"/>
  <c r="I23" i="135"/>
  <c r="A24" i="136"/>
  <c r="O23" i="136"/>
  <c r="D23" i="136"/>
  <c r="I23" i="136"/>
  <c r="N23" i="136"/>
  <c r="K23" i="136"/>
  <c r="H23" i="136"/>
  <c r="Q23" i="136"/>
  <c r="T23" i="136" s="1"/>
  <c r="M23" i="136"/>
  <c r="P23" i="136"/>
  <c r="R23" i="136"/>
  <c r="L23" i="136"/>
  <c r="Z21" i="136"/>
  <c r="AA21" i="136"/>
  <c r="X21" i="136"/>
  <c r="Y22" i="136"/>
  <c r="C24" i="136" l="1"/>
  <c r="B24" i="136"/>
  <c r="C24" i="135"/>
  <c r="B24" i="135"/>
  <c r="J23" i="136"/>
  <c r="W23" i="136" s="1"/>
  <c r="S23" i="136"/>
  <c r="S23" i="135"/>
  <c r="AA23" i="135" s="1"/>
  <c r="J23" i="135"/>
  <c r="W23" i="135" s="1"/>
  <c r="E126" i="138"/>
  <c r="G126" i="138"/>
  <c r="F126" i="138"/>
  <c r="Z22" i="135"/>
  <c r="AD24" i="136"/>
  <c r="AC24" i="136"/>
  <c r="AB24" i="136"/>
  <c r="AC24" i="135"/>
  <c r="AB24" i="135"/>
  <c r="AD24" i="135"/>
  <c r="Y23" i="135"/>
  <c r="A25" i="135"/>
  <c r="O24" i="135"/>
  <c r="M24" i="135"/>
  <c r="Q24" i="135"/>
  <c r="T24" i="135" s="1"/>
  <c r="L24" i="135"/>
  <c r="H24" i="135"/>
  <c r="P24" i="135"/>
  <c r="N24" i="135"/>
  <c r="D24" i="135"/>
  <c r="R24" i="135"/>
  <c r="I24" i="135"/>
  <c r="K24" i="135"/>
  <c r="M24" i="136"/>
  <c r="O24" i="136"/>
  <c r="D24" i="136"/>
  <c r="N24" i="136"/>
  <c r="K24" i="136"/>
  <c r="L24" i="136"/>
  <c r="H24" i="136"/>
  <c r="A25" i="136"/>
  <c r="Q24" i="136"/>
  <c r="R24" i="136"/>
  <c r="P24" i="136"/>
  <c r="I24" i="136"/>
  <c r="Z22" i="136"/>
  <c r="AA22" i="136"/>
  <c r="X22" i="136"/>
  <c r="X23" i="135"/>
  <c r="T24" i="136"/>
  <c r="Y23" i="136"/>
  <c r="C25" i="136" l="1"/>
  <c r="B25" i="136"/>
  <c r="Y24" i="135"/>
  <c r="Z24" i="135" s="1"/>
  <c r="C25" i="135"/>
  <c r="B25" i="135"/>
  <c r="S24" i="136"/>
  <c r="J24" i="136"/>
  <c r="W24" i="136" s="1"/>
  <c r="AA24" i="135"/>
  <c r="S24" i="135"/>
  <c r="J24" i="135"/>
  <c r="W24" i="135" s="1"/>
  <c r="E127" i="138"/>
  <c r="G127" i="138"/>
  <c r="F127" i="138"/>
  <c r="Z23" i="135"/>
  <c r="AC25" i="136"/>
  <c r="AB25" i="136"/>
  <c r="AD25" i="136"/>
  <c r="AB25" i="135"/>
  <c r="AD25" i="135"/>
  <c r="AC25" i="135"/>
  <c r="R25" i="135"/>
  <c r="A26" i="135"/>
  <c r="O25" i="135"/>
  <c r="M25" i="135"/>
  <c r="L25" i="135"/>
  <c r="K25" i="135"/>
  <c r="I25" i="135"/>
  <c r="Q25" i="135"/>
  <c r="T25" i="135" s="1"/>
  <c r="P25" i="135"/>
  <c r="N25" i="135"/>
  <c r="D25" i="135"/>
  <c r="H25" i="135"/>
  <c r="A26" i="136"/>
  <c r="P25" i="136"/>
  <c r="I25" i="136"/>
  <c r="M25" i="136"/>
  <c r="O25" i="136"/>
  <c r="L25" i="136"/>
  <c r="R25" i="136"/>
  <c r="N25" i="136"/>
  <c r="Q25" i="136"/>
  <c r="T25" i="136" s="1"/>
  <c r="D25" i="136"/>
  <c r="K25" i="136"/>
  <c r="H25" i="136"/>
  <c r="Z23" i="136"/>
  <c r="AA23" i="136"/>
  <c r="X23" i="136"/>
  <c r="Y24" i="136"/>
  <c r="C26" i="136" l="1"/>
  <c r="B26" i="136"/>
  <c r="X24" i="135"/>
  <c r="Y25" i="135"/>
  <c r="Z25" i="135" s="1"/>
  <c r="C26" i="135"/>
  <c r="B26" i="135"/>
  <c r="S25" i="136"/>
  <c r="J25" i="136"/>
  <c r="W25" i="136" s="1"/>
  <c r="AA25" i="135"/>
  <c r="S25" i="135"/>
  <c r="J25" i="135"/>
  <c r="W25" i="135" s="1"/>
  <c r="E128" i="138"/>
  <c r="G128" i="138"/>
  <c r="F128" i="138"/>
  <c r="AD26" i="136"/>
  <c r="AB26" i="136"/>
  <c r="AC26" i="136"/>
  <c r="AC26" i="135"/>
  <c r="AB26" i="135"/>
  <c r="AD26" i="135"/>
  <c r="Q26" i="135"/>
  <c r="T26" i="135" s="1"/>
  <c r="O26" i="135"/>
  <c r="M26" i="135"/>
  <c r="L26" i="135"/>
  <c r="K26" i="135"/>
  <c r="A27" i="135"/>
  <c r="R26" i="135"/>
  <c r="P26" i="135"/>
  <c r="N26" i="135"/>
  <c r="D26" i="135"/>
  <c r="H26" i="135"/>
  <c r="I26" i="135"/>
  <c r="A27" i="136"/>
  <c r="P26" i="136"/>
  <c r="D26" i="136"/>
  <c r="L26" i="136"/>
  <c r="R26" i="136"/>
  <c r="N26" i="136"/>
  <c r="M26" i="136"/>
  <c r="I26" i="136"/>
  <c r="K26" i="136"/>
  <c r="H26" i="136"/>
  <c r="Q26" i="136"/>
  <c r="T26" i="136" s="1"/>
  <c r="O26" i="136"/>
  <c r="Z24" i="136"/>
  <c r="AA24" i="136"/>
  <c r="X24" i="136"/>
  <c r="Y25" i="136"/>
  <c r="C27" i="136" l="1"/>
  <c r="B27" i="136"/>
  <c r="X25" i="135"/>
  <c r="B27" i="135"/>
  <c r="C27" i="135"/>
  <c r="S26" i="136"/>
  <c r="J26" i="136"/>
  <c r="W26" i="136" s="1"/>
  <c r="AA26" i="135"/>
  <c r="S26" i="135"/>
  <c r="J26" i="135"/>
  <c r="W26" i="135" s="1"/>
  <c r="E129" i="138"/>
  <c r="G129" i="138"/>
  <c r="F129" i="138"/>
  <c r="AD27" i="136"/>
  <c r="AB27" i="136"/>
  <c r="AC27" i="136"/>
  <c r="AC27" i="135"/>
  <c r="AB27" i="135"/>
  <c r="AD27" i="135"/>
  <c r="Y26" i="135"/>
  <c r="Q27" i="135"/>
  <c r="T27" i="135" s="1"/>
  <c r="O27" i="135"/>
  <c r="M27" i="135"/>
  <c r="I27" i="135"/>
  <c r="L27" i="135"/>
  <c r="A28" i="135"/>
  <c r="R27" i="135"/>
  <c r="P27" i="135"/>
  <c r="N27" i="135"/>
  <c r="D27" i="135"/>
  <c r="K27" i="135"/>
  <c r="H27" i="135"/>
  <c r="O27" i="136"/>
  <c r="D27" i="136"/>
  <c r="I27" i="136"/>
  <c r="N27" i="136"/>
  <c r="K27" i="136"/>
  <c r="H27" i="136"/>
  <c r="A28" i="136"/>
  <c r="Q27" i="136"/>
  <c r="T27" i="136" s="1"/>
  <c r="M27" i="136"/>
  <c r="P27" i="136"/>
  <c r="R27" i="136"/>
  <c r="L27" i="136"/>
  <c r="Z25" i="136"/>
  <c r="AA25" i="136"/>
  <c r="X25" i="136"/>
  <c r="Y26" i="136"/>
  <c r="C28" i="136" l="1"/>
  <c r="B28" i="136"/>
  <c r="C28" i="135"/>
  <c r="B28" i="135"/>
  <c r="J27" i="136"/>
  <c r="W27" i="136" s="1"/>
  <c r="S27" i="136"/>
  <c r="AA27" i="135"/>
  <c r="S27" i="135"/>
  <c r="J27" i="135"/>
  <c r="W27" i="135" s="1"/>
  <c r="Y27" i="135"/>
  <c r="X27" i="135" s="1"/>
  <c r="E130" i="138"/>
  <c r="X26" i="136"/>
  <c r="G130" i="138"/>
  <c r="F130" i="138"/>
  <c r="Z26" i="135"/>
  <c r="AD28" i="136"/>
  <c r="AB28" i="136"/>
  <c r="AC28" i="136"/>
  <c r="AC28" i="135"/>
  <c r="AD28" i="135"/>
  <c r="AB28" i="135"/>
  <c r="X26" i="135"/>
  <c r="Q28" i="135"/>
  <c r="T28" i="135" s="1"/>
  <c r="O28" i="135"/>
  <c r="M28" i="135"/>
  <c r="I28" i="135"/>
  <c r="K28" i="135"/>
  <c r="A29" i="135"/>
  <c r="R28" i="135"/>
  <c r="P28" i="135"/>
  <c r="N28" i="135"/>
  <c r="D28" i="135"/>
  <c r="L28" i="135"/>
  <c r="H28" i="135"/>
  <c r="A29" i="136"/>
  <c r="Q28" i="136"/>
  <c r="T28" i="136" s="1"/>
  <c r="M28" i="136"/>
  <c r="R28" i="136"/>
  <c r="P28" i="136"/>
  <c r="I28" i="136"/>
  <c r="O28" i="136"/>
  <c r="D28" i="136"/>
  <c r="N28" i="136"/>
  <c r="L28" i="136"/>
  <c r="H28" i="136"/>
  <c r="K28" i="136"/>
  <c r="Z26" i="136"/>
  <c r="AA26" i="136"/>
  <c r="E131" i="138" s="1"/>
  <c r="Y27" i="136"/>
  <c r="C29" i="136" l="1"/>
  <c r="B29" i="136"/>
  <c r="C29" i="135"/>
  <c r="B29" i="135"/>
  <c r="AA28" i="135"/>
  <c r="S28" i="135"/>
  <c r="J28" i="135"/>
  <c r="W28" i="135" s="1"/>
  <c r="S28" i="136"/>
  <c r="J28" i="136"/>
  <c r="W28" i="136" s="1"/>
  <c r="Z27" i="135"/>
  <c r="F131" i="138"/>
  <c r="G131" i="138"/>
  <c r="AD29" i="136"/>
  <c r="AB29" i="136"/>
  <c r="AC29" i="136"/>
  <c r="AB29" i="135"/>
  <c r="AC29" i="135"/>
  <c r="AD29" i="135"/>
  <c r="Y28" i="135"/>
  <c r="Q29" i="135"/>
  <c r="T29" i="135" s="1"/>
  <c r="O29" i="135"/>
  <c r="M29" i="135"/>
  <c r="A30" i="135"/>
  <c r="I29" i="135"/>
  <c r="R29" i="135"/>
  <c r="P29" i="135"/>
  <c r="N29" i="135"/>
  <c r="D29" i="135"/>
  <c r="L29" i="135"/>
  <c r="H29" i="135"/>
  <c r="K29" i="135"/>
  <c r="R29" i="136"/>
  <c r="N29" i="136"/>
  <c r="A30" i="136"/>
  <c r="M29" i="136"/>
  <c r="O29" i="136"/>
  <c r="L29" i="136"/>
  <c r="H29" i="136"/>
  <c r="P29" i="136"/>
  <c r="I29" i="136"/>
  <c r="Q29" i="136"/>
  <c r="T29" i="136" s="1"/>
  <c r="D29" i="136"/>
  <c r="K29" i="136"/>
  <c r="Z27" i="136"/>
  <c r="AA27" i="136"/>
  <c r="E132" i="138" s="1"/>
  <c r="X27" i="136"/>
  <c r="Y28" i="136"/>
  <c r="C30" i="136" l="1"/>
  <c r="B30" i="136"/>
  <c r="C30" i="135"/>
  <c r="B30" i="135"/>
  <c r="AA29" i="135"/>
  <c r="S29" i="135"/>
  <c r="J29" i="135"/>
  <c r="W29" i="135" s="1"/>
  <c r="S29" i="136"/>
  <c r="J29" i="136"/>
  <c r="W29" i="136" s="1"/>
  <c r="G132" i="138"/>
  <c r="F132" i="138"/>
  <c r="Z28" i="135"/>
  <c r="AB30" i="136"/>
  <c r="AD30" i="136"/>
  <c r="AC30" i="136"/>
  <c r="X28" i="135"/>
  <c r="AB30" i="135"/>
  <c r="AC30" i="135"/>
  <c r="AD30" i="135"/>
  <c r="Y29" i="135"/>
  <c r="X29" i="135" s="1"/>
  <c r="Q30" i="135"/>
  <c r="T30" i="135" s="1"/>
  <c r="O30" i="135"/>
  <c r="M30" i="135"/>
  <c r="L30" i="135"/>
  <c r="K30" i="135"/>
  <c r="A31" i="135"/>
  <c r="R30" i="135"/>
  <c r="P30" i="135"/>
  <c r="N30" i="135"/>
  <c r="D30" i="135"/>
  <c r="H30" i="135"/>
  <c r="I30" i="135"/>
  <c r="A31" i="136"/>
  <c r="P30" i="136"/>
  <c r="Q30" i="136"/>
  <c r="T30" i="136" s="1"/>
  <c r="D30" i="136"/>
  <c r="O30" i="136"/>
  <c r="L30" i="136"/>
  <c r="R30" i="136"/>
  <c r="N30" i="136"/>
  <c r="M30" i="136"/>
  <c r="I30" i="136"/>
  <c r="K30" i="136"/>
  <c r="H30" i="136"/>
  <c r="Z28" i="136"/>
  <c r="AA28" i="136"/>
  <c r="X28" i="136"/>
  <c r="Y29" i="136"/>
  <c r="C31" i="136" l="1"/>
  <c r="B31" i="136"/>
  <c r="B31" i="135"/>
  <c r="C31" i="135"/>
  <c r="AA30" i="135"/>
  <c r="S30" i="135"/>
  <c r="J30" i="135"/>
  <c r="W30" i="135" s="1"/>
  <c r="S30" i="136"/>
  <c r="J30" i="136"/>
  <c r="W30" i="136" s="1"/>
  <c r="E133" i="138"/>
  <c r="G133" i="138"/>
  <c r="F133" i="138"/>
  <c r="Y30" i="135"/>
  <c r="X30" i="135" s="1"/>
  <c r="Z29" i="135"/>
  <c r="AD31" i="136"/>
  <c r="AB31" i="136"/>
  <c r="AC31" i="136"/>
  <c r="AD31" i="135"/>
  <c r="AB31" i="135"/>
  <c r="AC31" i="135"/>
  <c r="A32" i="135"/>
  <c r="R31" i="135"/>
  <c r="P31" i="135"/>
  <c r="N31" i="135"/>
  <c r="D31" i="135"/>
  <c r="L31" i="135"/>
  <c r="I31" i="135"/>
  <c r="Q31" i="135"/>
  <c r="T31" i="135" s="1"/>
  <c r="O31" i="135"/>
  <c r="M31" i="135"/>
  <c r="H31" i="135"/>
  <c r="K31" i="135"/>
  <c r="A32" i="136"/>
  <c r="Q31" i="136"/>
  <c r="M31" i="136"/>
  <c r="P31" i="136"/>
  <c r="R31" i="136"/>
  <c r="L31" i="136"/>
  <c r="O31" i="136"/>
  <c r="D31" i="136"/>
  <c r="I31" i="136"/>
  <c r="N31" i="136"/>
  <c r="K31" i="136"/>
  <c r="H31" i="136"/>
  <c r="Z29" i="136"/>
  <c r="AA29" i="136"/>
  <c r="X29" i="136"/>
  <c r="T31" i="136"/>
  <c r="Y30" i="136"/>
  <c r="C32" i="136" l="1"/>
  <c r="B32" i="136"/>
  <c r="C32" i="135"/>
  <c r="B32" i="135"/>
  <c r="AA31" i="135"/>
  <c r="S31" i="135"/>
  <c r="J31" i="135"/>
  <c r="W31" i="135" s="1"/>
  <c r="J31" i="136"/>
  <c r="W31" i="136" s="1"/>
  <c r="S31" i="136"/>
  <c r="E134" i="138"/>
  <c r="G134" i="138"/>
  <c r="F134" i="138"/>
  <c r="Z30" i="135"/>
  <c r="AD32" i="136"/>
  <c r="AB32" i="136"/>
  <c r="AC32" i="136"/>
  <c r="AC32" i="135"/>
  <c r="AB32" i="135"/>
  <c r="AD32" i="135"/>
  <c r="Y31" i="135"/>
  <c r="P32" i="135"/>
  <c r="N32" i="135"/>
  <c r="D32" i="135"/>
  <c r="R32" i="135"/>
  <c r="I32" i="135"/>
  <c r="K32" i="135"/>
  <c r="A33" i="135"/>
  <c r="O32" i="135"/>
  <c r="M32" i="135"/>
  <c r="Q32" i="135"/>
  <c r="T32" i="135" s="1"/>
  <c r="L32" i="135"/>
  <c r="H32" i="135"/>
  <c r="O32" i="136"/>
  <c r="D32" i="136"/>
  <c r="N32" i="136"/>
  <c r="K32" i="136"/>
  <c r="L32" i="136"/>
  <c r="H32" i="136"/>
  <c r="A33" i="136"/>
  <c r="Q32" i="136"/>
  <c r="T32" i="136" s="1"/>
  <c r="M32" i="136"/>
  <c r="R32" i="136"/>
  <c r="P32" i="136"/>
  <c r="I32" i="136"/>
  <c r="Z30" i="136"/>
  <c r="AA30" i="136"/>
  <c r="E135" i="138" s="1"/>
  <c r="X30" i="136"/>
  <c r="X31" i="135"/>
  <c r="Y31" i="136"/>
  <c r="C33" i="136" l="1"/>
  <c r="B33" i="136"/>
  <c r="C33" i="135"/>
  <c r="B33" i="135"/>
  <c r="S32" i="136"/>
  <c r="J32" i="136"/>
  <c r="W32" i="136" s="1"/>
  <c r="AA32" i="135"/>
  <c r="S32" i="135"/>
  <c r="J32" i="135"/>
  <c r="W32" i="135" s="1"/>
  <c r="G135" i="138"/>
  <c r="F135" i="138"/>
  <c r="Z31" i="135"/>
  <c r="AB33" i="136"/>
  <c r="AC33" i="136"/>
  <c r="AD33" i="136"/>
  <c r="AD33" i="135"/>
  <c r="AB33" i="135"/>
  <c r="AC33" i="135"/>
  <c r="Y32" i="135"/>
  <c r="X32" i="135" s="1"/>
  <c r="Q33" i="135"/>
  <c r="T33" i="135" s="1"/>
  <c r="P33" i="135"/>
  <c r="N33" i="135"/>
  <c r="D33" i="135"/>
  <c r="H33" i="135"/>
  <c r="R33" i="135"/>
  <c r="A34" i="135"/>
  <c r="O33" i="135"/>
  <c r="M33" i="135"/>
  <c r="L33" i="135"/>
  <c r="I33" i="135"/>
  <c r="K33" i="135"/>
  <c r="A34" i="136"/>
  <c r="P33" i="136"/>
  <c r="I33" i="136"/>
  <c r="M33" i="136"/>
  <c r="O33" i="136"/>
  <c r="L33" i="136"/>
  <c r="R33" i="136"/>
  <c r="N33" i="136"/>
  <c r="Q33" i="136"/>
  <c r="T33" i="136" s="1"/>
  <c r="D33" i="136"/>
  <c r="K33" i="136"/>
  <c r="H33" i="136"/>
  <c r="Z31" i="136"/>
  <c r="AA31" i="136"/>
  <c r="X31" i="136"/>
  <c r="Y32" i="136"/>
  <c r="C34" i="136" l="1"/>
  <c r="B34" i="136"/>
  <c r="C34" i="135"/>
  <c r="B34" i="135"/>
  <c r="S33" i="136"/>
  <c r="J33" i="136"/>
  <c r="W33" i="136" s="1"/>
  <c r="AA33" i="135"/>
  <c r="S33" i="135"/>
  <c r="J33" i="135"/>
  <c r="W33" i="135" s="1"/>
  <c r="E136" i="138"/>
  <c r="G136" i="138"/>
  <c r="F136" i="138"/>
  <c r="Z32" i="135"/>
  <c r="AD34" i="136"/>
  <c r="AB34" i="136"/>
  <c r="AC34" i="136"/>
  <c r="AB34" i="135"/>
  <c r="AC34" i="135"/>
  <c r="AD34" i="135"/>
  <c r="Y33" i="135"/>
  <c r="Q34" i="135"/>
  <c r="T34" i="135" s="1"/>
  <c r="O34" i="135"/>
  <c r="M34" i="135"/>
  <c r="L34" i="135"/>
  <c r="K34" i="135"/>
  <c r="A35" i="135"/>
  <c r="R34" i="135"/>
  <c r="P34" i="135"/>
  <c r="N34" i="135"/>
  <c r="D34" i="135"/>
  <c r="H34" i="135"/>
  <c r="I34" i="135"/>
  <c r="A35" i="136"/>
  <c r="P34" i="136"/>
  <c r="Q34" i="136"/>
  <c r="D34" i="136"/>
  <c r="O34" i="136"/>
  <c r="L34" i="136"/>
  <c r="R34" i="136"/>
  <c r="N34" i="136"/>
  <c r="M34" i="136"/>
  <c r="I34" i="136"/>
  <c r="K34" i="136"/>
  <c r="H34" i="136"/>
  <c r="Z32" i="136"/>
  <c r="AA32" i="136"/>
  <c r="E137" i="138" s="1"/>
  <c r="X32" i="136"/>
  <c r="X33" i="135"/>
  <c r="T34" i="136"/>
  <c r="Y33" i="136"/>
  <c r="C35" i="136" l="1"/>
  <c r="B35" i="136"/>
  <c r="B35" i="135"/>
  <c r="C35" i="135"/>
  <c r="S34" i="136"/>
  <c r="J34" i="136"/>
  <c r="W34" i="136" s="1"/>
  <c r="AA34" i="135"/>
  <c r="S34" i="135"/>
  <c r="J34" i="135"/>
  <c r="W34" i="135" s="1"/>
  <c r="G137" i="138"/>
  <c r="F137" i="138"/>
  <c r="Z33" i="135"/>
  <c r="AC35" i="136"/>
  <c r="AB35" i="136"/>
  <c r="AD35" i="136"/>
  <c r="AC35" i="135"/>
  <c r="AD35" i="135"/>
  <c r="AB35" i="135"/>
  <c r="Y34" i="135"/>
  <c r="Q35" i="135"/>
  <c r="T35" i="135" s="1"/>
  <c r="O35" i="135"/>
  <c r="M35" i="135"/>
  <c r="I35" i="135"/>
  <c r="L35" i="135"/>
  <c r="A36" i="135"/>
  <c r="R35" i="135"/>
  <c r="P35" i="135"/>
  <c r="N35" i="135"/>
  <c r="D35" i="135"/>
  <c r="K35" i="135"/>
  <c r="H35" i="135"/>
  <c r="A36" i="136"/>
  <c r="Q35" i="136"/>
  <c r="T35" i="136" s="1"/>
  <c r="M35" i="136"/>
  <c r="P35" i="136"/>
  <c r="R35" i="136"/>
  <c r="L35" i="136"/>
  <c r="O35" i="136"/>
  <c r="D35" i="136"/>
  <c r="I35" i="136"/>
  <c r="N35" i="136"/>
  <c r="K35" i="136"/>
  <c r="H35" i="136"/>
  <c r="Z33" i="136"/>
  <c r="AA33" i="136"/>
  <c r="X33" i="136"/>
  <c r="Y34" i="136"/>
  <c r="C36" i="136" l="1"/>
  <c r="B36" i="136"/>
  <c r="C36" i="135"/>
  <c r="B36" i="135"/>
  <c r="J35" i="136"/>
  <c r="W35" i="136" s="1"/>
  <c r="S35" i="136"/>
  <c r="AA35" i="135"/>
  <c r="S35" i="135"/>
  <c r="J35" i="135"/>
  <c r="W35" i="135" s="1"/>
  <c r="E138" i="138"/>
  <c r="X34" i="136"/>
  <c r="G138" i="138"/>
  <c r="F138" i="138"/>
  <c r="Z34" i="135"/>
  <c r="AD36" i="136"/>
  <c r="AB36" i="136"/>
  <c r="AC36" i="136"/>
  <c r="AC36" i="135"/>
  <c r="AD36" i="135"/>
  <c r="AB36" i="135"/>
  <c r="X34" i="135"/>
  <c r="Y35" i="135"/>
  <c r="Q36" i="135"/>
  <c r="T36" i="135" s="1"/>
  <c r="O36" i="135"/>
  <c r="M36" i="135"/>
  <c r="I36" i="135"/>
  <c r="K36" i="135"/>
  <c r="A37" i="135"/>
  <c r="R36" i="135"/>
  <c r="P36" i="135"/>
  <c r="N36" i="135"/>
  <c r="D36" i="135"/>
  <c r="L36" i="135"/>
  <c r="H36" i="135"/>
  <c r="A37" i="136"/>
  <c r="Q36" i="136"/>
  <c r="T36" i="136" s="1"/>
  <c r="M36" i="136"/>
  <c r="R36" i="136"/>
  <c r="P36" i="136"/>
  <c r="I36" i="136"/>
  <c r="O36" i="136"/>
  <c r="D36" i="136"/>
  <c r="N36" i="136"/>
  <c r="K36" i="136"/>
  <c r="L36" i="136"/>
  <c r="H36" i="136"/>
  <c r="Z34" i="136"/>
  <c r="AA34" i="136"/>
  <c r="Y35" i="136"/>
  <c r="C37" i="136" l="1"/>
  <c r="B37" i="136"/>
  <c r="C37" i="135"/>
  <c r="B37" i="135"/>
  <c r="S36" i="136"/>
  <c r="J36" i="136"/>
  <c r="W36" i="136" s="1"/>
  <c r="AA36" i="135"/>
  <c r="S36" i="135"/>
  <c r="J36" i="135"/>
  <c r="W36" i="135" s="1"/>
  <c r="X35" i="135"/>
  <c r="E139" i="138"/>
  <c r="F139" i="138"/>
  <c r="G139" i="138"/>
  <c r="Z35" i="135"/>
  <c r="AD37" i="136"/>
  <c r="AB37" i="136"/>
  <c r="AC37" i="136"/>
  <c r="AB37" i="135"/>
  <c r="AC37" i="135"/>
  <c r="AD37" i="135"/>
  <c r="Y36" i="135"/>
  <c r="R37" i="135"/>
  <c r="P37" i="135"/>
  <c r="N37" i="135"/>
  <c r="D37" i="135"/>
  <c r="L37" i="135"/>
  <c r="H37" i="135"/>
  <c r="K37" i="135"/>
  <c r="Q37" i="135"/>
  <c r="T37" i="135" s="1"/>
  <c r="O37" i="135"/>
  <c r="M37" i="135"/>
  <c r="A38" i="135"/>
  <c r="I37" i="135"/>
  <c r="R37" i="136"/>
  <c r="N37" i="136"/>
  <c r="Q37" i="136"/>
  <c r="T37" i="136" s="1"/>
  <c r="A38" i="136"/>
  <c r="O37" i="136"/>
  <c r="L37" i="136"/>
  <c r="P37" i="136"/>
  <c r="I37" i="136"/>
  <c r="M37" i="136"/>
  <c r="D37" i="136"/>
  <c r="K37" i="136"/>
  <c r="H37" i="136"/>
  <c r="Z35" i="136"/>
  <c r="AA35" i="136"/>
  <c r="X35" i="136"/>
  <c r="Y36" i="136"/>
  <c r="C38" i="136" l="1"/>
  <c r="B38" i="136"/>
  <c r="C38" i="135"/>
  <c r="B38" i="135"/>
  <c r="S37" i="135"/>
  <c r="AA37" i="135" s="1"/>
  <c r="J37" i="135"/>
  <c r="W37" i="135" s="1"/>
  <c r="S37" i="136"/>
  <c r="J37" i="136"/>
  <c r="W37" i="136" s="1"/>
  <c r="E140" i="138"/>
  <c r="X36" i="136"/>
  <c r="G140" i="138"/>
  <c r="F140" i="138"/>
  <c r="Z36" i="135"/>
  <c r="AD38" i="136"/>
  <c r="AC38" i="136"/>
  <c r="AB38" i="136"/>
  <c r="AB38" i="135"/>
  <c r="AC38" i="135"/>
  <c r="AD38" i="135"/>
  <c r="X36" i="135"/>
  <c r="Y37" i="135"/>
  <c r="X37" i="135" s="1"/>
  <c r="A39" i="135"/>
  <c r="R38" i="135"/>
  <c r="P38" i="135"/>
  <c r="N38" i="135"/>
  <c r="D38" i="135"/>
  <c r="H38" i="135"/>
  <c r="I38" i="135"/>
  <c r="Q38" i="135"/>
  <c r="T38" i="135" s="1"/>
  <c r="O38" i="135"/>
  <c r="M38" i="135"/>
  <c r="L38" i="135"/>
  <c r="K38" i="135"/>
  <c r="A39" i="136"/>
  <c r="P38" i="136"/>
  <c r="Q38" i="136"/>
  <c r="T38" i="136" s="1"/>
  <c r="D38" i="136"/>
  <c r="O38" i="136"/>
  <c r="L38" i="136"/>
  <c r="R38" i="136"/>
  <c r="N38" i="136"/>
  <c r="M38" i="136"/>
  <c r="I38" i="136"/>
  <c r="K38" i="136"/>
  <c r="H38" i="136"/>
  <c r="Z36" i="136"/>
  <c r="AA36" i="136"/>
  <c r="E141" i="138" s="1"/>
  <c r="Y37" i="136"/>
  <c r="C39" i="136" l="1"/>
  <c r="B39" i="136"/>
  <c r="B39" i="135"/>
  <c r="C39" i="135"/>
  <c r="S38" i="136"/>
  <c r="J38" i="136"/>
  <c r="W38" i="136" s="1"/>
  <c r="AA38" i="135"/>
  <c r="S38" i="135"/>
  <c r="J38" i="135"/>
  <c r="W38" i="135" s="1"/>
  <c r="F141" i="138"/>
  <c r="G141" i="138"/>
  <c r="Z37" i="135"/>
  <c r="AC39" i="136"/>
  <c r="AD39" i="136"/>
  <c r="AB39" i="136"/>
  <c r="AD39" i="135"/>
  <c r="AB39" i="135"/>
  <c r="AC39" i="135"/>
  <c r="Y38" i="135"/>
  <c r="Q39" i="135"/>
  <c r="T39" i="135" s="1"/>
  <c r="O39" i="135"/>
  <c r="M39" i="135"/>
  <c r="H39" i="135"/>
  <c r="K39" i="135"/>
  <c r="A40" i="135"/>
  <c r="R39" i="135"/>
  <c r="P39" i="135"/>
  <c r="N39" i="135"/>
  <c r="D39" i="135"/>
  <c r="L39" i="135"/>
  <c r="I39" i="135"/>
  <c r="A40" i="136"/>
  <c r="Q39" i="136"/>
  <c r="T39" i="136" s="1"/>
  <c r="M39" i="136"/>
  <c r="P39" i="136"/>
  <c r="R39" i="136"/>
  <c r="L39" i="136"/>
  <c r="O39" i="136"/>
  <c r="D39" i="136"/>
  <c r="I39" i="136"/>
  <c r="N39" i="136"/>
  <c r="K39" i="136"/>
  <c r="H39" i="136"/>
  <c r="Z37" i="136"/>
  <c r="AA37" i="136"/>
  <c r="X37" i="136"/>
  <c r="Y38" i="136"/>
  <c r="C40" i="136" l="1"/>
  <c r="B40" i="136"/>
  <c r="C40" i="135"/>
  <c r="B40" i="135"/>
  <c r="J39" i="136"/>
  <c r="W39" i="136" s="1"/>
  <c r="S39" i="136"/>
  <c r="AA39" i="135"/>
  <c r="S39" i="135"/>
  <c r="J39" i="135"/>
  <c r="W39" i="135" s="1"/>
  <c r="E142" i="138"/>
  <c r="X38" i="136"/>
  <c r="G142" i="138"/>
  <c r="F142" i="138"/>
  <c r="Z38" i="135"/>
  <c r="AD40" i="136"/>
  <c r="AB40" i="136"/>
  <c r="AC40" i="136"/>
  <c r="AC40" i="135"/>
  <c r="AB40" i="135"/>
  <c r="AD40" i="135"/>
  <c r="X38" i="135"/>
  <c r="Y39" i="135"/>
  <c r="A41" i="135"/>
  <c r="O40" i="135"/>
  <c r="M40" i="135"/>
  <c r="Q40" i="135"/>
  <c r="T40" i="135" s="1"/>
  <c r="L40" i="135"/>
  <c r="H40" i="135"/>
  <c r="P40" i="135"/>
  <c r="N40" i="135"/>
  <c r="D40" i="135"/>
  <c r="R40" i="135"/>
  <c r="I40" i="135"/>
  <c r="K40" i="135"/>
  <c r="O40" i="136"/>
  <c r="D40" i="136"/>
  <c r="N40" i="136"/>
  <c r="L40" i="136"/>
  <c r="I40" i="136"/>
  <c r="A41" i="136"/>
  <c r="Q40" i="136"/>
  <c r="M40" i="136"/>
  <c r="R40" i="136"/>
  <c r="P40" i="136"/>
  <c r="H40" i="136"/>
  <c r="K40" i="136"/>
  <c r="Z38" i="136"/>
  <c r="AA38" i="136"/>
  <c r="E143" i="138" s="1"/>
  <c r="T40" i="136"/>
  <c r="Y39" i="136"/>
  <c r="C41" i="136" l="1"/>
  <c r="B41" i="136"/>
  <c r="C41" i="135"/>
  <c r="B41" i="135"/>
  <c r="S40" i="136"/>
  <c r="J40" i="136"/>
  <c r="W40" i="136" s="1"/>
  <c r="AA40" i="135"/>
  <c r="S40" i="135"/>
  <c r="J40" i="135"/>
  <c r="W40" i="135" s="1"/>
  <c r="X39" i="135"/>
  <c r="X39" i="136"/>
  <c r="F143" i="138"/>
  <c r="G143" i="138"/>
  <c r="Z39" i="135"/>
  <c r="AD41" i="136"/>
  <c r="AB41" i="136"/>
  <c r="AC41" i="136"/>
  <c r="AD41" i="135"/>
  <c r="AB41" i="135"/>
  <c r="AC41" i="135"/>
  <c r="Y40" i="135"/>
  <c r="Q41" i="135"/>
  <c r="T41" i="135" s="1"/>
  <c r="P41" i="135"/>
  <c r="N41" i="135"/>
  <c r="D41" i="135"/>
  <c r="H41" i="135"/>
  <c r="R41" i="135"/>
  <c r="A42" i="135"/>
  <c r="O41" i="135"/>
  <c r="M41" i="135"/>
  <c r="L41" i="135"/>
  <c r="K41" i="135"/>
  <c r="I41" i="135"/>
  <c r="A42" i="136"/>
  <c r="Q41" i="136"/>
  <c r="T41" i="136" s="1"/>
  <c r="M41" i="136"/>
  <c r="P41" i="136"/>
  <c r="N41" i="136"/>
  <c r="L41" i="136"/>
  <c r="I41" i="136"/>
  <c r="O41" i="136"/>
  <c r="D41" i="136"/>
  <c r="R41" i="136"/>
  <c r="K41" i="136"/>
  <c r="H41" i="136"/>
  <c r="Z39" i="136"/>
  <c r="AA39" i="136"/>
  <c r="E144" i="138" s="1"/>
  <c r="Y40" i="136"/>
  <c r="C42" i="136" l="1"/>
  <c r="B42" i="136"/>
  <c r="C42" i="135"/>
  <c r="B42" i="135"/>
  <c r="S41" i="136"/>
  <c r="J41" i="136"/>
  <c r="W41" i="136" s="1"/>
  <c r="AA41" i="135"/>
  <c r="S41" i="135"/>
  <c r="J41" i="135"/>
  <c r="W41" i="135" s="1"/>
  <c r="F144" i="138"/>
  <c r="X40" i="135"/>
  <c r="G144" i="138"/>
  <c r="Y41" i="135"/>
  <c r="Z40" i="135"/>
  <c r="AD42" i="136"/>
  <c r="AB42" i="136"/>
  <c r="AC42" i="136"/>
  <c r="AC42" i="135"/>
  <c r="AB42" i="135"/>
  <c r="AD42" i="135"/>
  <c r="A43" i="135"/>
  <c r="R42" i="135"/>
  <c r="P42" i="135"/>
  <c r="N42" i="135"/>
  <c r="D42" i="135"/>
  <c r="H42" i="135"/>
  <c r="I42" i="135"/>
  <c r="Q42" i="135"/>
  <c r="T42" i="135" s="1"/>
  <c r="O42" i="135"/>
  <c r="M42" i="135"/>
  <c r="L42" i="135"/>
  <c r="K42" i="135"/>
  <c r="A43" i="136"/>
  <c r="P42" i="136"/>
  <c r="I42" i="136"/>
  <c r="O42" i="136"/>
  <c r="Q42" i="136"/>
  <c r="T42" i="136" s="1"/>
  <c r="L42" i="136"/>
  <c r="R42" i="136"/>
  <c r="N42" i="136"/>
  <c r="D42" i="136"/>
  <c r="M42" i="136"/>
  <c r="H42" i="136"/>
  <c r="K42" i="136"/>
  <c r="Z40" i="136"/>
  <c r="AA40" i="136"/>
  <c r="E145" i="138" s="1"/>
  <c r="X41" i="135"/>
  <c r="X40" i="136"/>
  <c r="Y41" i="136"/>
  <c r="C43" i="136" l="1"/>
  <c r="B43" i="136"/>
  <c r="B43" i="135"/>
  <c r="C43" i="135"/>
  <c r="S42" i="136"/>
  <c r="J42" i="136"/>
  <c r="W42" i="136" s="1"/>
  <c r="AA42" i="135"/>
  <c r="S42" i="135"/>
  <c r="J42" i="135"/>
  <c r="W42" i="135" s="1"/>
  <c r="X41" i="136"/>
  <c r="G145" i="138"/>
  <c r="F145" i="138"/>
  <c r="Z41" i="135"/>
  <c r="AD43" i="136"/>
  <c r="AB43" i="136"/>
  <c r="AC43" i="136"/>
  <c r="AC43" i="135"/>
  <c r="AB43" i="135"/>
  <c r="AD43" i="135"/>
  <c r="Y42" i="135"/>
  <c r="A44" i="135"/>
  <c r="R43" i="135"/>
  <c r="P43" i="135"/>
  <c r="N43" i="135"/>
  <c r="D43" i="135"/>
  <c r="K43" i="135"/>
  <c r="H43" i="135"/>
  <c r="Q43" i="135"/>
  <c r="T43" i="135" s="1"/>
  <c r="O43" i="135"/>
  <c r="M43" i="135"/>
  <c r="I43" i="135"/>
  <c r="L43" i="135"/>
  <c r="A44" i="136"/>
  <c r="P43" i="136"/>
  <c r="Q43" i="136"/>
  <c r="T43" i="136" s="1"/>
  <c r="D43" i="136"/>
  <c r="H43" i="136"/>
  <c r="L43" i="136"/>
  <c r="R43" i="136"/>
  <c r="N43" i="136"/>
  <c r="O43" i="136"/>
  <c r="M43" i="136"/>
  <c r="I43" i="136"/>
  <c r="K43" i="136"/>
  <c r="Z41" i="136"/>
  <c r="AA41" i="136"/>
  <c r="E146" i="138" s="1"/>
  <c r="Y42" i="136"/>
  <c r="C44" i="136" l="1"/>
  <c r="B44" i="136"/>
  <c r="C44" i="135"/>
  <c r="B44" i="135"/>
  <c r="AA43" i="135"/>
  <c r="S43" i="135"/>
  <c r="J43" i="135"/>
  <c r="W43" i="135" s="1"/>
  <c r="J43" i="136"/>
  <c r="W43" i="136" s="1"/>
  <c r="S43" i="136"/>
  <c r="F146" i="138"/>
  <c r="G146" i="138"/>
  <c r="Z42" i="135"/>
  <c r="AD44" i="136"/>
  <c r="AB44" i="136"/>
  <c r="AC44" i="136"/>
  <c r="AC44" i="135"/>
  <c r="AD44" i="135"/>
  <c r="AB44" i="135"/>
  <c r="X42" i="135"/>
  <c r="Y43" i="135"/>
  <c r="X43" i="135" s="1"/>
  <c r="Q44" i="135"/>
  <c r="T44" i="135" s="1"/>
  <c r="O44" i="135"/>
  <c r="M44" i="135"/>
  <c r="I44" i="135"/>
  <c r="K44" i="135"/>
  <c r="A45" i="135"/>
  <c r="R44" i="135"/>
  <c r="P44" i="135"/>
  <c r="N44" i="135"/>
  <c r="D44" i="135"/>
  <c r="L44" i="135"/>
  <c r="H44" i="135"/>
  <c r="A45" i="136"/>
  <c r="Q44" i="136"/>
  <c r="T44" i="136" s="1"/>
  <c r="M44" i="136"/>
  <c r="R44" i="136"/>
  <c r="P44" i="136"/>
  <c r="L44" i="136"/>
  <c r="O44" i="136"/>
  <c r="D44" i="136"/>
  <c r="N44" i="136"/>
  <c r="I44" i="136"/>
  <c r="H44" i="136"/>
  <c r="K44" i="136"/>
  <c r="Z42" i="136"/>
  <c r="AA42" i="136"/>
  <c r="X42" i="136"/>
  <c r="Y43" i="136"/>
  <c r="C45" i="136" l="1"/>
  <c r="B45" i="136"/>
  <c r="C45" i="135"/>
  <c r="B45" i="135"/>
  <c r="AA44" i="135"/>
  <c r="S44" i="135"/>
  <c r="J44" i="135"/>
  <c r="W44" i="135" s="1"/>
  <c r="S44" i="136"/>
  <c r="J44" i="136"/>
  <c r="W44" i="136" s="1"/>
  <c r="E147" i="138"/>
  <c r="G147" i="138"/>
  <c r="F147" i="138"/>
  <c r="Z43" i="135"/>
  <c r="AB45" i="136"/>
  <c r="AC45" i="136"/>
  <c r="AD45" i="136"/>
  <c r="AB45" i="135"/>
  <c r="AC45" i="135"/>
  <c r="AD45" i="135"/>
  <c r="Y44" i="135"/>
  <c r="R45" i="135"/>
  <c r="P45" i="135"/>
  <c r="N45" i="135"/>
  <c r="D45" i="135"/>
  <c r="L45" i="135"/>
  <c r="H45" i="135"/>
  <c r="K45" i="135"/>
  <c r="Q45" i="135"/>
  <c r="T45" i="135" s="1"/>
  <c r="O45" i="135"/>
  <c r="M45" i="135"/>
  <c r="A46" i="135"/>
  <c r="I45" i="135"/>
  <c r="O45" i="136"/>
  <c r="D45" i="136"/>
  <c r="P45" i="136"/>
  <c r="N45" i="136"/>
  <c r="I45" i="136"/>
  <c r="Q45" i="136"/>
  <c r="T45" i="136" s="1"/>
  <c r="M45" i="136"/>
  <c r="A46" i="136"/>
  <c r="R45" i="136"/>
  <c r="K45" i="136"/>
  <c r="H45" i="136"/>
  <c r="L45" i="136"/>
  <c r="Z43" i="136"/>
  <c r="AA43" i="136"/>
  <c r="X43" i="136"/>
  <c r="Y44" i="136"/>
  <c r="C46" i="136" l="1"/>
  <c r="B46" i="136"/>
  <c r="C46" i="135"/>
  <c r="B46" i="135"/>
  <c r="AA45" i="135"/>
  <c r="S45" i="135"/>
  <c r="J45" i="135"/>
  <c r="W45" i="135" s="1"/>
  <c r="S45" i="136"/>
  <c r="J45" i="136"/>
  <c r="W45" i="136" s="1"/>
  <c r="E148" i="138"/>
  <c r="G148" i="138"/>
  <c r="F148" i="138"/>
  <c r="Z44" i="135"/>
  <c r="AD46" i="136"/>
  <c r="AB46" i="136"/>
  <c r="AC46" i="136"/>
  <c r="AB46" i="135"/>
  <c r="AC46" i="135"/>
  <c r="AD46" i="135"/>
  <c r="X44" i="135"/>
  <c r="Y45" i="135"/>
  <c r="A47" i="135"/>
  <c r="R46" i="135"/>
  <c r="P46" i="135"/>
  <c r="N46" i="135"/>
  <c r="D46" i="135"/>
  <c r="H46" i="135"/>
  <c r="I46" i="135"/>
  <c r="Q46" i="135"/>
  <c r="T46" i="135" s="1"/>
  <c r="O46" i="135"/>
  <c r="M46" i="135"/>
  <c r="L46" i="135"/>
  <c r="K46" i="135"/>
  <c r="A47" i="136"/>
  <c r="P46" i="136"/>
  <c r="I46" i="136"/>
  <c r="O46" i="136"/>
  <c r="Q46" i="136"/>
  <c r="T46" i="136" s="1"/>
  <c r="L46" i="136"/>
  <c r="R46" i="136"/>
  <c r="N46" i="136"/>
  <c r="D46" i="136"/>
  <c r="M46" i="136"/>
  <c r="H46" i="136"/>
  <c r="K46" i="136"/>
  <c r="Z44" i="136"/>
  <c r="AA44" i="136"/>
  <c r="E149" i="138" s="1"/>
  <c r="X44" i="136"/>
  <c r="Y45" i="136"/>
  <c r="C47" i="136" l="1"/>
  <c r="B47" i="136"/>
  <c r="B47" i="135"/>
  <c r="C47" i="135"/>
  <c r="S46" i="136"/>
  <c r="J46" i="136"/>
  <c r="W46" i="136" s="1"/>
  <c r="AA46" i="135"/>
  <c r="S46" i="135"/>
  <c r="J46" i="135"/>
  <c r="W46" i="135" s="1"/>
  <c r="G149" i="138"/>
  <c r="F149" i="138"/>
  <c r="Z45" i="135"/>
  <c r="AD47" i="136"/>
  <c r="AB47" i="136"/>
  <c r="AC47" i="136"/>
  <c r="AD47" i="135"/>
  <c r="AB47" i="135"/>
  <c r="AC47" i="135"/>
  <c r="Y46" i="135"/>
  <c r="X45" i="135"/>
  <c r="A48" i="135"/>
  <c r="R47" i="135"/>
  <c r="P47" i="135"/>
  <c r="N47" i="135"/>
  <c r="D47" i="135"/>
  <c r="L47" i="135"/>
  <c r="I47" i="135"/>
  <c r="Q47" i="135"/>
  <c r="T47" i="135" s="1"/>
  <c r="O47" i="135"/>
  <c r="M47" i="135"/>
  <c r="H47" i="135"/>
  <c r="K47" i="135"/>
  <c r="A48" i="136"/>
  <c r="P47" i="136"/>
  <c r="Q47" i="136"/>
  <c r="T47" i="136" s="1"/>
  <c r="D47" i="136"/>
  <c r="H47" i="136"/>
  <c r="R47" i="136"/>
  <c r="N47" i="136"/>
  <c r="O47" i="136"/>
  <c r="M47" i="136"/>
  <c r="I47" i="136"/>
  <c r="K47" i="136"/>
  <c r="L47" i="136"/>
  <c r="Z45" i="136"/>
  <c r="AA45" i="136"/>
  <c r="X45" i="136"/>
  <c r="Y46" i="136"/>
  <c r="C48" i="136" l="1"/>
  <c r="B48" i="136"/>
  <c r="C48" i="135"/>
  <c r="B48" i="135"/>
  <c r="J47" i="136"/>
  <c r="W47" i="136" s="1"/>
  <c r="S47" i="136"/>
  <c r="AA47" i="135"/>
  <c r="S47" i="135"/>
  <c r="J47" i="135"/>
  <c r="W47" i="135" s="1"/>
  <c r="E150" i="138"/>
  <c r="G150" i="138"/>
  <c r="F150" i="138"/>
  <c r="X46" i="135"/>
  <c r="Z46" i="135"/>
  <c r="AD48" i="136"/>
  <c r="AB48" i="136"/>
  <c r="AC48" i="136"/>
  <c r="AC48" i="135"/>
  <c r="AB48" i="135"/>
  <c r="AD48" i="135"/>
  <c r="Y47" i="135"/>
  <c r="A49" i="135"/>
  <c r="P48" i="135"/>
  <c r="N48" i="135"/>
  <c r="D48" i="135"/>
  <c r="R48" i="135"/>
  <c r="L48" i="135"/>
  <c r="H48" i="135"/>
  <c r="Q48" i="135"/>
  <c r="T48" i="135" s="1"/>
  <c r="O48" i="135"/>
  <c r="M48" i="135"/>
  <c r="I48" i="135"/>
  <c r="K48" i="135"/>
  <c r="A49" i="136"/>
  <c r="Q48" i="136"/>
  <c r="T48" i="136" s="1"/>
  <c r="M48" i="136"/>
  <c r="R48" i="136"/>
  <c r="P48" i="136"/>
  <c r="L48" i="136"/>
  <c r="O48" i="136"/>
  <c r="D48" i="136"/>
  <c r="N48" i="136"/>
  <c r="I48" i="136"/>
  <c r="H48" i="136"/>
  <c r="K48" i="136"/>
  <c r="Z46" i="136"/>
  <c r="AA46" i="136"/>
  <c r="X46" i="136"/>
  <c r="Y47" i="136"/>
  <c r="C49" i="136" l="1"/>
  <c r="B49" i="136"/>
  <c r="C49" i="135"/>
  <c r="B49" i="135"/>
  <c r="S48" i="136"/>
  <c r="J48" i="136"/>
  <c r="W48" i="136" s="1"/>
  <c r="AA48" i="135"/>
  <c r="S48" i="135"/>
  <c r="J48" i="135"/>
  <c r="W48" i="135" s="1"/>
  <c r="E151" i="138"/>
  <c r="G151" i="138"/>
  <c r="F151" i="138"/>
  <c r="Z47" i="135"/>
  <c r="AD49" i="136"/>
  <c r="AB49" i="136"/>
  <c r="AC49" i="136"/>
  <c r="X47" i="135"/>
  <c r="AD49" i="135"/>
  <c r="AB49" i="135"/>
  <c r="AC49" i="135"/>
  <c r="Y48" i="135"/>
  <c r="R49" i="135"/>
  <c r="Q49" i="135"/>
  <c r="T49" i="135" s="1"/>
  <c r="O49" i="135"/>
  <c r="M49" i="135"/>
  <c r="L49" i="135"/>
  <c r="I49" i="135"/>
  <c r="K49" i="135"/>
  <c r="A50" i="135"/>
  <c r="P49" i="135"/>
  <c r="N49" i="135"/>
  <c r="D49" i="135"/>
  <c r="H49" i="135"/>
  <c r="A50" i="136"/>
  <c r="Q49" i="136"/>
  <c r="T49" i="136" s="1"/>
  <c r="M49" i="136"/>
  <c r="P49" i="136"/>
  <c r="N49" i="136"/>
  <c r="I49" i="136"/>
  <c r="O49" i="136"/>
  <c r="D49" i="136"/>
  <c r="R49" i="136"/>
  <c r="K49" i="136"/>
  <c r="H49" i="136"/>
  <c r="L49" i="136"/>
  <c r="Z47" i="136"/>
  <c r="AA47" i="136"/>
  <c r="E152" i="138" s="1"/>
  <c r="X47" i="136"/>
  <c r="Y48" i="136"/>
  <c r="C50" i="136" l="1"/>
  <c r="B50" i="136"/>
  <c r="C50" i="135"/>
  <c r="B50" i="135"/>
  <c r="AA49" i="135"/>
  <c r="S49" i="135"/>
  <c r="J49" i="135"/>
  <c r="W49" i="135" s="1"/>
  <c r="S49" i="136"/>
  <c r="J49" i="136"/>
  <c r="W49" i="136" s="1"/>
  <c r="G152" i="138"/>
  <c r="F152" i="138"/>
  <c r="Z48" i="135"/>
  <c r="AC50" i="136"/>
  <c r="AD50" i="136"/>
  <c r="AB50" i="136"/>
  <c r="AB50" i="135"/>
  <c r="AC50" i="135"/>
  <c r="AD50" i="135"/>
  <c r="X48" i="135"/>
  <c r="Y49" i="135"/>
  <c r="X49" i="135" s="1"/>
  <c r="A51" i="135"/>
  <c r="R50" i="135"/>
  <c r="P50" i="135"/>
  <c r="N50" i="135"/>
  <c r="D50" i="135"/>
  <c r="H50" i="135"/>
  <c r="I50" i="135"/>
  <c r="Q50" i="135"/>
  <c r="T50" i="135" s="1"/>
  <c r="O50" i="135"/>
  <c r="M50" i="135"/>
  <c r="L50" i="135"/>
  <c r="K50" i="135"/>
  <c r="A51" i="136"/>
  <c r="P50" i="136"/>
  <c r="I50" i="136"/>
  <c r="O50" i="136"/>
  <c r="Q50" i="136"/>
  <c r="T50" i="136" s="1"/>
  <c r="L50" i="136"/>
  <c r="R50" i="136"/>
  <c r="N50" i="136"/>
  <c r="D50" i="136"/>
  <c r="M50" i="136"/>
  <c r="H50" i="136"/>
  <c r="K50" i="136"/>
  <c r="Z48" i="136"/>
  <c r="AA48" i="136"/>
  <c r="X48" i="136"/>
  <c r="Y49" i="136"/>
  <c r="C51" i="136" l="1"/>
  <c r="B51" i="136"/>
  <c r="Y50" i="135"/>
  <c r="B51" i="135"/>
  <c r="C51" i="135"/>
  <c r="AA50" i="135"/>
  <c r="S50" i="135"/>
  <c r="J50" i="135"/>
  <c r="W50" i="135" s="1"/>
  <c r="S50" i="136"/>
  <c r="J50" i="136"/>
  <c r="W50" i="136" s="1"/>
  <c r="E153" i="138"/>
  <c r="X49" i="136"/>
  <c r="G153" i="138"/>
  <c r="F153" i="138"/>
  <c r="Z50" i="135"/>
  <c r="Z49" i="135"/>
  <c r="AD51" i="136"/>
  <c r="AB51" i="136"/>
  <c r="AC51" i="136"/>
  <c r="AC51" i="135"/>
  <c r="AD51" i="135"/>
  <c r="AB51" i="135"/>
  <c r="X50" i="135"/>
  <c r="Q51" i="135"/>
  <c r="T51" i="135" s="1"/>
  <c r="O51" i="135"/>
  <c r="M51" i="135"/>
  <c r="I51" i="135"/>
  <c r="L51" i="135"/>
  <c r="A52" i="135"/>
  <c r="R51" i="135"/>
  <c r="P51" i="135"/>
  <c r="N51" i="135"/>
  <c r="D51" i="135"/>
  <c r="K51" i="135"/>
  <c r="H51" i="135"/>
  <c r="A52" i="136"/>
  <c r="P51" i="136"/>
  <c r="Q51" i="136"/>
  <c r="T51" i="136" s="1"/>
  <c r="D51" i="136"/>
  <c r="H51" i="136"/>
  <c r="R51" i="136"/>
  <c r="N51" i="136"/>
  <c r="O51" i="136"/>
  <c r="M51" i="136"/>
  <c r="I51" i="136"/>
  <c r="K51" i="136"/>
  <c r="L51" i="136"/>
  <c r="Z49" i="136"/>
  <c r="AA49" i="136"/>
  <c r="E154" i="138" s="1"/>
  <c r="Y50" i="136"/>
  <c r="C52" i="136" l="1"/>
  <c r="B52" i="136"/>
  <c r="C52" i="135"/>
  <c r="B52" i="135"/>
  <c r="J51" i="136"/>
  <c r="W51" i="136" s="1"/>
  <c r="S51" i="136"/>
  <c r="S51" i="135"/>
  <c r="AA51" i="135" s="1"/>
  <c r="J51" i="135"/>
  <c r="W51" i="135" s="1"/>
  <c r="Y51" i="135"/>
  <c r="X51" i="135" s="1"/>
  <c r="F154" i="138"/>
  <c r="G154" i="138"/>
  <c r="AD52" i="136"/>
  <c r="AB52" i="136"/>
  <c r="AC52" i="136"/>
  <c r="AC52" i="135"/>
  <c r="AD52" i="135"/>
  <c r="AB52" i="135"/>
  <c r="Q52" i="135"/>
  <c r="T52" i="135" s="1"/>
  <c r="O52" i="135"/>
  <c r="M52" i="135"/>
  <c r="I52" i="135"/>
  <c r="K52" i="135"/>
  <c r="A53" i="135"/>
  <c r="R52" i="135"/>
  <c r="P52" i="135"/>
  <c r="N52" i="135"/>
  <c r="D52" i="135"/>
  <c r="L52" i="135"/>
  <c r="H52" i="135"/>
  <c r="A53" i="136"/>
  <c r="Q52" i="136"/>
  <c r="T52" i="136" s="1"/>
  <c r="M52" i="136"/>
  <c r="R52" i="136"/>
  <c r="P52" i="136"/>
  <c r="L52" i="136"/>
  <c r="O52" i="136"/>
  <c r="D52" i="136"/>
  <c r="N52" i="136"/>
  <c r="I52" i="136"/>
  <c r="H52" i="136"/>
  <c r="K52" i="136"/>
  <c r="Z50" i="136"/>
  <c r="AA50" i="136"/>
  <c r="X50" i="136"/>
  <c r="Y51" i="136"/>
  <c r="C53" i="136" l="1"/>
  <c r="B53" i="136"/>
  <c r="C53" i="135"/>
  <c r="B53" i="135"/>
  <c r="S52" i="136"/>
  <c r="J52" i="136"/>
  <c r="W52" i="136" s="1"/>
  <c r="AA52" i="135"/>
  <c r="S52" i="135"/>
  <c r="J52" i="135"/>
  <c r="W52" i="135" s="1"/>
  <c r="Z51" i="135"/>
  <c r="E155" i="138"/>
  <c r="X51" i="136"/>
  <c r="G155" i="138"/>
  <c r="F155" i="138"/>
  <c r="AB53" i="136"/>
  <c r="AC53" i="136"/>
  <c r="AD53" i="136"/>
  <c r="AB53" i="135"/>
  <c r="AD53" i="135"/>
  <c r="AC53" i="135"/>
  <c r="Y52" i="135"/>
  <c r="Q53" i="135"/>
  <c r="T53" i="135" s="1"/>
  <c r="O53" i="135"/>
  <c r="M53" i="135"/>
  <c r="A54" i="135"/>
  <c r="I53" i="135"/>
  <c r="R53" i="135"/>
  <c r="P53" i="135"/>
  <c r="N53" i="135"/>
  <c r="D53" i="135"/>
  <c r="L53" i="135"/>
  <c r="H53" i="135"/>
  <c r="K53" i="135"/>
  <c r="O53" i="136"/>
  <c r="D53" i="136"/>
  <c r="A54" i="136"/>
  <c r="N53" i="136"/>
  <c r="I53" i="136"/>
  <c r="Q53" i="136"/>
  <c r="T53" i="136" s="1"/>
  <c r="M53" i="136"/>
  <c r="P53" i="136"/>
  <c r="R53" i="136"/>
  <c r="K53" i="136"/>
  <c r="H53" i="136"/>
  <c r="L53" i="136"/>
  <c r="Z51" i="136"/>
  <c r="AA51" i="136"/>
  <c r="Y52" i="136"/>
  <c r="C54" i="136" l="1"/>
  <c r="B54" i="136"/>
  <c r="C54" i="135"/>
  <c r="B54" i="135"/>
  <c r="S53" i="135"/>
  <c r="AA53" i="135" s="1"/>
  <c r="J53" i="135"/>
  <c r="W53" i="135" s="1"/>
  <c r="S53" i="136"/>
  <c r="J53" i="136"/>
  <c r="W53" i="136" s="1"/>
  <c r="E156" i="138"/>
  <c r="F156" i="138"/>
  <c r="G156" i="138"/>
  <c r="Z52" i="135"/>
  <c r="AC54" i="136"/>
  <c r="AB54" i="136"/>
  <c r="AD54" i="136"/>
  <c r="AB54" i="135"/>
  <c r="AC54" i="135"/>
  <c r="AD54" i="135"/>
  <c r="Y53" i="135"/>
  <c r="X52" i="135"/>
  <c r="A55" i="135"/>
  <c r="R54" i="135"/>
  <c r="P54" i="135"/>
  <c r="N54" i="135"/>
  <c r="D54" i="135"/>
  <c r="H54" i="135"/>
  <c r="I54" i="135"/>
  <c r="Q54" i="135"/>
  <c r="T54" i="135" s="1"/>
  <c r="O54" i="135"/>
  <c r="M54" i="135"/>
  <c r="L54" i="135"/>
  <c r="K54" i="135"/>
  <c r="A55" i="136"/>
  <c r="P54" i="136"/>
  <c r="I54" i="136"/>
  <c r="O54" i="136"/>
  <c r="Q54" i="136"/>
  <c r="L54" i="136"/>
  <c r="R54" i="136"/>
  <c r="N54" i="136"/>
  <c r="D54" i="136"/>
  <c r="M54" i="136"/>
  <c r="H54" i="136"/>
  <c r="K54" i="136"/>
  <c r="Z52" i="136"/>
  <c r="AA52" i="136"/>
  <c r="X53" i="135"/>
  <c r="X52" i="136"/>
  <c r="T54" i="136"/>
  <c r="Y53" i="136"/>
  <c r="C55" i="136" l="1"/>
  <c r="B55" i="136"/>
  <c r="B55" i="135"/>
  <c r="C55" i="135"/>
  <c r="S54" i="135"/>
  <c r="AA54" i="135" s="1"/>
  <c r="J54" i="135"/>
  <c r="W54" i="135" s="1"/>
  <c r="S54" i="136"/>
  <c r="J54" i="136"/>
  <c r="W54" i="136" s="1"/>
  <c r="E157" i="138"/>
  <c r="G157" i="138"/>
  <c r="F157" i="138"/>
  <c r="Z53" i="135"/>
  <c r="AD55" i="136"/>
  <c r="AB55" i="136"/>
  <c r="AC55" i="136"/>
  <c r="AD55" i="135"/>
  <c r="AB55" i="135"/>
  <c r="AC55" i="135"/>
  <c r="Y54" i="135"/>
  <c r="X54" i="135" s="1"/>
  <c r="A56" i="135"/>
  <c r="R55" i="135"/>
  <c r="P55" i="135"/>
  <c r="N55" i="135"/>
  <c r="D55" i="135"/>
  <c r="L55" i="135"/>
  <c r="I55" i="135"/>
  <c r="Q55" i="135"/>
  <c r="T55" i="135" s="1"/>
  <c r="O55" i="135"/>
  <c r="M55" i="135"/>
  <c r="H55" i="135"/>
  <c r="K55" i="135"/>
  <c r="A56" i="136"/>
  <c r="P55" i="136"/>
  <c r="Q55" i="136"/>
  <c r="T55" i="136" s="1"/>
  <c r="D55" i="136"/>
  <c r="H55" i="136"/>
  <c r="R55" i="136"/>
  <c r="N55" i="136"/>
  <c r="O55" i="136"/>
  <c r="M55" i="136"/>
  <c r="I55" i="136"/>
  <c r="K55" i="136"/>
  <c r="L55" i="136"/>
  <c r="Z53" i="136"/>
  <c r="AA53" i="136"/>
  <c r="X53" i="136"/>
  <c r="Y54" i="136"/>
  <c r="C56" i="136" l="1"/>
  <c r="B56" i="136"/>
  <c r="C56" i="135"/>
  <c r="B56" i="135"/>
  <c r="S55" i="135"/>
  <c r="AA55" i="135" s="1"/>
  <c r="J55" i="135"/>
  <c r="W55" i="135" s="1"/>
  <c r="J55" i="136"/>
  <c r="W55" i="136" s="1"/>
  <c r="S55" i="136"/>
  <c r="E158" i="138"/>
  <c r="G158" i="138"/>
  <c r="F158" i="138"/>
  <c r="Z54" i="135"/>
  <c r="AD56" i="136"/>
  <c r="AB56" i="136"/>
  <c r="AC56" i="136"/>
  <c r="AC56" i="135"/>
  <c r="AB56" i="135"/>
  <c r="AD56" i="135"/>
  <c r="Y55" i="135"/>
  <c r="Q56" i="135"/>
  <c r="T56" i="135" s="1"/>
  <c r="O56" i="135"/>
  <c r="M56" i="135"/>
  <c r="I56" i="135"/>
  <c r="K56" i="135"/>
  <c r="A57" i="135"/>
  <c r="P56" i="135"/>
  <c r="N56" i="135"/>
  <c r="D56" i="135"/>
  <c r="R56" i="135"/>
  <c r="L56" i="135"/>
  <c r="H56" i="135"/>
  <c r="A57" i="136"/>
  <c r="Q56" i="136"/>
  <c r="M56" i="136"/>
  <c r="R56" i="136"/>
  <c r="P56" i="136"/>
  <c r="L56" i="136"/>
  <c r="O56" i="136"/>
  <c r="D56" i="136"/>
  <c r="N56" i="136"/>
  <c r="I56" i="136"/>
  <c r="H56" i="136"/>
  <c r="K56" i="136"/>
  <c r="Z54" i="136"/>
  <c r="AA54" i="136"/>
  <c r="X54" i="136"/>
  <c r="T56" i="136"/>
  <c r="Y55" i="136"/>
  <c r="C57" i="136" l="1"/>
  <c r="B57" i="136"/>
  <c r="C57" i="135"/>
  <c r="B57" i="135"/>
  <c r="AA56" i="135"/>
  <c r="S56" i="135"/>
  <c r="J56" i="135"/>
  <c r="W56" i="135" s="1"/>
  <c r="S56" i="136"/>
  <c r="J56" i="136"/>
  <c r="W56" i="136" s="1"/>
  <c r="E159" i="138"/>
  <c r="G159" i="138"/>
  <c r="F159" i="138"/>
  <c r="Z55" i="135"/>
  <c r="AB57" i="136"/>
  <c r="AC57" i="136"/>
  <c r="AD57" i="136"/>
  <c r="AB57" i="135"/>
  <c r="AD57" i="135"/>
  <c r="AC57" i="135"/>
  <c r="Y56" i="135"/>
  <c r="A58" i="135"/>
  <c r="P57" i="135"/>
  <c r="N57" i="135"/>
  <c r="D57" i="135"/>
  <c r="H57" i="135"/>
  <c r="R57" i="135"/>
  <c r="Q57" i="135"/>
  <c r="T57" i="135" s="1"/>
  <c r="O57" i="135"/>
  <c r="M57" i="135"/>
  <c r="L57" i="135"/>
  <c r="K57" i="135"/>
  <c r="I57" i="135"/>
  <c r="X55" i="135"/>
  <c r="A58" i="136"/>
  <c r="Q57" i="136"/>
  <c r="T57" i="136" s="1"/>
  <c r="M57" i="136"/>
  <c r="P57" i="136"/>
  <c r="N57" i="136"/>
  <c r="I57" i="136"/>
  <c r="O57" i="136"/>
  <c r="D57" i="136"/>
  <c r="R57" i="136"/>
  <c r="K57" i="136"/>
  <c r="H57" i="136"/>
  <c r="L57" i="136"/>
  <c r="Z55" i="136"/>
  <c r="AA55" i="136"/>
  <c r="E160" i="138" s="1"/>
  <c r="X55" i="136"/>
  <c r="Y56" i="136"/>
  <c r="C58" i="136" l="1"/>
  <c r="B58" i="136"/>
  <c r="C58" i="135"/>
  <c r="B58" i="135"/>
  <c r="AA57" i="135"/>
  <c r="S57" i="135"/>
  <c r="J57" i="135"/>
  <c r="W57" i="135" s="1"/>
  <c r="S57" i="136"/>
  <c r="J57" i="136"/>
  <c r="W57" i="136" s="1"/>
  <c r="X56" i="135"/>
  <c r="G160" i="138"/>
  <c r="F160" i="138"/>
  <c r="Z56" i="135"/>
  <c r="AD58" i="136"/>
  <c r="AB58" i="136"/>
  <c r="AC58" i="136"/>
  <c r="AC58" i="135"/>
  <c r="AB58" i="135"/>
  <c r="AD58" i="135"/>
  <c r="Y57" i="135"/>
  <c r="A59" i="135"/>
  <c r="R58" i="135"/>
  <c r="P58" i="135"/>
  <c r="N58" i="135"/>
  <c r="D58" i="135"/>
  <c r="H58" i="135"/>
  <c r="I58" i="135"/>
  <c r="Q58" i="135"/>
  <c r="T58" i="135" s="1"/>
  <c r="O58" i="135"/>
  <c r="M58" i="135"/>
  <c r="L58" i="135"/>
  <c r="K58" i="135"/>
  <c r="A59" i="136"/>
  <c r="P58" i="136"/>
  <c r="I58" i="136"/>
  <c r="O58" i="136"/>
  <c r="Q58" i="136"/>
  <c r="T58" i="136" s="1"/>
  <c r="L58" i="136"/>
  <c r="R58" i="136"/>
  <c r="N58" i="136"/>
  <c r="D58" i="136"/>
  <c r="M58" i="136"/>
  <c r="H58" i="136"/>
  <c r="K58" i="136"/>
  <c r="Z56" i="136"/>
  <c r="AA56" i="136"/>
  <c r="X56" i="136"/>
  <c r="Y57" i="136"/>
  <c r="C59" i="136" l="1"/>
  <c r="B59" i="136"/>
  <c r="Y58" i="135"/>
  <c r="X58" i="135" s="1"/>
  <c r="B59" i="135"/>
  <c r="C59" i="135"/>
  <c r="S58" i="136"/>
  <c r="J58" i="136"/>
  <c r="W58" i="136" s="1"/>
  <c r="AA58" i="135"/>
  <c r="S58" i="135"/>
  <c r="J58" i="135"/>
  <c r="W58" i="135" s="1"/>
  <c r="E161" i="138"/>
  <c r="X57" i="136"/>
  <c r="G161" i="138"/>
  <c r="F161" i="138"/>
  <c r="Z57" i="135"/>
  <c r="AD59" i="136"/>
  <c r="AB59" i="136"/>
  <c r="AC59" i="136"/>
  <c r="AC59" i="135"/>
  <c r="AB59" i="135"/>
  <c r="AD59" i="135"/>
  <c r="X57" i="135"/>
  <c r="A60" i="135"/>
  <c r="R59" i="135"/>
  <c r="P59" i="135"/>
  <c r="N59" i="135"/>
  <c r="D59" i="135"/>
  <c r="K59" i="135"/>
  <c r="H59" i="135"/>
  <c r="Q59" i="135"/>
  <c r="T59" i="135" s="1"/>
  <c r="O59" i="135"/>
  <c r="M59" i="135"/>
  <c r="I59" i="135"/>
  <c r="L59" i="135"/>
  <c r="A60" i="136"/>
  <c r="P59" i="136"/>
  <c r="Q59" i="136"/>
  <c r="D59" i="136"/>
  <c r="H59" i="136"/>
  <c r="R59" i="136"/>
  <c r="N59" i="136"/>
  <c r="O59" i="136"/>
  <c r="M59" i="136"/>
  <c r="I59" i="136"/>
  <c r="K59" i="136"/>
  <c r="L59" i="136"/>
  <c r="Z57" i="136"/>
  <c r="AA57" i="136"/>
  <c r="T59" i="136"/>
  <c r="Y58" i="136"/>
  <c r="Z58" i="135" l="1"/>
  <c r="C60" i="136"/>
  <c r="B60" i="136"/>
  <c r="C60" i="135"/>
  <c r="B60" i="135"/>
  <c r="Y59" i="135"/>
  <c r="Z59" i="135" s="1"/>
  <c r="J59" i="136"/>
  <c r="W59" i="136" s="1"/>
  <c r="S59" i="136"/>
  <c r="AA59" i="135"/>
  <c r="S59" i="135"/>
  <c r="J59" i="135"/>
  <c r="W59" i="135" s="1"/>
  <c r="E162" i="138"/>
  <c r="F162" i="138"/>
  <c r="G162" i="138"/>
  <c r="AD60" i="136"/>
  <c r="AB60" i="136"/>
  <c r="AC60" i="136"/>
  <c r="AC60" i="135"/>
  <c r="AD60" i="135"/>
  <c r="AB60" i="135"/>
  <c r="A61" i="135"/>
  <c r="R60" i="135"/>
  <c r="P60" i="135"/>
  <c r="N60" i="135"/>
  <c r="D60" i="135"/>
  <c r="L60" i="135"/>
  <c r="H60" i="135"/>
  <c r="Q60" i="135"/>
  <c r="T60" i="135" s="1"/>
  <c r="O60" i="135"/>
  <c r="M60" i="135"/>
  <c r="I60" i="135"/>
  <c r="K60" i="135"/>
  <c r="A61" i="136"/>
  <c r="Q60" i="136"/>
  <c r="T60" i="136" s="1"/>
  <c r="M60" i="136"/>
  <c r="R60" i="136"/>
  <c r="P60" i="136"/>
  <c r="L60" i="136"/>
  <c r="O60" i="136"/>
  <c r="D60" i="136"/>
  <c r="N60" i="136"/>
  <c r="I60" i="136"/>
  <c r="H60" i="136"/>
  <c r="K60" i="136"/>
  <c r="Z58" i="136"/>
  <c r="AA58" i="136"/>
  <c r="X58" i="136"/>
  <c r="Y59" i="136"/>
  <c r="C61" i="136" l="1"/>
  <c r="B61" i="136"/>
  <c r="X59" i="135"/>
  <c r="C61" i="135"/>
  <c r="B61" i="135"/>
  <c r="S60" i="135"/>
  <c r="AA60" i="135" s="1"/>
  <c r="J60" i="135"/>
  <c r="W60" i="135" s="1"/>
  <c r="S60" i="136"/>
  <c r="J60" i="136"/>
  <c r="W60" i="136" s="1"/>
  <c r="E163" i="138"/>
  <c r="X59" i="136"/>
  <c r="G163" i="138"/>
  <c r="F163" i="138"/>
  <c r="AD61" i="136"/>
  <c r="AB61" i="136"/>
  <c r="AC61" i="136"/>
  <c r="AB61" i="135"/>
  <c r="AC61" i="135"/>
  <c r="AD61" i="135"/>
  <c r="Y60" i="135"/>
  <c r="Q61" i="135"/>
  <c r="T61" i="135" s="1"/>
  <c r="O61" i="135"/>
  <c r="M61" i="135"/>
  <c r="A62" i="135"/>
  <c r="I61" i="135"/>
  <c r="R61" i="135"/>
  <c r="P61" i="135"/>
  <c r="N61" i="135"/>
  <c r="D61" i="135"/>
  <c r="L61" i="135"/>
  <c r="H61" i="135"/>
  <c r="K61" i="135"/>
  <c r="O61" i="136"/>
  <c r="D61" i="136"/>
  <c r="P61" i="136"/>
  <c r="N61" i="136"/>
  <c r="I61" i="136"/>
  <c r="Q61" i="136"/>
  <c r="T61" i="136" s="1"/>
  <c r="M61" i="136"/>
  <c r="A62" i="136"/>
  <c r="R61" i="136"/>
  <c r="K61" i="136"/>
  <c r="H61" i="136"/>
  <c r="L61" i="136"/>
  <c r="Z59" i="136"/>
  <c r="AA59" i="136"/>
  <c r="Y60" i="136"/>
  <c r="C62" i="136" l="1"/>
  <c r="B62" i="136"/>
  <c r="C62" i="135"/>
  <c r="B62" i="135"/>
  <c r="S61" i="135"/>
  <c r="AA61" i="135" s="1"/>
  <c r="J61" i="135"/>
  <c r="W61" i="135" s="1"/>
  <c r="S61" i="136"/>
  <c r="J61" i="136"/>
  <c r="W61" i="136" s="1"/>
  <c r="E164" i="138"/>
  <c r="F164" i="138"/>
  <c r="G164" i="138"/>
  <c r="Z60" i="135"/>
  <c r="AD62" i="136"/>
  <c r="AB62" i="136"/>
  <c r="AC62" i="136"/>
  <c r="X60" i="135"/>
  <c r="AB62" i="135"/>
  <c r="AC62" i="135"/>
  <c r="AD62" i="135"/>
  <c r="Y61" i="135"/>
  <c r="A63" i="135"/>
  <c r="R62" i="135"/>
  <c r="P62" i="135"/>
  <c r="N62" i="135"/>
  <c r="D62" i="135"/>
  <c r="H62" i="135"/>
  <c r="I62" i="135"/>
  <c r="Q62" i="135"/>
  <c r="T62" i="135" s="1"/>
  <c r="O62" i="135"/>
  <c r="M62" i="135"/>
  <c r="L62" i="135"/>
  <c r="K62" i="135"/>
  <c r="A63" i="136"/>
  <c r="P62" i="136"/>
  <c r="I62" i="136"/>
  <c r="O62" i="136"/>
  <c r="Q62" i="136"/>
  <c r="T62" i="136" s="1"/>
  <c r="L62" i="136"/>
  <c r="R62" i="136"/>
  <c r="N62" i="136"/>
  <c r="D62" i="136"/>
  <c r="M62" i="136"/>
  <c r="H62" i="136"/>
  <c r="K62" i="136"/>
  <c r="Z60" i="136"/>
  <c r="AA60" i="136"/>
  <c r="E165" i="138" s="1"/>
  <c r="X60" i="136"/>
  <c r="Y61" i="136"/>
  <c r="C63" i="136" l="1"/>
  <c r="B63" i="136"/>
  <c r="Y62" i="135"/>
  <c r="Z62" i="135" s="1"/>
  <c r="B63" i="135"/>
  <c r="C63" i="135"/>
  <c r="S62" i="136"/>
  <c r="J62" i="136"/>
  <c r="W62" i="136" s="1"/>
  <c r="AA62" i="135"/>
  <c r="S62" i="135"/>
  <c r="J62" i="135"/>
  <c r="W62" i="135" s="1"/>
  <c r="G165" i="138"/>
  <c r="F165" i="138"/>
  <c r="Z61" i="135"/>
  <c r="AD63" i="136"/>
  <c r="AB63" i="136"/>
  <c r="AC63" i="136"/>
  <c r="AD63" i="135"/>
  <c r="AB63" i="135"/>
  <c r="AC63" i="135"/>
  <c r="X61" i="135"/>
  <c r="A64" i="135"/>
  <c r="R63" i="135"/>
  <c r="P63" i="135"/>
  <c r="N63" i="135"/>
  <c r="D63" i="135"/>
  <c r="L63" i="135"/>
  <c r="I63" i="135"/>
  <c r="Q63" i="135"/>
  <c r="T63" i="135" s="1"/>
  <c r="O63" i="135"/>
  <c r="M63" i="135"/>
  <c r="H63" i="135"/>
  <c r="K63" i="135"/>
  <c r="R63" i="136"/>
  <c r="N63" i="136"/>
  <c r="O63" i="136"/>
  <c r="M63" i="136"/>
  <c r="I63" i="136"/>
  <c r="K63" i="136"/>
  <c r="L63" i="136"/>
  <c r="A64" i="136"/>
  <c r="P63" i="136"/>
  <c r="Q63" i="136"/>
  <c r="T63" i="136" s="1"/>
  <c r="D63" i="136"/>
  <c r="H63" i="136"/>
  <c r="Z61" i="136"/>
  <c r="AA61" i="136"/>
  <c r="X61" i="136"/>
  <c r="Y62" i="136"/>
  <c r="C64" i="136" l="1"/>
  <c r="B64" i="136"/>
  <c r="X62" i="135"/>
  <c r="Y63" i="135"/>
  <c r="Z63" i="135" s="1"/>
  <c r="C64" i="135"/>
  <c r="B64" i="135"/>
  <c r="S63" i="135"/>
  <c r="AA63" i="135" s="1"/>
  <c r="J63" i="135"/>
  <c r="W63" i="135" s="1"/>
  <c r="J63" i="136"/>
  <c r="W63" i="136" s="1"/>
  <c r="S63" i="136"/>
  <c r="E166" i="138"/>
  <c r="G166" i="138"/>
  <c r="F166" i="138"/>
  <c r="AD64" i="136"/>
  <c r="AB64" i="136"/>
  <c r="AC64" i="136"/>
  <c r="AC64" i="135"/>
  <c r="AB64" i="135"/>
  <c r="AD64" i="135"/>
  <c r="A65" i="135"/>
  <c r="P64" i="135"/>
  <c r="N64" i="135"/>
  <c r="D64" i="135"/>
  <c r="R64" i="135"/>
  <c r="L64" i="135"/>
  <c r="H64" i="135"/>
  <c r="Q64" i="135"/>
  <c r="T64" i="135" s="1"/>
  <c r="O64" i="135"/>
  <c r="M64" i="135"/>
  <c r="I64" i="135"/>
  <c r="K64" i="135"/>
  <c r="A65" i="136"/>
  <c r="Q64" i="136"/>
  <c r="T64" i="136" s="1"/>
  <c r="M64" i="136"/>
  <c r="R64" i="136"/>
  <c r="P64" i="136"/>
  <c r="L64" i="136"/>
  <c r="O64" i="136"/>
  <c r="D64" i="136"/>
  <c r="N64" i="136"/>
  <c r="I64" i="136"/>
  <c r="H64" i="136"/>
  <c r="K64" i="136"/>
  <c r="Z62" i="136"/>
  <c r="AA62" i="136"/>
  <c r="E167" i="138" s="1"/>
  <c r="X63" i="135"/>
  <c r="X62" i="136"/>
  <c r="Y63" i="136"/>
  <c r="C65" i="136" l="1"/>
  <c r="B65" i="136"/>
  <c r="C65" i="135"/>
  <c r="B65" i="135"/>
  <c r="S64" i="136"/>
  <c r="J64" i="136"/>
  <c r="W64" i="136" s="1"/>
  <c r="AA64" i="135"/>
  <c r="S64" i="135"/>
  <c r="J64" i="135"/>
  <c r="W64" i="135" s="1"/>
  <c r="G167" i="138"/>
  <c r="F167" i="138"/>
  <c r="AD65" i="136"/>
  <c r="AB65" i="136"/>
  <c r="AC65" i="136"/>
  <c r="AD65" i="135"/>
  <c r="AB65" i="135"/>
  <c r="AC65" i="135"/>
  <c r="Y64" i="135"/>
  <c r="R65" i="135"/>
  <c r="Q65" i="135"/>
  <c r="T65" i="135" s="1"/>
  <c r="O65" i="135"/>
  <c r="M65" i="135"/>
  <c r="L65" i="135"/>
  <c r="I65" i="135"/>
  <c r="K65" i="135"/>
  <c r="A66" i="135"/>
  <c r="P65" i="135"/>
  <c r="N65" i="135"/>
  <c r="D65" i="135"/>
  <c r="H65" i="135"/>
  <c r="A66" i="136"/>
  <c r="Q65" i="136"/>
  <c r="M65" i="136"/>
  <c r="P65" i="136"/>
  <c r="N65" i="136"/>
  <c r="I65" i="136"/>
  <c r="O65" i="136"/>
  <c r="D65" i="136"/>
  <c r="R65" i="136"/>
  <c r="K65" i="136"/>
  <c r="H65" i="136"/>
  <c r="L65" i="136"/>
  <c r="Z63" i="136"/>
  <c r="AA63" i="136"/>
  <c r="E168" i="138" s="1"/>
  <c r="X63" i="136"/>
  <c r="T65" i="136"/>
  <c r="Y64" i="136"/>
  <c r="C66" i="136" l="1"/>
  <c r="B66" i="136"/>
  <c r="C66" i="135"/>
  <c r="B66" i="135"/>
  <c r="S65" i="136"/>
  <c r="J65" i="136"/>
  <c r="W65" i="136" s="1"/>
  <c r="AA65" i="135"/>
  <c r="S65" i="135"/>
  <c r="J65" i="135"/>
  <c r="W65" i="135" s="1"/>
  <c r="G168" i="138"/>
  <c r="F168" i="138"/>
  <c r="Z64" i="135"/>
  <c r="AC66" i="136"/>
  <c r="AB66" i="136"/>
  <c r="AD66" i="136"/>
  <c r="AB66" i="135"/>
  <c r="AC66" i="135"/>
  <c r="AD66" i="135"/>
  <c r="X64" i="135"/>
  <c r="Y65" i="135"/>
  <c r="X65" i="135" s="1"/>
  <c r="A67" i="135"/>
  <c r="R66" i="135"/>
  <c r="P66" i="135"/>
  <c r="N66" i="135"/>
  <c r="D66" i="135"/>
  <c r="H66" i="135"/>
  <c r="I66" i="135"/>
  <c r="Q66" i="135"/>
  <c r="T66" i="135" s="1"/>
  <c r="O66" i="135"/>
  <c r="M66" i="135"/>
  <c r="L66" i="135"/>
  <c r="K66" i="135"/>
  <c r="A67" i="136"/>
  <c r="P66" i="136"/>
  <c r="I66" i="136"/>
  <c r="D66" i="136"/>
  <c r="L66" i="136"/>
  <c r="R66" i="136"/>
  <c r="N66" i="136"/>
  <c r="O66" i="136"/>
  <c r="Q66" i="136"/>
  <c r="T66" i="136" s="1"/>
  <c r="M66" i="136"/>
  <c r="H66" i="136"/>
  <c r="K66" i="136"/>
  <c r="Z64" i="136"/>
  <c r="AA64" i="136"/>
  <c r="E169" i="138" s="1"/>
  <c r="X64" i="136"/>
  <c r="Y65" i="136"/>
  <c r="C67" i="136" l="1"/>
  <c r="B67" i="136"/>
  <c r="C67" i="135"/>
  <c r="B67" i="135"/>
  <c r="AA66" i="135"/>
  <c r="S66" i="135"/>
  <c r="J66" i="135"/>
  <c r="W66" i="135" s="1"/>
  <c r="S66" i="136"/>
  <c r="J66" i="136"/>
  <c r="W66" i="136" s="1"/>
  <c r="G169" i="138"/>
  <c r="F169" i="138"/>
  <c r="Z65" i="135"/>
  <c r="AD67" i="136"/>
  <c r="AB67" i="136"/>
  <c r="AC67" i="136"/>
  <c r="AC67" i="135"/>
  <c r="AD67" i="135"/>
  <c r="AB67" i="135"/>
  <c r="Y66" i="135"/>
  <c r="Q67" i="135"/>
  <c r="T67" i="135" s="1"/>
  <c r="O67" i="135"/>
  <c r="M67" i="135"/>
  <c r="I67" i="135"/>
  <c r="L67" i="135"/>
  <c r="A68" i="135"/>
  <c r="R67" i="135"/>
  <c r="P67" i="135"/>
  <c r="N67" i="135"/>
  <c r="D67" i="135"/>
  <c r="K67" i="135"/>
  <c r="H67" i="135"/>
  <c r="A68" i="136"/>
  <c r="P67" i="136"/>
  <c r="Q67" i="136"/>
  <c r="T67" i="136" s="1"/>
  <c r="D67" i="136"/>
  <c r="H67" i="136"/>
  <c r="R67" i="136"/>
  <c r="N67" i="136"/>
  <c r="O67" i="136"/>
  <c r="M67" i="136"/>
  <c r="I67" i="136"/>
  <c r="K67" i="136"/>
  <c r="L67" i="136"/>
  <c r="Z65" i="136"/>
  <c r="AA65" i="136"/>
  <c r="X65" i="136"/>
  <c r="Y66" i="136"/>
  <c r="C68" i="136" l="1"/>
  <c r="B68" i="136"/>
  <c r="C68" i="135"/>
  <c r="B68" i="135"/>
  <c r="J67" i="136"/>
  <c r="W67" i="136" s="1"/>
  <c r="S67" i="136"/>
  <c r="S67" i="135"/>
  <c r="AA67" i="135" s="1"/>
  <c r="J67" i="135"/>
  <c r="W67" i="135" s="1"/>
  <c r="E170" i="138"/>
  <c r="G170" i="138"/>
  <c r="F170" i="138"/>
  <c r="Z66" i="135"/>
  <c r="AD68" i="136"/>
  <c r="AB68" i="136"/>
  <c r="AC68" i="136"/>
  <c r="AC68" i="135"/>
  <c r="AD68" i="135"/>
  <c r="AB68" i="135"/>
  <c r="X66" i="135"/>
  <c r="Y67" i="135"/>
  <c r="X67" i="135" s="1"/>
  <c r="Q68" i="135"/>
  <c r="T68" i="135" s="1"/>
  <c r="O68" i="135"/>
  <c r="M68" i="135"/>
  <c r="I68" i="135"/>
  <c r="K68" i="135"/>
  <c r="A69" i="135"/>
  <c r="R68" i="135"/>
  <c r="P68" i="135"/>
  <c r="N68" i="135"/>
  <c r="D68" i="135"/>
  <c r="L68" i="135"/>
  <c r="H68" i="135"/>
  <c r="A69" i="136"/>
  <c r="Q68" i="136"/>
  <c r="T68" i="136" s="1"/>
  <c r="M68" i="136"/>
  <c r="R68" i="136"/>
  <c r="P68" i="136"/>
  <c r="L68" i="136"/>
  <c r="O68" i="136"/>
  <c r="D68" i="136"/>
  <c r="N68" i="136"/>
  <c r="I68" i="136"/>
  <c r="H68" i="136"/>
  <c r="K68" i="136"/>
  <c r="Z66" i="136"/>
  <c r="AA66" i="136"/>
  <c r="X66" i="136"/>
  <c r="Y67" i="136"/>
  <c r="C69" i="136" l="1"/>
  <c r="B69" i="136"/>
  <c r="C69" i="135"/>
  <c r="B69" i="135"/>
  <c r="S68" i="135"/>
  <c r="AA68" i="135" s="1"/>
  <c r="J68" i="135"/>
  <c r="W68" i="135" s="1"/>
  <c r="S68" i="136"/>
  <c r="J68" i="136"/>
  <c r="W68" i="136" s="1"/>
  <c r="E171" i="138"/>
  <c r="X67" i="136"/>
  <c r="G171" i="138"/>
  <c r="F171" i="138"/>
  <c r="Z67" i="135"/>
  <c r="AD69" i="136"/>
  <c r="AB69" i="136"/>
  <c r="AC69" i="136"/>
  <c r="AB69" i="135"/>
  <c r="AC69" i="135"/>
  <c r="AD69" i="135"/>
  <c r="Y68" i="135"/>
  <c r="Q69" i="135"/>
  <c r="T69" i="135" s="1"/>
  <c r="O69" i="135"/>
  <c r="M69" i="135"/>
  <c r="A70" i="135"/>
  <c r="I69" i="135"/>
  <c r="R69" i="135"/>
  <c r="P69" i="135"/>
  <c r="N69" i="135"/>
  <c r="D69" i="135"/>
  <c r="L69" i="135"/>
  <c r="H69" i="135"/>
  <c r="K69" i="135"/>
  <c r="O69" i="136"/>
  <c r="D69" i="136"/>
  <c r="R69" i="136"/>
  <c r="N69" i="136"/>
  <c r="I69" i="136"/>
  <c r="Q69" i="136"/>
  <c r="T69" i="136" s="1"/>
  <c r="M69" i="136"/>
  <c r="P69" i="136"/>
  <c r="A70" i="136"/>
  <c r="K69" i="136"/>
  <c r="H69" i="136"/>
  <c r="L69" i="136"/>
  <c r="Z67" i="136"/>
  <c r="AA67" i="136"/>
  <c r="Y68" i="136"/>
  <c r="C70" i="136" l="1"/>
  <c r="B70" i="136"/>
  <c r="C70" i="135"/>
  <c r="B70" i="135"/>
  <c r="S69" i="136"/>
  <c r="J69" i="136"/>
  <c r="W69" i="136" s="1"/>
  <c r="AA69" i="135"/>
  <c r="S69" i="135"/>
  <c r="J69" i="135"/>
  <c r="W69" i="135" s="1"/>
  <c r="E172" i="138"/>
  <c r="F172" i="138"/>
  <c r="G172" i="138"/>
  <c r="Z68" i="135"/>
  <c r="AC70" i="136"/>
  <c r="AD70" i="136"/>
  <c r="AB70" i="136"/>
  <c r="X68" i="135"/>
  <c r="AB70" i="135"/>
  <c r="AC70" i="135"/>
  <c r="AD70" i="135"/>
  <c r="Y69" i="135"/>
  <c r="X69" i="135" s="1"/>
  <c r="A71" i="135"/>
  <c r="R70" i="135"/>
  <c r="P70" i="135"/>
  <c r="N70" i="135"/>
  <c r="D70" i="135"/>
  <c r="H70" i="135"/>
  <c r="I70" i="135"/>
  <c r="Q70" i="135"/>
  <c r="T70" i="135" s="1"/>
  <c r="O70" i="135"/>
  <c r="M70" i="135"/>
  <c r="L70" i="135"/>
  <c r="K70" i="135"/>
  <c r="A71" i="136"/>
  <c r="P70" i="136"/>
  <c r="I70" i="136"/>
  <c r="O70" i="136"/>
  <c r="Q70" i="136"/>
  <c r="T70" i="136" s="1"/>
  <c r="L70" i="136"/>
  <c r="R70" i="136"/>
  <c r="N70" i="136"/>
  <c r="D70" i="136"/>
  <c r="M70" i="136"/>
  <c r="H70" i="136"/>
  <c r="K70" i="136"/>
  <c r="Z68" i="136"/>
  <c r="AA68" i="136"/>
  <c r="E173" i="138" s="1"/>
  <c r="X68" i="136"/>
  <c r="Y69" i="136"/>
  <c r="C71" i="136" l="1"/>
  <c r="B71" i="136"/>
  <c r="Y70" i="135"/>
  <c r="Z70" i="135" s="1"/>
  <c r="C71" i="135"/>
  <c r="B71" i="135"/>
  <c r="AA70" i="135"/>
  <c r="S70" i="135"/>
  <c r="J70" i="135"/>
  <c r="W70" i="135" s="1"/>
  <c r="S70" i="136"/>
  <c r="J70" i="136"/>
  <c r="W70" i="136" s="1"/>
  <c r="X69" i="136"/>
  <c r="G173" i="138"/>
  <c r="F173" i="138"/>
  <c r="Z69" i="135"/>
  <c r="AD71" i="136"/>
  <c r="AB71" i="136"/>
  <c r="AC71" i="136"/>
  <c r="AD71" i="135"/>
  <c r="AB71" i="135"/>
  <c r="AC71" i="135"/>
  <c r="A72" i="135"/>
  <c r="R71" i="135"/>
  <c r="P71" i="135"/>
  <c r="N71" i="135"/>
  <c r="D71" i="135"/>
  <c r="L71" i="135"/>
  <c r="I71" i="135"/>
  <c r="Q71" i="135"/>
  <c r="T71" i="135" s="1"/>
  <c r="O71" i="135"/>
  <c r="M71" i="135"/>
  <c r="H71" i="135"/>
  <c r="K71" i="135"/>
  <c r="R71" i="136"/>
  <c r="N71" i="136"/>
  <c r="O71" i="136"/>
  <c r="M71" i="136"/>
  <c r="I71" i="136"/>
  <c r="K71" i="136"/>
  <c r="L71" i="136"/>
  <c r="A72" i="136"/>
  <c r="P71" i="136"/>
  <c r="Q71" i="136"/>
  <c r="D71" i="136"/>
  <c r="H71" i="136"/>
  <c r="Z69" i="136"/>
  <c r="AA69" i="136"/>
  <c r="E174" i="138" s="1"/>
  <c r="X70" i="135"/>
  <c r="T71" i="136"/>
  <c r="Y70" i="136"/>
  <c r="C72" i="136" l="1"/>
  <c r="B72" i="136"/>
  <c r="C72" i="135"/>
  <c r="B72" i="135"/>
  <c r="S71" i="136"/>
  <c r="J71" i="136"/>
  <c r="W71" i="136" s="1"/>
  <c r="AA71" i="135"/>
  <c r="S71" i="135"/>
  <c r="J71" i="135"/>
  <c r="W71" i="135" s="1"/>
  <c r="F174" i="138"/>
  <c r="G174" i="138"/>
  <c r="AD72" i="136"/>
  <c r="AB72" i="136"/>
  <c r="AC72" i="136"/>
  <c r="AB72" i="135"/>
  <c r="AD72" i="135"/>
  <c r="AC72" i="135"/>
  <c r="Y71" i="135"/>
  <c r="Q72" i="135"/>
  <c r="T72" i="135" s="1"/>
  <c r="O72" i="135"/>
  <c r="M72" i="135"/>
  <c r="L72" i="135"/>
  <c r="K72" i="135"/>
  <c r="H72" i="135"/>
  <c r="A73" i="135"/>
  <c r="P72" i="135"/>
  <c r="N72" i="135"/>
  <c r="D72" i="135"/>
  <c r="R72" i="135"/>
  <c r="I72" i="135"/>
  <c r="A73" i="136"/>
  <c r="Q72" i="136"/>
  <c r="M72" i="136"/>
  <c r="R72" i="136"/>
  <c r="P72" i="136"/>
  <c r="L72" i="136"/>
  <c r="O72" i="136"/>
  <c r="D72" i="136"/>
  <c r="N72" i="136"/>
  <c r="I72" i="136"/>
  <c r="H72" i="136"/>
  <c r="K72" i="136"/>
  <c r="Z70" i="136"/>
  <c r="AA70" i="136"/>
  <c r="X70" i="136"/>
  <c r="T72" i="136"/>
  <c r="Y71" i="136"/>
  <c r="C73" i="136" l="1"/>
  <c r="B73" i="136"/>
  <c r="Y72" i="135"/>
  <c r="C73" i="135"/>
  <c r="B73" i="135"/>
  <c r="S72" i="136"/>
  <c r="J72" i="136"/>
  <c r="W72" i="136" s="1"/>
  <c r="AA72" i="135"/>
  <c r="S72" i="135"/>
  <c r="J72" i="135"/>
  <c r="W72" i="135" s="1"/>
  <c r="E175" i="138"/>
  <c r="G175" i="138"/>
  <c r="F175" i="138"/>
  <c r="X71" i="135"/>
  <c r="Z72" i="135"/>
  <c r="Z71" i="135"/>
  <c r="AD73" i="136"/>
  <c r="AB73" i="136"/>
  <c r="AC73" i="136"/>
  <c r="AC73" i="135"/>
  <c r="AB73" i="135"/>
  <c r="AD73" i="135"/>
  <c r="A74" i="135"/>
  <c r="P73" i="135"/>
  <c r="N73" i="135"/>
  <c r="D73" i="135"/>
  <c r="H73" i="135"/>
  <c r="R73" i="135"/>
  <c r="Q73" i="135"/>
  <c r="T73" i="135" s="1"/>
  <c r="O73" i="135"/>
  <c r="M73" i="135"/>
  <c r="K73" i="135"/>
  <c r="I73" i="135"/>
  <c r="L73" i="135"/>
  <c r="O73" i="136"/>
  <c r="D73" i="136"/>
  <c r="P73" i="136"/>
  <c r="N73" i="136"/>
  <c r="I73" i="136"/>
  <c r="Q73" i="136"/>
  <c r="T73" i="136" s="1"/>
  <c r="M73" i="136"/>
  <c r="A74" i="136"/>
  <c r="R73" i="136"/>
  <c r="K73" i="136"/>
  <c r="H73" i="136"/>
  <c r="L73" i="136"/>
  <c r="Z71" i="136"/>
  <c r="AA71" i="136"/>
  <c r="X72" i="135"/>
  <c r="X71" i="136"/>
  <c r="Y72" i="136"/>
  <c r="B74" i="136" l="1"/>
  <c r="C74" i="136"/>
  <c r="C74" i="135"/>
  <c r="B74" i="135"/>
  <c r="S73" i="136"/>
  <c r="J73" i="136"/>
  <c r="W73" i="136" s="1"/>
  <c r="AA73" i="135"/>
  <c r="S73" i="135"/>
  <c r="J73" i="135"/>
  <c r="W73" i="135" s="1"/>
  <c r="E176" i="138"/>
  <c r="G176" i="138"/>
  <c r="F176" i="138"/>
  <c r="AD74" i="136"/>
  <c r="AB74" i="136"/>
  <c r="AC74" i="136"/>
  <c r="Y73" i="135"/>
  <c r="Z73" i="135" s="1"/>
  <c r="AD74" i="135"/>
  <c r="AB74" i="135"/>
  <c r="AC74" i="135"/>
  <c r="A75" i="135"/>
  <c r="R74" i="135"/>
  <c r="P74" i="135"/>
  <c r="N74" i="135"/>
  <c r="D74" i="135"/>
  <c r="I74" i="135"/>
  <c r="Q74" i="135"/>
  <c r="T74" i="135" s="1"/>
  <c r="O74" i="135"/>
  <c r="M74" i="135"/>
  <c r="L74" i="135"/>
  <c r="K74" i="135"/>
  <c r="H74" i="135"/>
  <c r="A75" i="136"/>
  <c r="P74" i="136"/>
  <c r="I74" i="136"/>
  <c r="O74" i="136"/>
  <c r="Q74" i="136"/>
  <c r="T74" i="136" s="1"/>
  <c r="L74" i="136"/>
  <c r="R74" i="136"/>
  <c r="N74" i="136"/>
  <c r="D74" i="136"/>
  <c r="M74" i="136"/>
  <c r="H74" i="136"/>
  <c r="K74" i="136"/>
  <c r="Z72" i="136"/>
  <c r="AA72" i="136"/>
  <c r="E177" i="138" s="1"/>
  <c r="X72" i="136"/>
  <c r="Y73" i="136"/>
  <c r="C75" i="136" l="1"/>
  <c r="B75" i="136"/>
  <c r="Y74" i="135"/>
  <c r="X74" i="135" s="1"/>
  <c r="C75" i="135"/>
  <c r="B75" i="135"/>
  <c r="S74" i="136"/>
  <c r="J74" i="136"/>
  <c r="W74" i="136" s="1"/>
  <c r="AA74" i="135"/>
  <c r="S74" i="135"/>
  <c r="J74" i="135"/>
  <c r="W74" i="135" s="1"/>
  <c r="G177" i="138"/>
  <c r="F177" i="138"/>
  <c r="X73" i="135"/>
  <c r="AD75" i="136"/>
  <c r="AB75" i="136"/>
  <c r="AC75" i="136"/>
  <c r="AC75" i="135"/>
  <c r="AD75" i="135"/>
  <c r="AB75" i="135"/>
  <c r="A76" i="135"/>
  <c r="R75" i="135"/>
  <c r="P75" i="135"/>
  <c r="N75" i="135"/>
  <c r="D75" i="135"/>
  <c r="L75" i="135"/>
  <c r="I75" i="135"/>
  <c r="Q75" i="135"/>
  <c r="T75" i="135" s="1"/>
  <c r="O75" i="135"/>
  <c r="M75" i="135"/>
  <c r="K75" i="135"/>
  <c r="H75" i="135"/>
  <c r="A76" i="136"/>
  <c r="P75" i="136"/>
  <c r="Q75" i="136"/>
  <c r="T75" i="136" s="1"/>
  <c r="D75" i="136"/>
  <c r="H75" i="136"/>
  <c r="R75" i="136"/>
  <c r="N75" i="136"/>
  <c r="O75" i="136"/>
  <c r="M75" i="136"/>
  <c r="I75" i="136"/>
  <c r="K75" i="136"/>
  <c r="L75" i="136"/>
  <c r="Z73" i="136"/>
  <c r="AA73" i="136"/>
  <c r="X73" i="136"/>
  <c r="Y74" i="136"/>
  <c r="Z74" i="135" l="1"/>
  <c r="C76" i="136"/>
  <c r="B76" i="136"/>
  <c r="Y75" i="135"/>
  <c r="Z75" i="135" s="1"/>
  <c r="C76" i="135"/>
  <c r="B76" i="135"/>
  <c r="S75" i="136"/>
  <c r="J75" i="136"/>
  <c r="W75" i="136" s="1"/>
  <c r="AA75" i="135"/>
  <c r="S75" i="135"/>
  <c r="J75" i="135"/>
  <c r="W75" i="135" s="1"/>
  <c r="E178" i="138"/>
  <c r="G178" i="138"/>
  <c r="F178" i="138"/>
  <c r="AD76" i="136"/>
  <c r="AC76" i="136"/>
  <c r="AB76" i="136"/>
  <c r="AD76" i="135"/>
  <c r="AC76" i="135"/>
  <c r="AB76" i="135"/>
  <c r="A77" i="135"/>
  <c r="R76" i="135"/>
  <c r="P76" i="135"/>
  <c r="N76" i="135"/>
  <c r="D76" i="135"/>
  <c r="I76" i="135"/>
  <c r="H76" i="135"/>
  <c r="Q76" i="135"/>
  <c r="T76" i="135" s="1"/>
  <c r="O76" i="135"/>
  <c r="M76" i="135"/>
  <c r="L76" i="135"/>
  <c r="K76" i="135"/>
  <c r="A77" i="136"/>
  <c r="Q76" i="136"/>
  <c r="T76" i="136" s="1"/>
  <c r="M76" i="136"/>
  <c r="R76" i="136"/>
  <c r="P76" i="136"/>
  <c r="L76" i="136"/>
  <c r="D76" i="136"/>
  <c r="I76" i="136"/>
  <c r="K76" i="136"/>
  <c r="O76" i="136"/>
  <c r="N76" i="136"/>
  <c r="H76" i="136"/>
  <c r="Z74" i="136"/>
  <c r="AA74" i="136"/>
  <c r="X74" i="136"/>
  <c r="Y75" i="136"/>
  <c r="C77" i="136" l="1"/>
  <c r="B77" i="136"/>
  <c r="X75" i="135"/>
  <c r="C77" i="135"/>
  <c r="B77" i="135"/>
  <c r="S76" i="136"/>
  <c r="J76" i="136"/>
  <c r="W76" i="136" s="1"/>
  <c r="AA76" i="135"/>
  <c r="S76" i="135"/>
  <c r="J76" i="135"/>
  <c r="W76" i="135" s="1"/>
  <c r="E179" i="138"/>
  <c r="G179" i="138"/>
  <c r="F179" i="138"/>
  <c r="AB77" i="136"/>
  <c r="AC77" i="136"/>
  <c r="AD77" i="136"/>
  <c r="AB77" i="135"/>
  <c r="AC77" i="135"/>
  <c r="AD77" i="135"/>
  <c r="Y76" i="135"/>
  <c r="R77" i="135"/>
  <c r="P77" i="135"/>
  <c r="N77" i="135"/>
  <c r="A78" i="135"/>
  <c r="K77" i="135"/>
  <c r="I77" i="135"/>
  <c r="Q77" i="135"/>
  <c r="T77" i="135" s="1"/>
  <c r="O77" i="135"/>
  <c r="M77" i="135"/>
  <c r="D77" i="135"/>
  <c r="H77" i="135"/>
  <c r="L77" i="135"/>
  <c r="R77" i="136"/>
  <c r="N77" i="136"/>
  <c r="Q77" i="136"/>
  <c r="T77" i="136" s="1"/>
  <c r="A78" i="136"/>
  <c r="D77" i="136"/>
  <c r="K77" i="136"/>
  <c r="P77" i="136"/>
  <c r="L77" i="136"/>
  <c r="M77" i="136"/>
  <c r="O77" i="136"/>
  <c r="H77" i="136"/>
  <c r="I77" i="136"/>
  <c r="Z75" i="136"/>
  <c r="AA75" i="136"/>
  <c r="E180" i="138" s="1"/>
  <c r="X75" i="136"/>
  <c r="Y76" i="136"/>
  <c r="B78" i="136" l="1"/>
  <c r="C78" i="136"/>
  <c r="Y77" i="135"/>
  <c r="Z77" i="135" s="1"/>
  <c r="C78" i="135"/>
  <c r="B78" i="135"/>
  <c r="AA77" i="135"/>
  <c r="S77" i="135"/>
  <c r="J77" i="135"/>
  <c r="W77" i="135" s="1"/>
  <c r="S77" i="136"/>
  <c r="J77" i="136"/>
  <c r="W77" i="136" s="1"/>
  <c r="G180" i="138"/>
  <c r="F180" i="138"/>
  <c r="X76" i="135"/>
  <c r="Z76" i="135"/>
  <c r="AD78" i="136"/>
  <c r="AB78" i="136"/>
  <c r="AC78" i="136"/>
  <c r="AD78" i="135"/>
  <c r="AB78" i="135"/>
  <c r="AC78" i="135"/>
  <c r="A79" i="135"/>
  <c r="R78" i="135"/>
  <c r="Q78" i="135"/>
  <c r="T78" i="135" s="1"/>
  <c r="O78" i="135"/>
  <c r="M78" i="135"/>
  <c r="I78" i="135"/>
  <c r="D78" i="135"/>
  <c r="P78" i="135"/>
  <c r="N78" i="135"/>
  <c r="L78" i="135"/>
  <c r="K78" i="135"/>
  <c r="H78" i="135"/>
  <c r="A79" i="136"/>
  <c r="Q78" i="136"/>
  <c r="T78" i="136" s="1"/>
  <c r="M78" i="136"/>
  <c r="P78" i="136"/>
  <c r="N78" i="136"/>
  <c r="L78" i="136"/>
  <c r="O78" i="136"/>
  <c r="D78" i="136"/>
  <c r="K78" i="136"/>
  <c r="R78" i="136"/>
  <c r="H78" i="136"/>
  <c r="I78" i="136"/>
  <c r="Z76" i="136"/>
  <c r="AA76" i="136"/>
  <c r="E181" i="138" s="1"/>
  <c r="X77" i="135"/>
  <c r="X76" i="136"/>
  <c r="Y77" i="136"/>
  <c r="C79" i="136" l="1"/>
  <c r="B79" i="136"/>
  <c r="C79" i="135"/>
  <c r="B79" i="135"/>
  <c r="AA78" i="135"/>
  <c r="S78" i="135"/>
  <c r="J78" i="135"/>
  <c r="W78" i="135" s="1"/>
  <c r="S78" i="136"/>
  <c r="J78" i="136"/>
  <c r="W78" i="136" s="1"/>
  <c r="G181" i="138"/>
  <c r="F181" i="138"/>
  <c r="Y78" i="135"/>
  <c r="X78" i="135" s="1"/>
  <c r="AD79" i="136"/>
  <c r="AB79" i="136"/>
  <c r="AC79" i="136"/>
  <c r="AD79" i="135"/>
  <c r="AB79" i="135"/>
  <c r="AC79" i="135"/>
  <c r="A80" i="135"/>
  <c r="R79" i="135"/>
  <c r="P79" i="135"/>
  <c r="N79" i="135"/>
  <c r="D79" i="135"/>
  <c r="L79" i="135"/>
  <c r="I79" i="135"/>
  <c r="Q79" i="135"/>
  <c r="T79" i="135" s="1"/>
  <c r="O79" i="135"/>
  <c r="M79" i="135"/>
  <c r="H79" i="135"/>
  <c r="K79" i="135"/>
  <c r="A80" i="136"/>
  <c r="P79" i="136"/>
  <c r="L79" i="136"/>
  <c r="O79" i="136"/>
  <c r="D79" i="136"/>
  <c r="M79" i="136"/>
  <c r="R79" i="136"/>
  <c r="N79" i="136"/>
  <c r="H79" i="136"/>
  <c r="Q79" i="136"/>
  <c r="T79" i="136" s="1"/>
  <c r="K79" i="136"/>
  <c r="I79" i="136"/>
  <c r="Z77" i="136"/>
  <c r="AA77" i="136"/>
  <c r="X77" i="136"/>
  <c r="Y78" i="136"/>
  <c r="C80" i="136" l="1"/>
  <c r="B80" i="136"/>
  <c r="C80" i="135"/>
  <c r="B80" i="135"/>
  <c r="S79" i="136"/>
  <c r="J79" i="136"/>
  <c r="W79" i="136" s="1"/>
  <c r="AA79" i="135"/>
  <c r="S79" i="135"/>
  <c r="J79" i="135"/>
  <c r="W79" i="135" s="1"/>
  <c r="E182" i="138"/>
  <c r="G182" i="138"/>
  <c r="F182" i="138"/>
  <c r="Z78" i="135"/>
  <c r="AB80" i="136"/>
  <c r="AD80" i="136"/>
  <c r="AC80" i="136"/>
  <c r="AB80" i="135"/>
  <c r="AD80" i="135"/>
  <c r="AC80" i="135"/>
  <c r="Y79" i="135"/>
  <c r="A81" i="135"/>
  <c r="P80" i="135"/>
  <c r="N80" i="135"/>
  <c r="D80" i="135"/>
  <c r="R80" i="135"/>
  <c r="I80" i="135"/>
  <c r="Q80" i="135"/>
  <c r="T80" i="135" s="1"/>
  <c r="O80" i="135"/>
  <c r="M80" i="135"/>
  <c r="L80" i="135"/>
  <c r="K80" i="135"/>
  <c r="H80" i="135"/>
  <c r="A81" i="136"/>
  <c r="Q80" i="136"/>
  <c r="M80" i="136"/>
  <c r="R80" i="136"/>
  <c r="P80" i="136"/>
  <c r="L80" i="136"/>
  <c r="O80" i="136"/>
  <c r="D80" i="136"/>
  <c r="N80" i="136"/>
  <c r="K80" i="136"/>
  <c r="I80" i="136"/>
  <c r="H80" i="136"/>
  <c r="Z78" i="136"/>
  <c r="AA78" i="136"/>
  <c r="E183" i="138" s="1"/>
  <c r="X78" i="136"/>
  <c r="T80" i="136"/>
  <c r="Y79" i="136"/>
  <c r="C81" i="136" l="1"/>
  <c r="B81" i="136"/>
  <c r="C81" i="135"/>
  <c r="B81" i="135"/>
  <c r="S80" i="136"/>
  <c r="J80" i="136"/>
  <c r="W80" i="136" s="1"/>
  <c r="AA80" i="135"/>
  <c r="S80" i="135"/>
  <c r="J80" i="135"/>
  <c r="W80" i="135" s="1"/>
  <c r="X79" i="136"/>
  <c r="G183" i="138"/>
  <c r="F183" i="138"/>
  <c r="X79" i="135"/>
  <c r="Y80" i="135"/>
  <c r="Z79" i="135"/>
  <c r="AB81" i="136"/>
  <c r="AC81" i="136"/>
  <c r="AD81" i="136"/>
  <c r="AC81" i="135"/>
  <c r="AD81" i="135"/>
  <c r="AB81" i="135"/>
  <c r="A82" i="135"/>
  <c r="P81" i="135"/>
  <c r="N81" i="135"/>
  <c r="D81" i="135"/>
  <c r="I81" i="135"/>
  <c r="R81" i="135"/>
  <c r="Q81" i="135"/>
  <c r="T81" i="135" s="1"/>
  <c r="O81" i="135"/>
  <c r="M81" i="135"/>
  <c r="K81" i="135"/>
  <c r="H81" i="135"/>
  <c r="L81" i="135"/>
  <c r="P81" i="136"/>
  <c r="L81" i="136"/>
  <c r="Q81" i="136"/>
  <c r="O81" i="136"/>
  <c r="H81" i="136"/>
  <c r="I81" i="136"/>
  <c r="R81" i="136"/>
  <c r="N81" i="136"/>
  <c r="A82" i="136"/>
  <c r="M81" i="136"/>
  <c r="D81" i="136"/>
  <c r="K81" i="136"/>
  <c r="Z79" i="136"/>
  <c r="AA79" i="136"/>
  <c r="E184" i="138" s="1"/>
  <c r="T81" i="136"/>
  <c r="Y80" i="136"/>
  <c r="B82" i="136" l="1"/>
  <c r="C82" i="136"/>
  <c r="C82" i="135"/>
  <c r="B82" i="135"/>
  <c r="AA81" i="135"/>
  <c r="S81" i="135"/>
  <c r="J81" i="135"/>
  <c r="W81" i="135" s="1"/>
  <c r="S81" i="136"/>
  <c r="J81" i="136"/>
  <c r="W81" i="136" s="1"/>
  <c r="F184" i="138"/>
  <c r="Z80" i="135"/>
  <c r="G184" i="138"/>
  <c r="X80" i="135"/>
  <c r="AC82" i="136"/>
  <c r="AD82" i="136"/>
  <c r="AB82" i="136"/>
  <c r="AD82" i="135"/>
  <c r="AC82" i="135"/>
  <c r="AB82" i="135"/>
  <c r="Y81" i="135"/>
  <c r="A83" i="135"/>
  <c r="R82" i="135"/>
  <c r="Q82" i="135"/>
  <c r="T82" i="135" s="1"/>
  <c r="O82" i="135"/>
  <c r="M82" i="135"/>
  <c r="I82" i="135"/>
  <c r="H82" i="135"/>
  <c r="D82" i="135"/>
  <c r="P82" i="135"/>
  <c r="N82" i="135"/>
  <c r="L82" i="135"/>
  <c r="K82" i="135"/>
  <c r="A83" i="136"/>
  <c r="Q82" i="136"/>
  <c r="T82" i="136" s="1"/>
  <c r="M82" i="136"/>
  <c r="P82" i="136"/>
  <c r="N82" i="136"/>
  <c r="L82" i="136"/>
  <c r="K82" i="136"/>
  <c r="I82" i="136"/>
  <c r="O82" i="136"/>
  <c r="D82" i="136"/>
  <c r="R82" i="136"/>
  <c r="H82" i="136"/>
  <c r="Z80" i="136"/>
  <c r="AA80" i="136"/>
  <c r="E185" i="138" s="1"/>
  <c r="X80" i="136"/>
  <c r="Y81" i="136"/>
  <c r="C83" i="136" l="1"/>
  <c r="B83" i="136"/>
  <c r="C83" i="135"/>
  <c r="B83" i="135"/>
  <c r="S82" i="136"/>
  <c r="J82" i="136"/>
  <c r="W82" i="136" s="1"/>
  <c r="AA82" i="135"/>
  <c r="S82" i="135"/>
  <c r="J82" i="135"/>
  <c r="W82" i="135" s="1"/>
  <c r="X81" i="136"/>
  <c r="G185" i="138"/>
  <c r="F185" i="138"/>
  <c r="X81" i="135"/>
  <c r="Z81" i="135"/>
  <c r="AD83" i="136"/>
  <c r="AB83" i="136"/>
  <c r="AC83" i="136"/>
  <c r="AC83" i="135"/>
  <c r="AB83" i="135"/>
  <c r="AD83" i="135"/>
  <c r="Y82" i="135"/>
  <c r="Q83" i="135"/>
  <c r="T83" i="135" s="1"/>
  <c r="O83" i="135"/>
  <c r="M83" i="135"/>
  <c r="K83" i="135"/>
  <c r="H83" i="135"/>
  <c r="A84" i="135"/>
  <c r="R83" i="135"/>
  <c r="P83" i="135"/>
  <c r="N83" i="135"/>
  <c r="D83" i="135"/>
  <c r="L83" i="135"/>
  <c r="I83" i="135"/>
  <c r="R83" i="136"/>
  <c r="N83" i="136"/>
  <c r="H83" i="136"/>
  <c r="Q83" i="136"/>
  <c r="T83" i="136" s="1"/>
  <c r="K83" i="136"/>
  <c r="I83" i="136"/>
  <c r="A84" i="136"/>
  <c r="P83" i="136"/>
  <c r="L83" i="136"/>
  <c r="O83" i="136"/>
  <c r="D83" i="136"/>
  <c r="M83" i="136"/>
  <c r="Z81" i="136"/>
  <c r="AA81" i="136"/>
  <c r="Y82" i="136"/>
  <c r="C84" i="136" l="1"/>
  <c r="B84" i="136"/>
  <c r="C84" i="135"/>
  <c r="B84" i="135"/>
  <c r="S83" i="135"/>
  <c r="AA83" i="135" s="1"/>
  <c r="J83" i="135"/>
  <c r="W83" i="135" s="1"/>
  <c r="S83" i="136"/>
  <c r="J83" i="136"/>
  <c r="W83" i="136" s="1"/>
  <c r="E186" i="138"/>
  <c r="F186" i="138"/>
  <c r="G186" i="138"/>
  <c r="Z82" i="135"/>
  <c r="AD84" i="136"/>
  <c r="AB84" i="136"/>
  <c r="AC84" i="136"/>
  <c r="AD84" i="135"/>
  <c r="AC84" i="135"/>
  <c r="AB84" i="135"/>
  <c r="Y83" i="135"/>
  <c r="A85" i="135"/>
  <c r="R84" i="135"/>
  <c r="P84" i="135"/>
  <c r="N84" i="135"/>
  <c r="D84" i="135"/>
  <c r="I84" i="135"/>
  <c r="H84" i="135"/>
  <c r="Q84" i="135"/>
  <c r="T84" i="135" s="1"/>
  <c r="O84" i="135"/>
  <c r="M84" i="135"/>
  <c r="L84" i="135"/>
  <c r="K84" i="135"/>
  <c r="X82" i="135"/>
  <c r="A85" i="136"/>
  <c r="L84" i="136"/>
  <c r="O84" i="136"/>
  <c r="D84" i="136"/>
  <c r="N84" i="136"/>
  <c r="K84" i="136"/>
  <c r="H84" i="136"/>
  <c r="I84" i="136"/>
  <c r="Q84" i="136"/>
  <c r="T84" i="136" s="1"/>
  <c r="M84" i="136"/>
  <c r="R84" i="136"/>
  <c r="P84" i="136"/>
  <c r="Z82" i="136"/>
  <c r="AA82" i="136"/>
  <c r="E187" i="138" s="1"/>
  <c r="X82" i="136"/>
  <c r="Y83" i="136"/>
  <c r="C85" i="136" l="1"/>
  <c r="B85" i="136"/>
  <c r="Y84" i="135"/>
  <c r="Z84" i="135" s="1"/>
  <c r="C85" i="135"/>
  <c r="B85" i="135"/>
  <c r="S84" i="136"/>
  <c r="J84" i="136"/>
  <c r="W84" i="136" s="1"/>
  <c r="AA84" i="135"/>
  <c r="S84" i="135"/>
  <c r="J84" i="135"/>
  <c r="W84" i="135" s="1"/>
  <c r="X83" i="136"/>
  <c r="G187" i="138"/>
  <c r="F187" i="138"/>
  <c r="Z83" i="135"/>
  <c r="AD85" i="136"/>
  <c r="AB85" i="136"/>
  <c r="AC85" i="136"/>
  <c r="AB85" i="135"/>
  <c r="AC85" i="135"/>
  <c r="AD85" i="135"/>
  <c r="X83" i="135"/>
  <c r="R85" i="135"/>
  <c r="P85" i="135"/>
  <c r="N85" i="135"/>
  <c r="A86" i="135"/>
  <c r="K85" i="135"/>
  <c r="H85" i="135"/>
  <c r="L85" i="135"/>
  <c r="Q85" i="135"/>
  <c r="T85" i="135" s="1"/>
  <c r="O85" i="135"/>
  <c r="M85" i="135"/>
  <c r="D85" i="135"/>
  <c r="I85" i="135"/>
  <c r="P85" i="136"/>
  <c r="L85" i="136"/>
  <c r="M85" i="136"/>
  <c r="A86" i="136"/>
  <c r="H85" i="136"/>
  <c r="I85" i="136"/>
  <c r="R85" i="136"/>
  <c r="N85" i="136"/>
  <c r="Q85" i="136"/>
  <c r="T85" i="136" s="1"/>
  <c r="O85" i="136"/>
  <c r="D85" i="136"/>
  <c r="K85" i="136"/>
  <c r="Z83" i="136"/>
  <c r="AA83" i="136"/>
  <c r="E188" i="138" s="1"/>
  <c r="Y84" i="136"/>
  <c r="B86" i="136" l="1"/>
  <c r="C86" i="136"/>
  <c r="X84" i="135"/>
  <c r="Y85" i="135"/>
  <c r="Z85" i="135" s="1"/>
  <c r="C86" i="135"/>
  <c r="B86" i="135"/>
  <c r="S85" i="136"/>
  <c r="J85" i="136"/>
  <c r="W85" i="136" s="1"/>
  <c r="AA85" i="135"/>
  <c r="S85" i="135"/>
  <c r="J85" i="135"/>
  <c r="W85" i="135" s="1"/>
  <c r="F188" i="138"/>
  <c r="G188" i="138"/>
  <c r="AC86" i="136"/>
  <c r="AB86" i="136"/>
  <c r="AD86" i="136"/>
  <c r="AD86" i="135"/>
  <c r="AC86" i="135"/>
  <c r="AB86" i="135"/>
  <c r="B3" i="138"/>
  <c r="A87" i="135"/>
  <c r="R86" i="135"/>
  <c r="Q86" i="135"/>
  <c r="T86" i="135" s="1"/>
  <c r="O86" i="135"/>
  <c r="M86" i="135"/>
  <c r="I86" i="135"/>
  <c r="D86" i="135"/>
  <c r="P86" i="135"/>
  <c r="N86" i="135"/>
  <c r="L86" i="135"/>
  <c r="K86" i="135"/>
  <c r="H86" i="135"/>
  <c r="Q86" i="136"/>
  <c r="T86" i="136" s="1"/>
  <c r="O86" i="136"/>
  <c r="D86" i="136"/>
  <c r="K86" i="136"/>
  <c r="R86" i="136"/>
  <c r="H86" i="136"/>
  <c r="I86" i="136"/>
  <c r="A87" i="136"/>
  <c r="M86" i="136"/>
  <c r="P86" i="136"/>
  <c r="N86" i="136"/>
  <c r="L86" i="136"/>
  <c r="Z84" i="136"/>
  <c r="AA84" i="136"/>
  <c r="X84" i="136"/>
  <c r="Y85" i="136"/>
  <c r="C87" i="136" l="1"/>
  <c r="B87" i="136"/>
  <c r="X85" i="135"/>
  <c r="Y86" i="135"/>
  <c r="Z86" i="135" s="1"/>
  <c r="C87" i="135"/>
  <c r="B87" i="135"/>
  <c r="AA86" i="135"/>
  <c r="S86" i="135"/>
  <c r="J86" i="135"/>
  <c r="W86" i="135" s="1"/>
  <c r="S86" i="136"/>
  <c r="J86" i="136"/>
  <c r="W86" i="136" s="1"/>
  <c r="E189" i="138"/>
  <c r="G189" i="138"/>
  <c r="F189" i="138"/>
  <c r="H3" i="138"/>
  <c r="G3" i="138"/>
  <c r="F3" i="138"/>
  <c r="E3" i="138"/>
  <c r="C3" i="138"/>
  <c r="I3" i="138"/>
  <c r="D3" i="138"/>
  <c r="AD87" i="136"/>
  <c r="AB87" i="136"/>
  <c r="AC87" i="136"/>
  <c r="AD87" i="135"/>
  <c r="AB87" i="135"/>
  <c r="AC87" i="135"/>
  <c r="B4" i="138"/>
  <c r="A88" i="135"/>
  <c r="R87" i="135"/>
  <c r="P87" i="135"/>
  <c r="N87" i="135"/>
  <c r="D87" i="135"/>
  <c r="L87" i="135"/>
  <c r="I87" i="135"/>
  <c r="Q87" i="135"/>
  <c r="T87" i="135" s="1"/>
  <c r="O87" i="135"/>
  <c r="M87" i="135"/>
  <c r="H87" i="135"/>
  <c r="K87" i="135"/>
  <c r="A88" i="136"/>
  <c r="P87" i="136"/>
  <c r="L87" i="136"/>
  <c r="O87" i="136"/>
  <c r="D87" i="136"/>
  <c r="M87" i="136"/>
  <c r="R87" i="136"/>
  <c r="N87" i="136"/>
  <c r="H87" i="136"/>
  <c r="Q87" i="136"/>
  <c r="T87" i="136" s="1"/>
  <c r="K87" i="136"/>
  <c r="I87" i="136"/>
  <c r="Z85" i="136"/>
  <c r="AA85" i="136"/>
  <c r="E190" i="138" s="1"/>
  <c r="X85" i="136"/>
  <c r="Y86" i="136"/>
  <c r="C88" i="136" l="1"/>
  <c r="B88" i="136"/>
  <c r="X86" i="135"/>
  <c r="C88" i="135"/>
  <c r="B88" i="135"/>
  <c r="S87" i="135"/>
  <c r="AA87" i="135" s="1"/>
  <c r="J87" i="135"/>
  <c r="W87" i="135" s="1"/>
  <c r="S87" i="136"/>
  <c r="J87" i="136"/>
  <c r="W87" i="136" s="1"/>
  <c r="G190" i="138"/>
  <c r="F190" i="138"/>
  <c r="H4" i="138"/>
  <c r="G4" i="138"/>
  <c r="F4" i="138"/>
  <c r="E4" i="138"/>
  <c r="C4" i="138"/>
  <c r="I4" i="138"/>
  <c r="D4" i="138"/>
  <c r="AD88" i="136"/>
  <c r="AB88" i="136"/>
  <c r="AC88" i="136"/>
  <c r="AB88" i="135"/>
  <c r="AD88" i="135"/>
  <c r="AC88" i="135"/>
  <c r="Y87" i="135"/>
  <c r="B5" i="138"/>
  <c r="A89" i="135"/>
  <c r="P88" i="135"/>
  <c r="N88" i="135"/>
  <c r="D88" i="135"/>
  <c r="R88" i="135"/>
  <c r="I88" i="135"/>
  <c r="Q88" i="135"/>
  <c r="T88" i="135" s="1"/>
  <c r="O88" i="135"/>
  <c r="M88" i="135"/>
  <c r="L88" i="135"/>
  <c r="K88" i="135"/>
  <c r="H88" i="135"/>
  <c r="A89" i="136"/>
  <c r="Q88" i="136"/>
  <c r="M88" i="136"/>
  <c r="R88" i="136"/>
  <c r="P88" i="136"/>
  <c r="L88" i="136"/>
  <c r="O88" i="136"/>
  <c r="N88" i="136"/>
  <c r="H88" i="136"/>
  <c r="D88" i="136"/>
  <c r="K88" i="136"/>
  <c r="I88" i="136"/>
  <c r="Z86" i="136"/>
  <c r="AA86" i="136"/>
  <c r="E191" i="138" s="1"/>
  <c r="X86" i="136"/>
  <c r="T88" i="136"/>
  <c r="Y87" i="136"/>
  <c r="C89" i="136" l="1"/>
  <c r="B89" i="136"/>
  <c r="C89" i="135"/>
  <c r="B89" i="135"/>
  <c r="S88" i="136"/>
  <c r="J88" i="136"/>
  <c r="W88" i="136" s="1"/>
  <c r="AA88" i="135"/>
  <c r="S88" i="135"/>
  <c r="J88" i="135"/>
  <c r="W88" i="135" s="1"/>
  <c r="G191" i="138"/>
  <c r="F191" i="138"/>
  <c r="G5" i="138"/>
  <c r="F5" i="138"/>
  <c r="E5" i="138"/>
  <c r="D5" i="138"/>
  <c r="I5" i="138"/>
  <c r="Z87" i="135"/>
  <c r="AB89" i="136"/>
  <c r="AC89" i="136"/>
  <c r="AD89" i="136"/>
  <c r="X87" i="135"/>
  <c r="AC89" i="135"/>
  <c r="AB89" i="135"/>
  <c r="AD89" i="135"/>
  <c r="B6" i="138"/>
  <c r="Y88" i="135"/>
  <c r="A90" i="135"/>
  <c r="P89" i="135"/>
  <c r="N89" i="135"/>
  <c r="D89" i="135"/>
  <c r="H89" i="135"/>
  <c r="R89" i="135"/>
  <c r="Q89" i="135"/>
  <c r="T89" i="135" s="1"/>
  <c r="O89" i="135"/>
  <c r="M89" i="135"/>
  <c r="K89" i="135"/>
  <c r="I89" i="135"/>
  <c r="L89" i="135"/>
  <c r="R89" i="136"/>
  <c r="N89" i="136"/>
  <c r="A90" i="136"/>
  <c r="M89" i="136"/>
  <c r="D89" i="136"/>
  <c r="K89" i="136"/>
  <c r="P89" i="136"/>
  <c r="L89" i="136"/>
  <c r="Q89" i="136"/>
  <c r="T89" i="136" s="1"/>
  <c r="O89" i="136"/>
  <c r="H89" i="136"/>
  <c r="I89" i="136"/>
  <c r="Z87" i="136"/>
  <c r="AA87" i="136"/>
  <c r="E192" i="138" s="1"/>
  <c r="X87" i="136"/>
  <c r="Y88" i="136"/>
  <c r="B90" i="136" l="1"/>
  <c r="C90" i="136"/>
  <c r="Y89" i="135"/>
  <c r="Z89" i="135" s="1"/>
  <c r="C90" i="135"/>
  <c r="B90" i="135"/>
  <c r="S89" i="136"/>
  <c r="J89" i="136"/>
  <c r="W89" i="136" s="1"/>
  <c r="AA89" i="135"/>
  <c r="S89" i="135"/>
  <c r="J89" i="135"/>
  <c r="W89" i="135" s="1"/>
  <c r="G192" i="138"/>
  <c r="F192" i="138"/>
  <c r="X88" i="135"/>
  <c r="Z88" i="135"/>
  <c r="G6" i="138"/>
  <c r="F6" i="138"/>
  <c r="E6" i="138"/>
  <c r="I6" i="138"/>
  <c r="D6" i="138"/>
  <c r="AD90" i="136"/>
  <c r="AB90" i="136"/>
  <c r="AC90" i="136"/>
  <c r="AD90" i="135"/>
  <c r="AB90" i="135"/>
  <c r="AC90" i="135"/>
  <c r="B7" i="138"/>
  <c r="A91" i="135"/>
  <c r="R90" i="135"/>
  <c r="Q90" i="135"/>
  <c r="T90" i="135" s="1"/>
  <c r="O90" i="135"/>
  <c r="M90" i="135"/>
  <c r="I90" i="135"/>
  <c r="D90" i="135"/>
  <c r="P90" i="135"/>
  <c r="N90" i="135"/>
  <c r="L90" i="135"/>
  <c r="K90" i="135"/>
  <c r="H90" i="135"/>
  <c r="A91" i="136"/>
  <c r="Q90" i="136"/>
  <c r="T90" i="136" s="1"/>
  <c r="M90" i="136"/>
  <c r="P90" i="136"/>
  <c r="N90" i="136"/>
  <c r="L90" i="136"/>
  <c r="O90" i="136"/>
  <c r="D90" i="136"/>
  <c r="K90" i="136"/>
  <c r="R90" i="136"/>
  <c r="H90" i="136"/>
  <c r="I90" i="136"/>
  <c r="Z88" i="136"/>
  <c r="AA88" i="136"/>
  <c r="E193" i="138" s="1"/>
  <c r="X88" i="136"/>
  <c r="Y89" i="136"/>
  <c r="C91" i="136" l="1"/>
  <c r="B91" i="136"/>
  <c r="Y90" i="135"/>
  <c r="X90" i="135" s="1"/>
  <c r="X89" i="135"/>
  <c r="C91" i="135"/>
  <c r="B91" i="135"/>
  <c r="S90" i="136"/>
  <c r="J90" i="136"/>
  <c r="W90" i="136" s="1"/>
  <c r="AA90" i="135"/>
  <c r="S90" i="135"/>
  <c r="J90" i="135"/>
  <c r="W90" i="135" s="1"/>
  <c r="X89" i="136"/>
  <c r="G193" i="138"/>
  <c r="F193" i="138"/>
  <c r="Z90" i="135"/>
  <c r="G7" i="138"/>
  <c r="F7" i="138"/>
  <c r="E7" i="138"/>
  <c r="I7" i="138"/>
  <c r="D7" i="138"/>
  <c r="AD91" i="136"/>
  <c r="AB91" i="136"/>
  <c r="AC91" i="136"/>
  <c r="AC91" i="135"/>
  <c r="AD91" i="135"/>
  <c r="AB91" i="135"/>
  <c r="B8" i="138"/>
  <c r="Q91" i="135"/>
  <c r="T91" i="135" s="1"/>
  <c r="O91" i="135"/>
  <c r="M91" i="135"/>
  <c r="K91" i="135"/>
  <c r="H91" i="135"/>
  <c r="A92" i="135"/>
  <c r="R91" i="135"/>
  <c r="P91" i="135"/>
  <c r="N91" i="135"/>
  <c r="D91" i="135"/>
  <c r="L91" i="135"/>
  <c r="I91" i="135"/>
  <c r="A92" i="136"/>
  <c r="P91" i="136"/>
  <c r="L91" i="136"/>
  <c r="O91" i="136"/>
  <c r="D91" i="136"/>
  <c r="M91" i="136"/>
  <c r="R91" i="136"/>
  <c r="N91" i="136"/>
  <c r="H91" i="136"/>
  <c r="Q91" i="136"/>
  <c r="T91" i="136" s="1"/>
  <c r="K91" i="136"/>
  <c r="I91" i="136"/>
  <c r="Z89" i="136"/>
  <c r="AA89" i="136"/>
  <c r="E194" i="138" s="1"/>
  <c r="Y90" i="136"/>
  <c r="C92" i="136" l="1"/>
  <c r="B92" i="136"/>
  <c r="Y91" i="135"/>
  <c r="Z91" i="135" s="1"/>
  <c r="C92" i="135"/>
  <c r="B92" i="135"/>
  <c r="S91" i="135"/>
  <c r="AA91" i="135" s="1"/>
  <c r="J91" i="135"/>
  <c r="W91" i="135" s="1"/>
  <c r="S91" i="136"/>
  <c r="J91" i="136"/>
  <c r="W91" i="136" s="1"/>
  <c r="F194" i="138"/>
  <c r="G194" i="138"/>
  <c r="G8" i="138"/>
  <c r="F8" i="138"/>
  <c r="E8" i="138"/>
  <c r="I8" i="138"/>
  <c r="D8" i="138"/>
  <c r="AC92" i="136"/>
  <c r="AD92" i="136"/>
  <c r="AB92" i="136"/>
  <c r="AD92" i="135"/>
  <c r="AC92" i="135"/>
  <c r="AB92" i="135"/>
  <c r="B9" i="138"/>
  <c r="A93" i="135"/>
  <c r="R92" i="135"/>
  <c r="P92" i="135"/>
  <c r="N92" i="135"/>
  <c r="D92" i="135"/>
  <c r="I92" i="135"/>
  <c r="H92" i="135"/>
  <c r="Q92" i="135"/>
  <c r="T92" i="135" s="1"/>
  <c r="O92" i="135"/>
  <c r="M92" i="135"/>
  <c r="L92" i="135"/>
  <c r="K92" i="135"/>
  <c r="A93" i="136"/>
  <c r="P92" i="136"/>
  <c r="I92" i="136"/>
  <c r="M92" i="136"/>
  <c r="L92" i="136"/>
  <c r="R92" i="136"/>
  <c r="Q92" i="136"/>
  <c r="O92" i="136"/>
  <c r="D92" i="136"/>
  <c r="H92" i="136"/>
  <c r="N92" i="136"/>
  <c r="K92" i="136"/>
  <c r="Z90" i="136"/>
  <c r="AA90" i="136"/>
  <c r="E195" i="138" s="1"/>
  <c r="X90" i="136"/>
  <c r="X91" i="135"/>
  <c r="T92" i="136"/>
  <c r="Y91" i="136"/>
  <c r="C93" i="136" l="1"/>
  <c r="B93" i="136"/>
  <c r="C93" i="135"/>
  <c r="B93" i="135"/>
  <c r="S92" i="136"/>
  <c r="J92" i="136"/>
  <c r="W92" i="136" s="1"/>
  <c r="AA92" i="135"/>
  <c r="S92" i="135"/>
  <c r="J92" i="135"/>
  <c r="W92" i="135" s="1"/>
  <c r="G195" i="138"/>
  <c r="F195" i="138"/>
  <c r="G9" i="138"/>
  <c r="F9" i="138"/>
  <c r="E9" i="138"/>
  <c r="I9" i="138"/>
  <c r="D9" i="138"/>
  <c r="AD93" i="136"/>
  <c r="AB93" i="136"/>
  <c r="AC93" i="136"/>
  <c r="AB93" i="135"/>
  <c r="AC93" i="135"/>
  <c r="AD93" i="135"/>
  <c r="B10" i="138"/>
  <c r="Y92" i="135"/>
  <c r="Q93" i="135"/>
  <c r="T93" i="135" s="1"/>
  <c r="O93" i="135"/>
  <c r="M93" i="135"/>
  <c r="D93" i="135"/>
  <c r="H93" i="135"/>
  <c r="L93" i="135"/>
  <c r="R93" i="135"/>
  <c r="P93" i="135"/>
  <c r="N93" i="135"/>
  <c r="A94" i="135"/>
  <c r="K93" i="135"/>
  <c r="I93" i="135"/>
  <c r="R93" i="136"/>
  <c r="N93" i="136"/>
  <c r="M93" i="136"/>
  <c r="A94" i="136"/>
  <c r="O93" i="136"/>
  <c r="L93" i="136"/>
  <c r="I93" i="136"/>
  <c r="P93" i="136"/>
  <c r="Q93" i="136"/>
  <c r="T93" i="136" s="1"/>
  <c r="D93" i="136"/>
  <c r="K93" i="136"/>
  <c r="H93" i="136"/>
  <c r="Z91" i="136"/>
  <c r="AA91" i="136"/>
  <c r="E196" i="138" s="1"/>
  <c r="X91" i="136"/>
  <c r="Y92" i="136"/>
  <c r="B94" i="136" l="1"/>
  <c r="C94" i="136"/>
  <c r="C94" i="135"/>
  <c r="B94" i="135"/>
  <c r="S93" i="135"/>
  <c r="AA93" i="135" s="1"/>
  <c r="J93" i="135"/>
  <c r="W93" i="135" s="1"/>
  <c r="S93" i="136"/>
  <c r="J93" i="136"/>
  <c r="W93" i="136" s="1"/>
  <c r="G196" i="138"/>
  <c r="F196" i="138"/>
  <c r="Z92" i="135"/>
  <c r="G10" i="138"/>
  <c r="F10" i="138"/>
  <c r="E10" i="138"/>
  <c r="I10" i="138"/>
  <c r="D10" i="138"/>
  <c r="AD94" i="136"/>
  <c r="AB94" i="136"/>
  <c r="AC94" i="136"/>
  <c r="AD94" i="135"/>
  <c r="AC94" i="135"/>
  <c r="AB94" i="135"/>
  <c r="X92" i="135"/>
  <c r="B11" i="138"/>
  <c r="Y93" i="135"/>
  <c r="A95" i="135"/>
  <c r="R94" i="135"/>
  <c r="Q94" i="135"/>
  <c r="T94" i="135" s="1"/>
  <c r="O94" i="135"/>
  <c r="M94" i="135"/>
  <c r="I94" i="135"/>
  <c r="H94" i="135"/>
  <c r="D94" i="135"/>
  <c r="P94" i="135"/>
  <c r="N94" i="135"/>
  <c r="L94" i="135"/>
  <c r="K94" i="135"/>
  <c r="A95" i="136"/>
  <c r="Q94" i="136"/>
  <c r="M94" i="136"/>
  <c r="D94" i="136"/>
  <c r="N94" i="136"/>
  <c r="H94" i="136"/>
  <c r="I94" i="136"/>
  <c r="O94" i="136"/>
  <c r="P94" i="136"/>
  <c r="R94" i="136"/>
  <c r="L94" i="136"/>
  <c r="K94" i="136"/>
  <c r="Z92" i="136"/>
  <c r="AA92" i="136"/>
  <c r="X92" i="136"/>
  <c r="T94" i="136"/>
  <c r="Y93" i="136"/>
  <c r="C95" i="136" l="1"/>
  <c r="B95" i="136"/>
  <c r="C95" i="135"/>
  <c r="B95" i="135"/>
  <c r="S94" i="135"/>
  <c r="AA94" i="135" s="1"/>
  <c r="J94" i="135"/>
  <c r="W94" i="135" s="1"/>
  <c r="S94" i="136"/>
  <c r="J94" i="136"/>
  <c r="W94" i="136" s="1"/>
  <c r="E197" i="138"/>
  <c r="G197" i="138"/>
  <c r="F197" i="138"/>
  <c r="X93" i="135"/>
  <c r="Z93" i="135"/>
  <c r="G11" i="138"/>
  <c r="F11" i="138"/>
  <c r="E11" i="138"/>
  <c r="I11" i="138"/>
  <c r="D11" i="138"/>
  <c r="AD95" i="136"/>
  <c r="AB95" i="136"/>
  <c r="AC95" i="136"/>
  <c r="AD95" i="135"/>
  <c r="AB95" i="135"/>
  <c r="AC95" i="135"/>
  <c r="B12" i="138"/>
  <c r="Y94" i="135"/>
  <c r="X94" i="135" s="1"/>
  <c r="Q95" i="135"/>
  <c r="T95" i="135" s="1"/>
  <c r="O95" i="135"/>
  <c r="M95" i="135"/>
  <c r="H95" i="135"/>
  <c r="K95" i="135"/>
  <c r="A96" i="135"/>
  <c r="R95" i="135"/>
  <c r="P95" i="135"/>
  <c r="N95" i="135"/>
  <c r="D95" i="135"/>
  <c r="L95" i="135"/>
  <c r="I95" i="135"/>
  <c r="O95" i="136"/>
  <c r="P95" i="136"/>
  <c r="K95" i="136"/>
  <c r="Q95" i="136"/>
  <c r="T95" i="136" s="1"/>
  <c r="M95" i="136"/>
  <c r="A96" i="136"/>
  <c r="N95" i="136"/>
  <c r="D95" i="136"/>
  <c r="I95" i="136"/>
  <c r="H95" i="136"/>
  <c r="R95" i="136"/>
  <c r="L95" i="136"/>
  <c r="Z93" i="136"/>
  <c r="AA93" i="136"/>
  <c r="X93" i="136"/>
  <c r="Y94" i="136"/>
  <c r="C96" i="136" l="1"/>
  <c r="B96" i="136"/>
  <c r="C96" i="135"/>
  <c r="B96" i="135"/>
  <c r="S95" i="136"/>
  <c r="J95" i="136"/>
  <c r="W95" i="136" s="1"/>
  <c r="AA95" i="135"/>
  <c r="S95" i="135"/>
  <c r="J95" i="135"/>
  <c r="W95" i="135" s="1"/>
  <c r="E198" i="138"/>
  <c r="G198" i="138"/>
  <c r="F198" i="138"/>
  <c r="Z94" i="135"/>
  <c r="G12" i="138"/>
  <c r="F12" i="138"/>
  <c r="E12" i="138"/>
  <c r="I12" i="138"/>
  <c r="D12" i="138"/>
  <c r="AB96" i="136"/>
  <c r="AD96" i="136"/>
  <c r="AC96" i="136"/>
  <c r="AB96" i="135"/>
  <c r="AD96" i="135"/>
  <c r="AC96" i="135"/>
  <c r="B13" i="138"/>
  <c r="Y95" i="135"/>
  <c r="Q96" i="135"/>
  <c r="T96" i="135" s="1"/>
  <c r="O96" i="135"/>
  <c r="M96" i="135"/>
  <c r="L96" i="135"/>
  <c r="H96" i="135"/>
  <c r="A97" i="135"/>
  <c r="P96" i="135"/>
  <c r="N96" i="135"/>
  <c r="D96" i="135"/>
  <c r="R96" i="135"/>
  <c r="K96" i="135"/>
  <c r="I96" i="135"/>
  <c r="A97" i="136"/>
  <c r="Q96" i="136"/>
  <c r="M96" i="136"/>
  <c r="P96" i="136"/>
  <c r="R96" i="136"/>
  <c r="L96" i="136"/>
  <c r="O96" i="136"/>
  <c r="D96" i="136"/>
  <c r="I96" i="136"/>
  <c r="N96" i="136"/>
  <c r="H96" i="136"/>
  <c r="K96" i="136"/>
  <c r="Z94" i="136"/>
  <c r="AA94" i="136"/>
  <c r="X94" i="136"/>
  <c r="T96" i="136"/>
  <c r="Y95" i="136"/>
  <c r="C97" i="136" l="1"/>
  <c r="B97" i="136"/>
  <c r="C97" i="135"/>
  <c r="B97" i="135"/>
  <c r="S96" i="136"/>
  <c r="J96" i="136"/>
  <c r="W96" i="136" s="1"/>
  <c r="AA96" i="135"/>
  <c r="S96" i="135"/>
  <c r="J96" i="135"/>
  <c r="W96" i="135" s="1"/>
  <c r="E199" i="138"/>
  <c r="G199" i="138"/>
  <c r="F199" i="138"/>
  <c r="Z95" i="135"/>
  <c r="G13" i="138"/>
  <c r="F13" i="138"/>
  <c r="E13" i="138"/>
  <c r="D13" i="138"/>
  <c r="I13" i="138"/>
  <c r="AD97" i="136"/>
  <c r="AB97" i="136"/>
  <c r="AC97" i="136"/>
  <c r="AC97" i="135"/>
  <c r="AD97" i="135"/>
  <c r="AB97" i="135"/>
  <c r="B14" i="138"/>
  <c r="Y96" i="135"/>
  <c r="A98" i="135"/>
  <c r="P97" i="135"/>
  <c r="N97" i="135"/>
  <c r="D97" i="135"/>
  <c r="I97" i="135"/>
  <c r="R97" i="135"/>
  <c r="Q97" i="135"/>
  <c r="T97" i="135" s="1"/>
  <c r="O97" i="135"/>
  <c r="M97" i="135"/>
  <c r="K97" i="135"/>
  <c r="H97" i="135"/>
  <c r="L97" i="135"/>
  <c r="X95" i="135"/>
  <c r="R97" i="136"/>
  <c r="N97" i="136"/>
  <c r="D97" i="136"/>
  <c r="M97" i="136"/>
  <c r="O97" i="136"/>
  <c r="K97" i="136"/>
  <c r="I97" i="136"/>
  <c r="P97" i="136"/>
  <c r="Q97" i="136"/>
  <c r="T97" i="136" s="1"/>
  <c r="A98" i="136"/>
  <c r="L97" i="136"/>
  <c r="H97" i="136"/>
  <c r="Z95" i="136"/>
  <c r="AA95" i="136"/>
  <c r="X95" i="136"/>
  <c r="Y96" i="136"/>
  <c r="B98" i="136" l="1"/>
  <c r="C98" i="136"/>
  <c r="C98" i="135"/>
  <c r="B98" i="135"/>
  <c r="AA97" i="135"/>
  <c r="S97" i="135"/>
  <c r="J97" i="135"/>
  <c r="W97" i="135" s="1"/>
  <c r="S97" i="136"/>
  <c r="J97" i="136"/>
  <c r="W97" i="136" s="1"/>
  <c r="E200" i="138"/>
  <c r="G200" i="138"/>
  <c r="F200" i="138"/>
  <c r="X96" i="135"/>
  <c r="Z96" i="135"/>
  <c r="G14" i="138"/>
  <c r="F14" i="138"/>
  <c r="E14" i="138"/>
  <c r="I14" i="138"/>
  <c r="D14" i="138"/>
  <c r="AC98" i="136"/>
  <c r="AB98" i="136"/>
  <c r="AD98" i="136"/>
  <c r="AD98" i="135"/>
  <c r="AC98" i="135"/>
  <c r="AB98" i="135"/>
  <c r="B15" i="138"/>
  <c r="Y97" i="135"/>
  <c r="A99" i="135"/>
  <c r="R98" i="135"/>
  <c r="Q98" i="135"/>
  <c r="T98" i="135" s="1"/>
  <c r="O98" i="135"/>
  <c r="M98" i="135"/>
  <c r="I98" i="135"/>
  <c r="H98" i="135"/>
  <c r="D98" i="135"/>
  <c r="P98" i="135"/>
  <c r="N98" i="135"/>
  <c r="L98" i="135"/>
  <c r="K98" i="135"/>
  <c r="R98" i="136"/>
  <c r="N98" i="136"/>
  <c r="D98" i="136"/>
  <c r="Q98" i="136"/>
  <c r="T98" i="136" s="1"/>
  <c r="H98" i="136"/>
  <c r="I98" i="136"/>
  <c r="A99" i="136"/>
  <c r="P98" i="136"/>
  <c r="K98" i="136"/>
  <c r="O98" i="136"/>
  <c r="M98" i="136"/>
  <c r="L98" i="136"/>
  <c r="Z96" i="136"/>
  <c r="AA96" i="136"/>
  <c r="X96" i="136"/>
  <c r="Y97" i="136"/>
  <c r="C99" i="136" l="1"/>
  <c r="B99" i="136"/>
  <c r="C99" i="135"/>
  <c r="B99" i="135"/>
  <c r="S98" i="136"/>
  <c r="J98" i="136"/>
  <c r="W98" i="136" s="1"/>
  <c r="S98" i="135"/>
  <c r="AA98" i="135" s="1"/>
  <c r="J98" i="135"/>
  <c r="W98" i="135" s="1"/>
  <c r="E201" i="138"/>
  <c r="G201" i="138"/>
  <c r="F201" i="138"/>
  <c r="Z97" i="135"/>
  <c r="G15" i="138"/>
  <c r="F15" i="138"/>
  <c r="E15" i="138"/>
  <c r="I15" i="138"/>
  <c r="D15" i="138"/>
  <c r="AD99" i="136"/>
  <c r="AB99" i="136"/>
  <c r="AC99" i="136"/>
  <c r="AC99" i="135"/>
  <c r="AB99" i="135"/>
  <c r="AD99" i="135"/>
  <c r="X97" i="135"/>
  <c r="B16" i="138"/>
  <c r="Y98" i="135"/>
  <c r="Q99" i="135"/>
  <c r="T99" i="135" s="1"/>
  <c r="O99" i="135"/>
  <c r="M99" i="135"/>
  <c r="K99" i="135"/>
  <c r="H99" i="135"/>
  <c r="A100" i="135"/>
  <c r="R99" i="135"/>
  <c r="P99" i="135"/>
  <c r="N99" i="135"/>
  <c r="D99" i="135"/>
  <c r="L99" i="135"/>
  <c r="I99" i="135"/>
  <c r="Q99" i="136"/>
  <c r="T99" i="136" s="1"/>
  <c r="M99" i="136"/>
  <c r="D99" i="136"/>
  <c r="P99" i="136"/>
  <c r="R99" i="136"/>
  <c r="K99" i="136"/>
  <c r="I99" i="136"/>
  <c r="O99" i="136"/>
  <c r="H99" i="136"/>
  <c r="A100" i="136"/>
  <c r="L99" i="136"/>
  <c r="N99" i="136"/>
  <c r="Z97" i="136"/>
  <c r="AA97" i="136"/>
  <c r="X97" i="136"/>
  <c r="Y98" i="136"/>
  <c r="C100" i="136" l="1"/>
  <c r="B100" i="136"/>
  <c r="C100" i="135"/>
  <c r="B100" i="135"/>
  <c r="S99" i="135"/>
  <c r="AA99" i="135" s="1"/>
  <c r="J99" i="135"/>
  <c r="W99" i="135" s="1"/>
  <c r="S99" i="136"/>
  <c r="J99" i="136"/>
  <c r="W99" i="136" s="1"/>
  <c r="E202" i="138"/>
  <c r="G202" i="138"/>
  <c r="F202" i="138"/>
  <c r="Z98" i="135"/>
  <c r="G16" i="138"/>
  <c r="F16" i="138"/>
  <c r="E16" i="138"/>
  <c r="I16" i="138"/>
  <c r="D16" i="138"/>
  <c r="AD100" i="136"/>
  <c r="AB100" i="136"/>
  <c r="AC100" i="136"/>
  <c r="AD100" i="135"/>
  <c r="AC100" i="135"/>
  <c r="AB100" i="135"/>
  <c r="X98" i="135"/>
  <c r="B17" i="138"/>
  <c r="Y99" i="135"/>
  <c r="Q100" i="135"/>
  <c r="T100" i="135" s="1"/>
  <c r="O100" i="135"/>
  <c r="M100" i="135"/>
  <c r="L100" i="135"/>
  <c r="K100" i="135"/>
  <c r="A101" i="135"/>
  <c r="A102" i="135" s="1"/>
  <c r="R100" i="135"/>
  <c r="P100" i="135"/>
  <c r="N100" i="135"/>
  <c r="D100" i="135"/>
  <c r="H100" i="135"/>
  <c r="I100" i="135"/>
  <c r="A101" i="136"/>
  <c r="Q100" i="136"/>
  <c r="M100" i="136"/>
  <c r="R100" i="136"/>
  <c r="P100" i="136"/>
  <c r="L100" i="136"/>
  <c r="D100" i="136"/>
  <c r="I100" i="136"/>
  <c r="H100" i="136"/>
  <c r="O100" i="136"/>
  <c r="N100" i="136"/>
  <c r="K100" i="136"/>
  <c r="Z98" i="136"/>
  <c r="AA98" i="136"/>
  <c r="X98" i="136"/>
  <c r="T100" i="136"/>
  <c r="Y99" i="136"/>
  <c r="A102" i="136" l="1"/>
  <c r="C101" i="136"/>
  <c r="B101" i="136"/>
  <c r="P102" i="135"/>
  <c r="C102" i="135"/>
  <c r="H102" i="135"/>
  <c r="A103" i="135"/>
  <c r="Q102" i="135"/>
  <c r="M102" i="135"/>
  <c r="I102" i="135"/>
  <c r="B102" i="135"/>
  <c r="R102" i="135"/>
  <c r="AB102" i="135"/>
  <c r="L102" i="135"/>
  <c r="AC102" i="135"/>
  <c r="O102" i="135"/>
  <c r="K102" i="135"/>
  <c r="D102" i="135"/>
  <c r="N102" i="135"/>
  <c r="AD102" i="135"/>
  <c r="C101" i="135"/>
  <c r="B101" i="135"/>
  <c r="S100" i="136"/>
  <c r="J100" i="136"/>
  <c r="W100" i="136" s="1"/>
  <c r="S100" i="135"/>
  <c r="AA100" i="135" s="1"/>
  <c r="J100" i="135"/>
  <c r="W100" i="135" s="1"/>
  <c r="E203" i="138"/>
  <c r="X99" i="136"/>
  <c r="G203" i="138"/>
  <c r="F203" i="138"/>
  <c r="Z99" i="135"/>
  <c r="G17" i="138"/>
  <c r="F17" i="138"/>
  <c r="E17" i="138"/>
  <c r="I17" i="138"/>
  <c r="D17" i="138"/>
  <c r="AD101" i="136"/>
  <c r="AB101" i="136"/>
  <c r="AC101" i="136"/>
  <c r="AB101" i="135"/>
  <c r="AC101" i="135"/>
  <c r="AD101" i="135"/>
  <c r="X99" i="135"/>
  <c r="B18" i="138"/>
  <c r="Y100" i="135"/>
  <c r="Q101" i="135"/>
  <c r="T101" i="135" s="1"/>
  <c r="T102" i="135" s="1"/>
  <c r="O101" i="135"/>
  <c r="M101" i="135"/>
  <c r="K101" i="135"/>
  <c r="H101" i="135"/>
  <c r="L101" i="135"/>
  <c r="R101" i="135"/>
  <c r="P101" i="135"/>
  <c r="N101" i="135"/>
  <c r="D101" i="135"/>
  <c r="I101" i="135"/>
  <c r="O101" i="136"/>
  <c r="D101" i="136"/>
  <c r="R101" i="136"/>
  <c r="K101" i="136"/>
  <c r="H101" i="136"/>
  <c r="Q101" i="136"/>
  <c r="T101" i="136" s="1"/>
  <c r="M101" i="136"/>
  <c r="P101" i="136"/>
  <c r="N101" i="136"/>
  <c r="L101" i="136"/>
  <c r="I101" i="136"/>
  <c r="Z99" i="136"/>
  <c r="AA99" i="136"/>
  <c r="E204" i="138" s="1"/>
  <c r="Y100" i="136"/>
  <c r="P102" i="136" l="1"/>
  <c r="C102" i="136"/>
  <c r="H102" i="136"/>
  <c r="L102" i="136"/>
  <c r="A103" i="136"/>
  <c r="Q102" i="136"/>
  <c r="T102" i="136" s="1"/>
  <c r="M102" i="136"/>
  <c r="I102" i="136"/>
  <c r="B102" i="136"/>
  <c r="R102" i="136"/>
  <c r="AB102" i="136"/>
  <c r="AC102" i="136"/>
  <c r="O102" i="136"/>
  <c r="K102" i="136"/>
  <c r="D102" i="136"/>
  <c r="N102" i="136"/>
  <c r="AD102" i="136"/>
  <c r="AB103" i="135"/>
  <c r="P103" i="135"/>
  <c r="L103" i="135"/>
  <c r="C103" i="135"/>
  <c r="O103" i="135"/>
  <c r="D103" i="135"/>
  <c r="Q103" i="135"/>
  <c r="I103" i="135"/>
  <c r="AD103" i="135"/>
  <c r="R103" i="135"/>
  <c r="N103" i="135"/>
  <c r="H103" i="135"/>
  <c r="A104" i="135"/>
  <c r="K103" i="135"/>
  <c r="AC103" i="135"/>
  <c r="M103" i="135"/>
  <c r="B103" i="135"/>
  <c r="AA102" i="135"/>
  <c r="J102" i="135"/>
  <c r="W102" i="135" s="1"/>
  <c r="S102" i="135"/>
  <c r="T103" i="135"/>
  <c r="Y102" i="135"/>
  <c r="Z102" i="135" s="1"/>
  <c r="S101" i="136"/>
  <c r="J101" i="136"/>
  <c r="W101" i="136" s="1"/>
  <c r="S101" i="135"/>
  <c r="AA101" i="135" s="1"/>
  <c r="J101" i="135"/>
  <c r="W101" i="135" s="1"/>
  <c r="F204" i="138"/>
  <c r="X100" i="135"/>
  <c r="G204" i="138"/>
  <c r="Z100" i="135"/>
  <c r="G18" i="138"/>
  <c r="F18" i="138"/>
  <c r="E18" i="138"/>
  <c r="I18" i="138"/>
  <c r="D18" i="138"/>
  <c r="B19" i="138"/>
  <c r="Y101" i="135"/>
  <c r="X101" i="135" s="1"/>
  <c r="Z100" i="136"/>
  <c r="AA100" i="136"/>
  <c r="X100" i="136"/>
  <c r="Y101" i="136"/>
  <c r="Y102" i="136" l="1"/>
  <c r="Z102" i="136" s="1"/>
  <c r="J102" i="136"/>
  <c r="W102" i="136" s="1"/>
  <c r="S102" i="136"/>
  <c r="AB103" i="136"/>
  <c r="P103" i="136"/>
  <c r="L103" i="136"/>
  <c r="C103" i="136"/>
  <c r="O103" i="136"/>
  <c r="D103" i="136"/>
  <c r="Q103" i="136"/>
  <c r="T103" i="136" s="1"/>
  <c r="I103" i="136"/>
  <c r="AD103" i="136"/>
  <c r="R103" i="136"/>
  <c r="N103" i="136"/>
  <c r="H103" i="136"/>
  <c r="A104" i="136"/>
  <c r="K103" i="136"/>
  <c r="AC103" i="136"/>
  <c r="M103" i="136"/>
  <c r="B103" i="136"/>
  <c r="J103" i="135"/>
  <c r="W103" i="135" s="1"/>
  <c r="S103" i="135"/>
  <c r="AA103" i="135"/>
  <c r="AC104" i="135"/>
  <c r="O104" i="135"/>
  <c r="K104" i="135"/>
  <c r="D104" i="135"/>
  <c r="AD104" i="135"/>
  <c r="R104" i="135"/>
  <c r="N104" i="135"/>
  <c r="H104" i="135"/>
  <c r="A105" i="135"/>
  <c r="Q104" i="135"/>
  <c r="M104" i="135"/>
  <c r="I104" i="135"/>
  <c r="B104" i="135"/>
  <c r="AB104" i="135"/>
  <c r="P104" i="135"/>
  <c r="L104" i="135"/>
  <c r="C104" i="135"/>
  <c r="AA102" i="136"/>
  <c r="E207" i="138" s="1"/>
  <c r="X102" i="135"/>
  <c r="T104" i="135"/>
  <c r="Y103" i="135"/>
  <c r="Z103" i="135" s="1"/>
  <c r="E205" i="138"/>
  <c r="G205" i="138"/>
  <c r="F205" i="138"/>
  <c r="Z101" i="135"/>
  <c r="G19" i="138"/>
  <c r="F19" i="138"/>
  <c r="E19" i="138"/>
  <c r="I19" i="138"/>
  <c r="D19" i="138"/>
  <c r="B20" i="138"/>
  <c r="Z101" i="136"/>
  <c r="AA101" i="136"/>
  <c r="X101" i="136"/>
  <c r="Y103" i="136" l="1"/>
  <c r="Z103" i="136" s="1"/>
  <c r="A105" i="136"/>
  <c r="Q104" i="136"/>
  <c r="T104" i="136" s="1"/>
  <c r="M104" i="136"/>
  <c r="I104" i="136"/>
  <c r="B104" i="136"/>
  <c r="AB104" i="136"/>
  <c r="P104" i="136"/>
  <c r="L104" i="136"/>
  <c r="C104" i="136"/>
  <c r="AC104" i="136"/>
  <c r="O104" i="136"/>
  <c r="K104" i="136"/>
  <c r="D104" i="136"/>
  <c r="AD104" i="136"/>
  <c r="R104" i="136"/>
  <c r="N104" i="136"/>
  <c r="H104" i="136"/>
  <c r="X102" i="136"/>
  <c r="S103" i="136"/>
  <c r="AA103" i="136" s="1"/>
  <c r="E208" i="138" s="1"/>
  <c r="J103" i="136"/>
  <c r="W103" i="136" s="1"/>
  <c r="AD105" i="135"/>
  <c r="R105" i="135"/>
  <c r="N105" i="135"/>
  <c r="H105" i="135"/>
  <c r="AC105" i="135"/>
  <c r="O105" i="135"/>
  <c r="K105" i="135"/>
  <c r="U103" i="135" s="1"/>
  <c r="D105" i="135"/>
  <c r="AB105" i="135"/>
  <c r="P105" i="135"/>
  <c r="L105" i="135"/>
  <c r="V103" i="135" s="1"/>
  <c r="C105" i="135"/>
  <c r="Q105" i="135"/>
  <c r="M105" i="135"/>
  <c r="I105" i="135"/>
  <c r="B105" i="135"/>
  <c r="S104" i="135"/>
  <c r="AA104" i="135"/>
  <c r="J104" i="135"/>
  <c r="W104" i="135" s="1"/>
  <c r="G207" i="138"/>
  <c r="F207" i="138"/>
  <c r="X103" i="135"/>
  <c r="T105" i="135"/>
  <c r="Y104" i="135"/>
  <c r="Z104" i="135" s="1"/>
  <c r="E206" i="138"/>
  <c r="G206" i="138"/>
  <c r="F206" i="138"/>
  <c r="G20" i="138"/>
  <c r="F20" i="138"/>
  <c r="E20" i="138"/>
  <c r="I20" i="138"/>
  <c r="D20" i="138"/>
  <c r="B21" i="138"/>
  <c r="U63" i="135" l="1"/>
  <c r="U76" i="135"/>
  <c r="U88" i="135"/>
  <c r="U13" i="135"/>
  <c r="C13" i="138" s="1"/>
  <c r="U28" i="135"/>
  <c r="U67" i="135"/>
  <c r="U46" i="135"/>
  <c r="U5" i="135"/>
  <c r="C5" i="138" s="1"/>
  <c r="U85" i="135"/>
  <c r="U84" i="135"/>
  <c r="U101" i="135"/>
  <c r="U17" i="135"/>
  <c r="C17" i="138" s="1"/>
  <c r="U64" i="135"/>
  <c r="U32" i="135"/>
  <c r="U72" i="135"/>
  <c r="U39" i="135"/>
  <c r="U12" i="135"/>
  <c r="C12" i="138" s="1"/>
  <c r="U74" i="135"/>
  <c r="U77" i="135"/>
  <c r="U58" i="135"/>
  <c r="U69" i="135"/>
  <c r="U92" i="135"/>
  <c r="U94" i="135"/>
  <c r="U38" i="135"/>
  <c r="U91" i="135"/>
  <c r="U37" i="135"/>
  <c r="U26" i="135"/>
  <c r="U60" i="135"/>
  <c r="U70" i="135"/>
  <c r="U27" i="135"/>
  <c r="U23" i="135"/>
  <c r="U104" i="135"/>
  <c r="U35" i="135"/>
  <c r="U22" i="135"/>
  <c r="U29" i="135"/>
  <c r="U59" i="135"/>
  <c r="U68" i="135"/>
  <c r="U102" i="135"/>
  <c r="U15" i="135"/>
  <c r="C15" i="138" s="1"/>
  <c r="U7" i="135"/>
  <c r="C7" i="138" s="1"/>
  <c r="U47" i="135"/>
  <c r="U81" i="135"/>
  <c r="U6" i="135"/>
  <c r="C6" i="138" s="1"/>
  <c r="U45" i="135"/>
  <c r="U11" i="135"/>
  <c r="C11" i="138" s="1"/>
  <c r="U44" i="135"/>
  <c r="U14" i="135"/>
  <c r="C14" i="138" s="1"/>
  <c r="U52" i="135"/>
  <c r="U78" i="135"/>
  <c r="U61" i="135"/>
  <c r="U97" i="135"/>
  <c r="U36" i="135"/>
  <c r="V66" i="135"/>
  <c r="V74" i="135"/>
  <c r="V37" i="135"/>
  <c r="U54" i="135"/>
  <c r="U87" i="135"/>
  <c r="U30" i="135"/>
  <c r="V93" i="135"/>
  <c r="V61" i="135"/>
  <c r="V28" i="135"/>
  <c r="V100" i="135"/>
  <c r="V71" i="135"/>
  <c r="V39" i="135"/>
  <c r="V7" i="135"/>
  <c r="V84" i="135"/>
  <c r="V68" i="135"/>
  <c r="V52" i="135"/>
  <c r="V36" i="135"/>
  <c r="V20" i="135"/>
  <c r="H20" i="138" s="1"/>
  <c r="V101" i="135"/>
  <c r="U33" i="135"/>
  <c r="U65" i="135"/>
  <c r="U80" i="135"/>
  <c r="U19" i="135"/>
  <c r="C19" i="138" s="1"/>
  <c r="U90" i="135"/>
  <c r="U71" i="135"/>
  <c r="U40" i="135"/>
  <c r="U9" i="135"/>
  <c r="C9" i="138" s="1"/>
  <c r="V25" i="135"/>
  <c r="V81" i="135"/>
  <c r="V19" i="135"/>
  <c r="H19" i="138" s="1"/>
  <c r="V104" i="135"/>
  <c r="V86" i="135"/>
  <c r="V53" i="135"/>
  <c r="V21" i="135"/>
  <c r="H21" i="138" s="1"/>
  <c r="V95" i="135"/>
  <c r="V63" i="135"/>
  <c r="V31" i="135"/>
  <c r="V96" i="135"/>
  <c r="V77" i="135"/>
  <c r="V64" i="135"/>
  <c r="V49" i="135"/>
  <c r="V32" i="135"/>
  <c r="V17" i="135"/>
  <c r="H17" i="138" s="1"/>
  <c r="U8" i="135"/>
  <c r="C8" i="138" s="1"/>
  <c r="U41" i="135"/>
  <c r="U73" i="135"/>
  <c r="U66" i="135"/>
  <c r="U99" i="135"/>
  <c r="U86" i="135"/>
  <c r="U62" i="135"/>
  <c r="U31" i="135"/>
  <c r="V42" i="135"/>
  <c r="V57" i="135"/>
  <c r="V65" i="135"/>
  <c r="V34" i="135"/>
  <c r="V82" i="135"/>
  <c r="V16" i="135"/>
  <c r="H16" i="138" s="1"/>
  <c r="V59" i="135"/>
  <c r="V62" i="135"/>
  <c r="V98" i="135"/>
  <c r="V85" i="135"/>
  <c r="V22" i="135"/>
  <c r="V89" i="135"/>
  <c r="V99" i="135"/>
  <c r="V102" i="135"/>
  <c r="V51" i="135"/>
  <c r="V44" i="135"/>
  <c r="V29" i="135"/>
  <c r="V12" i="135"/>
  <c r="H12" i="138" s="1"/>
  <c r="U18" i="135"/>
  <c r="C18" i="138" s="1"/>
  <c r="U48" i="135"/>
  <c r="U96" i="135"/>
  <c r="U50" i="135"/>
  <c r="U100" i="135"/>
  <c r="U82" i="135"/>
  <c r="U56" i="135"/>
  <c r="U24" i="135"/>
  <c r="V97" i="135"/>
  <c r="V11" i="135"/>
  <c r="H11" i="138" s="1"/>
  <c r="V54" i="135"/>
  <c r="V35" i="135"/>
  <c r="V48" i="135"/>
  <c r="V91" i="135"/>
  <c r="V26" i="135"/>
  <c r="V94" i="135"/>
  <c r="V79" i="135"/>
  <c r="V46" i="135"/>
  <c r="V30" i="135"/>
  <c r="V13" i="135"/>
  <c r="H13" i="138" s="1"/>
  <c r="V78" i="135"/>
  <c r="V45" i="135"/>
  <c r="V14" i="135"/>
  <c r="H14" i="138" s="1"/>
  <c r="V87" i="135"/>
  <c r="V55" i="135"/>
  <c r="V23" i="135"/>
  <c r="V92" i="135"/>
  <c r="V76" i="135"/>
  <c r="V60" i="135"/>
  <c r="U10" i="135"/>
  <c r="C10" i="138" s="1"/>
  <c r="U43" i="135"/>
  <c r="U75" i="135"/>
  <c r="U55" i="135"/>
  <c r="V73" i="135"/>
  <c r="V41" i="135"/>
  <c r="V9" i="135"/>
  <c r="H9" i="138" s="1"/>
  <c r="V83" i="135"/>
  <c r="V50" i="135"/>
  <c r="V18" i="135"/>
  <c r="H18" i="138" s="1"/>
  <c r="V90" i="135"/>
  <c r="V75" i="135"/>
  <c r="V58" i="135"/>
  <c r="V43" i="135"/>
  <c r="V27" i="135"/>
  <c r="V10" i="135"/>
  <c r="H10" i="138" s="1"/>
  <c r="U20" i="135"/>
  <c r="C20" i="138" s="1"/>
  <c r="U53" i="135"/>
  <c r="U93" i="135"/>
  <c r="U42" i="135"/>
  <c r="U98" i="135"/>
  <c r="U83" i="135"/>
  <c r="U51" i="135"/>
  <c r="U21" i="135"/>
  <c r="V33" i="135"/>
  <c r="V70" i="135"/>
  <c r="V6" i="135"/>
  <c r="H6" i="138" s="1"/>
  <c r="V67" i="135"/>
  <c r="V69" i="135"/>
  <c r="V38" i="135"/>
  <c r="V5" i="135"/>
  <c r="H5" i="138" s="1"/>
  <c r="V80" i="135"/>
  <c r="V47" i="135"/>
  <c r="V15" i="135"/>
  <c r="H15" i="138" s="1"/>
  <c r="V88" i="135"/>
  <c r="V72" i="135"/>
  <c r="V56" i="135"/>
  <c r="V40" i="135"/>
  <c r="V24" i="135"/>
  <c r="V8" i="135"/>
  <c r="H8" i="138" s="1"/>
  <c r="U25" i="135"/>
  <c r="U57" i="135"/>
  <c r="U89" i="135"/>
  <c r="U34" i="135"/>
  <c r="U95" i="135"/>
  <c r="U79" i="135"/>
  <c r="U49" i="135"/>
  <c r="U16" i="135"/>
  <c r="C16" i="138" s="1"/>
  <c r="Y104" i="136"/>
  <c r="Z104" i="136" s="1"/>
  <c r="X103" i="136"/>
  <c r="G208" i="138" s="1"/>
  <c r="J104" i="136"/>
  <c r="W104" i="136" s="1"/>
  <c r="S104" i="136"/>
  <c r="AB105" i="136"/>
  <c r="P105" i="136"/>
  <c r="L105" i="136"/>
  <c r="V104" i="136" s="1"/>
  <c r="H209" i="138" s="1"/>
  <c r="C105" i="136"/>
  <c r="Q105" i="136"/>
  <c r="T105" i="136" s="1"/>
  <c r="M105" i="136"/>
  <c r="I105" i="136"/>
  <c r="B105" i="136"/>
  <c r="AD105" i="136"/>
  <c r="R105" i="136"/>
  <c r="N105" i="136"/>
  <c r="H105" i="136"/>
  <c r="AC105" i="136"/>
  <c r="O105" i="136"/>
  <c r="K105" i="136"/>
  <c r="U104" i="136" s="1"/>
  <c r="C209" i="138" s="1"/>
  <c r="D105" i="136"/>
  <c r="AA105" i="135"/>
  <c r="J105" i="135"/>
  <c r="W105" i="135" s="1"/>
  <c r="S105" i="135"/>
  <c r="V105" i="135"/>
  <c r="U105" i="135"/>
  <c r="X104" i="136"/>
  <c r="F208" i="138"/>
  <c r="X104" i="135"/>
  <c r="Y105" i="135"/>
  <c r="Z105" i="135" s="1"/>
  <c r="G21" i="138"/>
  <c r="F21" i="138"/>
  <c r="E21" i="138"/>
  <c r="C21" i="138"/>
  <c r="D21" i="138"/>
  <c r="I21" i="138"/>
  <c r="B22" i="138"/>
  <c r="AA104" i="136" l="1"/>
  <c r="E209" i="138" s="1"/>
  <c r="U103" i="136"/>
  <c r="C208" i="138" s="1"/>
  <c r="V22" i="136"/>
  <c r="H127" i="138" s="1"/>
  <c r="V54" i="136"/>
  <c r="H159" i="138" s="1"/>
  <c r="V86" i="136"/>
  <c r="H191" i="138" s="1"/>
  <c r="V41" i="136"/>
  <c r="H146" i="138" s="1"/>
  <c r="U5" i="136"/>
  <c r="C110" i="138" s="1"/>
  <c r="U37" i="136"/>
  <c r="C142" i="138" s="1"/>
  <c r="U95" i="136"/>
  <c r="C200" i="138" s="1"/>
  <c r="V11" i="136"/>
  <c r="H116" i="138" s="1"/>
  <c r="V74" i="136"/>
  <c r="H179" i="138" s="1"/>
  <c r="U46" i="136"/>
  <c r="C151" i="138" s="1"/>
  <c r="U98" i="136"/>
  <c r="C203" i="138" s="1"/>
  <c r="U101" i="136"/>
  <c r="C206" i="138" s="1"/>
  <c r="U34" i="136"/>
  <c r="C139" i="138" s="1"/>
  <c r="U68" i="136"/>
  <c r="C173" i="138" s="1"/>
  <c r="U102" i="136"/>
  <c r="C207" i="138" s="1"/>
  <c r="V6" i="136"/>
  <c r="H111" i="138" s="1"/>
  <c r="V37" i="136"/>
  <c r="H142" i="138" s="1"/>
  <c r="V69" i="136"/>
  <c r="H174" i="138" s="1"/>
  <c r="V9" i="136"/>
  <c r="H114" i="138" s="1"/>
  <c r="V73" i="136"/>
  <c r="H178" i="138" s="1"/>
  <c r="U21" i="136"/>
  <c r="C126" i="138" s="1"/>
  <c r="U63" i="136"/>
  <c r="C168" i="138" s="1"/>
  <c r="U73" i="136"/>
  <c r="C178" i="138" s="1"/>
  <c r="V42" i="136"/>
  <c r="H147" i="138" s="1"/>
  <c r="U14" i="136"/>
  <c r="C119" i="138" s="1"/>
  <c r="U78" i="136"/>
  <c r="C183" i="138" s="1"/>
  <c r="U20" i="136"/>
  <c r="C125" i="138" s="1"/>
  <c r="U52" i="136"/>
  <c r="C157" i="138" s="1"/>
  <c r="U84" i="136"/>
  <c r="C189" i="138" s="1"/>
  <c r="V15" i="136"/>
  <c r="H120" i="138" s="1"/>
  <c r="V30" i="136"/>
  <c r="H135" i="138" s="1"/>
  <c r="V48" i="136"/>
  <c r="H153" i="138" s="1"/>
  <c r="V62" i="136"/>
  <c r="H167" i="138" s="1"/>
  <c r="V78" i="136"/>
  <c r="H183" i="138" s="1"/>
  <c r="V94" i="136"/>
  <c r="H199" i="138" s="1"/>
  <c r="V25" i="136"/>
  <c r="H130" i="138" s="1"/>
  <c r="V57" i="136"/>
  <c r="H162" i="138" s="1"/>
  <c r="V90" i="136"/>
  <c r="H195" i="138" s="1"/>
  <c r="U13" i="136"/>
  <c r="C118" i="138" s="1"/>
  <c r="U28" i="136"/>
  <c r="C133" i="138" s="1"/>
  <c r="U48" i="136"/>
  <c r="C153" i="138" s="1"/>
  <c r="U79" i="136"/>
  <c r="C184" i="138" s="1"/>
  <c r="U57" i="136"/>
  <c r="C162" i="138" s="1"/>
  <c r="U89" i="136"/>
  <c r="C194" i="138" s="1"/>
  <c r="V27" i="136"/>
  <c r="H132" i="138" s="1"/>
  <c r="V58" i="136"/>
  <c r="H163" i="138" s="1"/>
  <c r="V92" i="136"/>
  <c r="H197" i="138" s="1"/>
  <c r="U30" i="136"/>
  <c r="C135" i="138" s="1"/>
  <c r="U62" i="136"/>
  <c r="C167" i="138" s="1"/>
  <c r="U94" i="136"/>
  <c r="C199" i="138" s="1"/>
  <c r="U10" i="136"/>
  <c r="C115" i="138" s="1"/>
  <c r="U29" i="136"/>
  <c r="C134" i="138" s="1"/>
  <c r="U44" i="136"/>
  <c r="C149" i="138" s="1"/>
  <c r="U60" i="136"/>
  <c r="C165" i="138" s="1"/>
  <c r="U76" i="136"/>
  <c r="C181" i="138" s="1"/>
  <c r="U92" i="136"/>
  <c r="C197" i="138" s="1"/>
  <c r="U105" i="136"/>
  <c r="Y105" i="136"/>
  <c r="Z105" i="136" s="1"/>
  <c r="V105" i="136"/>
  <c r="S105" i="136"/>
  <c r="J105" i="136"/>
  <c r="W105" i="136" s="1"/>
  <c r="U99" i="136"/>
  <c r="C204" i="138" s="1"/>
  <c r="U6" i="136"/>
  <c r="C111" i="138" s="1"/>
  <c r="U12" i="136"/>
  <c r="C117" i="138" s="1"/>
  <c r="U16" i="136"/>
  <c r="C121" i="138" s="1"/>
  <c r="U19" i="136"/>
  <c r="C124" i="138" s="1"/>
  <c r="U22" i="136"/>
  <c r="C127" i="138" s="1"/>
  <c r="U27" i="136"/>
  <c r="C132" i="138" s="1"/>
  <c r="U32" i="136"/>
  <c r="C137" i="138" s="1"/>
  <c r="U36" i="136"/>
  <c r="C141" i="138" s="1"/>
  <c r="U38" i="136"/>
  <c r="C143" i="138" s="1"/>
  <c r="U43" i="136"/>
  <c r="C148" i="138" s="1"/>
  <c r="U51" i="136"/>
  <c r="C156" i="138" s="1"/>
  <c r="U59" i="136"/>
  <c r="C164" i="138" s="1"/>
  <c r="U67" i="136"/>
  <c r="C172" i="138" s="1"/>
  <c r="U74" i="136"/>
  <c r="C179" i="138" s="1"/>
  <c r="U83" i="136"/>
  <c r="C188" i="138" s="1"/>
  <c r="U91" i="136"/>
  <c r="C196" i="138" s="1"/>
  <c r="U45" i="136"/>
  <c r="C150" i="138" s="1"/>
  <c r="U53" i="136"/>
  <c r="C158" i="138" s="1"/>
  <c r="U61" i="136"/>
  <c r="C166" i="138" s="1"/>
  <c r="U69" i="136"/>
  <c r="C174" i="138" s="1"/>
  <c r="U77" i="136"/>
  <c r="C182" i="138" s="1"/>
  <c r="U85" i="136"/>
  <c r="C190" i="138" s="1"/>
  <c r="U93" i="136"/>
  <c r="C198" i="138" s="1"/>
  <c r="U11" i="136"/>
  <c r="C116" i="138" s="1"/>
  <c r="U17" i="136"/>
  <c r="C122" i="138" s="1"/>
  <c r="U26" i="136"/>
  <c r="C131" i="138" s="1"/>
  <c r="U35" i="136"/>
  <c r="C140" i="138" s="1"/>
  <c r="U42" i="136"/>
  <c r="C147" i="138" s="1"/>
  <c r="U49" i="136"/>
  <c r="C154" i="138" s="1"/>
  <c r="U58" i="136"/>
  <c r="C163" i="138" s="1"/>
  <c r="U66" i="136"/>
  <c r="C171" i="138" s="1"/>
  <c r="U75" i="136"/>
  <c r="C180" i="138" s="1"/>
  <c r="U82" i="136"/>
  <c r="C187" i="138" s="1"/>
  <c r="U90" i="136"/>
  <c r="C195" i="138" s="1"/>
  <c r="V101" i="136"/>
  <c r="H206" i="138" s="1"/>
  <c r="V8" i="136"/>
  <c r="H113" i="138" s="1"/>
  <c r="V12" i="136"/>
  <c r="H117" i="138" s="1"/>
  <c r="V16" i="136"/>
  <c r="H121" i="138" s="1"/>
  <c r="V20" i="136"/>
  <c r="H125" i="138" s="1"/>
  <c r="V24" i="136"/>
  <c r="H129" i="138" s="1"/>
  <c r="V28" i="136"/>
  <c r="H133" i="138" s="1"/>
  <c r="V32" i="136"/>
  <c r="H137" i="138" s="1"/>
  <c r="V36" i="136"/>
  <c r="H141" i="138" s="1"/>
  <c r="V40" i="136"/>
  <c r="H145" i="138" s="1"/>
  <c r="V44" i="136"/>
  <c r="H149" i="138" s="1"/>
  <c r="V49" i="136"/>
  <c r="H154" i="138" s="1"/>
  <c r="V53" i="136"/>
  <c r="H158" i="138" s="1"/>
  <c r="V56" i="136"/>
  <c r="H161" i="138" s="1"/>
  <c r="V60" i="136"/>
  <c r="H165" i="138" s="1"/>
  <c r="V64" i="136"/>
  <c r="H169" i="138" s="1"/>
  <c r="V68" i="136"/>
  <c r="H173" i="138" s="1"/>
  <c r="V72" i="136"/>
  <c r="H177" i="138" s="1"/>
  <c r="V76" i="136"/>
  <c r="H181" i="138" s="1"/>
  <c r="V80" i="136"/>
  <c r="H185" i="138" s="1"/>
  <c r="V84" i="136"/>
  <c r="H189" i="138" s="1"/>
  <c r="V88" i="136"/>
  <c r="H193" i="138" s="1"/>
  <c r="V91" i="136"/>
  <c r="H196" i="138" s="1"/>
  <c r="V95" i="136"/>
  <c r="H200" i="138" s="1"/>
  <c r="V100" i="136"/>
  <c r="H205" i="138" s="1"/>
  <c r="V10" i="136"/>
  <c r="H115" i="138" s="1"/>
  <c r="V21" i="136"/>
  <c r="H126" i="138" s="1"/>
  <c r="V29" i="136"/>
  <c r="H134" i="138" s="1"/>
  <c r="V38" i="136"/>
  <c r="H143" i="138" s="1"/>
  <c r="V45" i="136"/>
  <c r="H150" i="138" s="1"/>
  <c r="V52" i="136"/>
  <c r="H157" i="138" s="1"/>
  <c r="V61" i="136"/>
  <c r="H166" i="138" s="1"/>
  <c r="V70" i="136"/>
  <c r="H175" i="138" s="1"/>
  <c r="V77" i="136"/>
  <c r="H182" i="138" s="1"/>
  <c r="V85" i="136"/>
  <c r="H190" i="138" s="1"/>
  <c r="V93" i="136"/>
  <c r="H198" i="138" s="1"/>
  <c r="V102" i="136"/>
  <c r="H207" i="138" s="1"/>
  <c r="V7" i="136"/>
  <c r="H112" i="138" s="1"/>
  <c r="V14" i="136"/>
  <c r="H119" i="138" s="1"/>
  <c r="V23" i="136"/>
  <c r="H128" i="138" s="1"/>
  <c r="V31" i="136"/>
  <c r="H136" i="138" s="1"/>
  <c r="V39" i="136"/>
  <c r="H144" i="138" s="1"/>
  <c r="V46" i="136"/>
  <c r="H151" i="138" s="1"/>
  <c r="V55" i="136"/>
  <c r="H160" i="138" s="1"/>
  <c r="V63" i="136"/>
  <c r="H168" i="138" s="1"/>
  <c r="V71" i="136"/>
  <c r="H176" i="138" s="1"/>
  <c r="V79" i="136"/>
  <c r="H184" i="138" s="1"/>
  <c r="V87" i="136"/>
  <c r="H192" i="138" s="1"/>
  <c r="V96" i="136"/>
  <c r="H201" i="138" s="1"/>
  <c r="V98" i="136"/>
  <c r="H203" i="138" s="1"/>
  <c r="V5" i="136"/>
  <c r="H110" i="138" s="1"/>
  <c r="V13" i="136"/>
  <c r="H118" i="138" s="1"/>
  <c r="V18" i="136"/>
  <c r="H123" i="138" s="1"/>
  <c r="V26" i="136"/>
  <c r="H131" i="138" s="1"/>
  <c r="V35" i="136"/>
  <c r="H140" i="138" s="1"/>
  <c r="V43" i="136"/>
  <c r="H148" i="138" s="1"/>
  <c r="V50" i="136"/>
  <c r="H155" i="138" s="1"/>
  <c r="V59" i="136"/>
  <c r="H164" i="138" s="1"/>
  <c r="V66" i="136"/>
  <c r="H171" i="138" s="1"/>
  <c r="V75" i="136"/>
  <c r="H180" i="138" s="1"/>
  <c r="V82" i="136"/>
  <c r="H187" i="138" s="1"/>
  <c r="V89" i="136"/>
  <c r="H194" i="138" s="1"/>
  <c r="V97" i="136"/>
  <c r="H202" i="138" s="1"/>
  <c r="V17" i="136"/>
  <c r="H122" i="138" s="1"/>
  <c r="V33" i="136"/>
  <c r="H138" i="138" s="1"/>
  <c r="V47" i="136"/>
  <c r="H152" i="138" s="1"/>
  <c r="V65" i="136"/>
  <c r="H170" i="138" s="1"/>
  <c r="V81" i="136"/>
  <c r="H186" i="138" s="1"/>
  <c r="V99" i="136"/>
  <c r="H204" i="138" s="1"/>
  <c r="U9" i="136"/>
  <c r="C114" i="138" s="1"/>
  <c r="U18" i="136"/>
  <c r="C123" i="138" s="1"/>
  <c r="U25" i="136"/>
  <c r="C130" i="138" s="1"/>
  <c r="U33" i="136"/>
  <c r="C138" i="138" s="1"/>
  <c r="U41" i="136"/>
  <c r="C146" i="138" s="1"/>
  <c r="U55" i="136"/>
  <c r="C160" i="138" s="1"/>
  <c r="U71" i="136"/>
  <c r="C176" i="138" s="1"/>
  <c r="U87" i="136"/>
  <c r="C192" i="138" s="1"/>
  <c r="U50" i="136"/>
  <c r="C155" i="138" s="1"/>
  <c r="U65" i="136"/>
  <c r="C170" i="138" s="1"/>
  <c r="U81" i="136"/>
  <c r="C186" i="138" s="1"/>
  <c r="U97" i="136"/>
  <c r="C202" i="138" s="1"/>
  <c r="V19" i="136"/>
  <c r="H124" i="138" s="1"/>
  <c r="V34" i="136"/>
  <c r="H139" i="138" s="1"/>
  <c r="V51" i="136"/>
  <c r="H156" i="138" s="1"/>
  <c r="V67" i="136"/>
  <c r="H172" i="138" s="1"/>
  <c r="V83" i="136"/>
  <c r="H188" i="138" s="1"/>
  <c r="U7" i="136"/>
  <c r="C112" i="138" s="1"/>
  <c r="U23" i="136"/>
  <c r="C128" i="138" s="1"/>
  <c r="U40" i="136"/>
  <c r="C145" i="138" s="1"/>
  <c r="U54" i="136"/>
  <c r="C159" i="138" s="1"/>
  <c r="U70" i="136"/>
  <c r="C175" i="138" s="1"/>
  <c r="U86" i="136"/>
  <c r="C191" i="138" s="1"/>
  <c r="U100" i="136"/>
  <c r="C205" i="138" s="1"/>
  <c r="U8" i="136"/>
  <c r="C113" i="138" s="1"/>
  <c r="U15" i="136"/>
  <c r="C120" i="138" s="1"/>
  <c r="U24" i="136"/>
  <c r="C129" i="138" s="1"/>
  <c r="U31" i="136"/>
  <c r="C136" i="138" s="1"/>
  <c r="U39" i="136"/>
  <c r="C144" i="138" s="1"/>
  <c r="U47" i="136"/>
  <c r="C152" i="138" s="1"/>
  <c r="U56" i="136"/>
  <c r="C161" i="138" s="1"/>
  <c r="U64" i="136"/>
  <c r="C169" i="138" s="1"/>
  <c r="U72" i="136"/>
  <c r="C177" i="138" s="1"/>
  <c r="U80" i="136"/>
  <c r="C185" i="138" s="1"/>
  <c r="U88" i="136"/>
  <c r="C193" i="138" s="1"/>
  <c r="U96" i="136"/>
  <c r="C201" i="138" s="1"/>
  <c r="V103" i="136"/>
  <c r="H208" i="138" s="1"/>
  <c r="H210" i="138"/>
  <c r="F209" i="138"/>
  <c r="C210" i="138"/>
  <c r="G209" i="138"/>
  <c r="AA105" i="136"/>
  <c r="E210" i="138" s="1"/>
  <c r="X105" i="135"/>
  <c r="H22" i="138"/>
  <c r="G22" i="138"/>
  <c r="F22" i="138"/>
  <c r="E22" i="138"/>
  <c r="C22" i="138"/>
  <c r="I22" i="138"/>
  <c r="D22" i="138"/>
  <c r="B23" i="138"/>
  <c r="X105" i="136" l="1"/>
  <c r="G210" i="138"/>
  <c r="F210" i="138"/>
  <c r="H23" i="138"/>
  <c r="G23" i="138"/>
  <c r="F23" i="138"/>
  <c r="E23" i="138"/>
  <c r="C23" i="138"/>
  <c r="I23" i="138"/>
  <c r="D23" i="138"/>
  <c r="B24" i="138"/>
  <c r="H24" i="138" l="1"/>
  <c r="G24" i="138"/>
  <c r="F24" i="138"/>
  <c r="E24" i="138"/>
  <c r="C24" i="138"/>
  <c r="I24" i="138"/>
  <c r="D24" i="138"/>
  <c r="B25" i="138"/>
  <c r="H25" i="138" l="1"/>
  <c r="G25" i="138"/>
  <c r="F25" i="138"/>
  <c r="E25" i="138"/>
  <c r="C25" i="138"/>
  <c r="I25" i="138"/>
  <c r="D25" i="138"/>
  <c r="B26" i="138"/>
  <c r="H26" i="138" l="1"/>
  <c r="G26" i="138"/>
  <c r="F26" i="138"/>
  <c r="E26" i="138"/>
  <c r="C26" i="138"/>
  <c r="I26" i="138"/>
  <c r="D26" i="138"/>
  <c r="B27" i="138"/>
  <c r="H27" i="138" l="1"/>
  <c r="G27" i="138"/>
  <c r="F27" i="138"/>
  <c r="E27" i="138"/>
  <c r="C27" i="138"/>
  <c r="I27" i="138"/>
  <c r="D27" i="138"/>
  <c r="B28" i="138"/>
  <c r="H28" i="138" l="1"/>
  <c r="G28" i="138"/>
  <c r="F28" i="138"/>
  <c r="E28" i="138"/>
  <c r="C28" i="138"/>
  <c r="I28" i="138"/>
  <c r="D28" i="138"/>
  <c r="B29" i="138"/>
  <c r="H29" i="138" l="1"/>
  <c r="G29" i="138"/>
  <c r="F29" i="138"/>
  <c r="E29" i="138"/>
  <c r="C29" i="138"/>
  <c r="D29" i="138"/>
  <c r="I29" i="138"/>
  <c r="B30" i="138"/>
  <c r="H30" i="138" l="1"/>
  <c r="G30" i="138"/>
  <c r="F30" i="138"/>
  <c r="E30" i="138"/>
  <c r="C30" i="138"/>
  <c r="I30" i="138"/>
  <c r="D30" i="138"/>
  <c r="B31" i="138"/>
  <c r="H31" i="138" l="1"/>
  <c r="G31" i="138"/>
  <c r="F31" i="138"/>
  <c r="E31" i="138"/>
  <c r="C31" i="138"/>
  <c r="I31" i="138"/>
  <c r="D31" i="138"/>
  <c r="B32" i="138"/>
  <c r="H32" i="138" l="1"/>
  <c r="G32" i="138"/>
  <c r="F32" i="138"/>
  <c r="E32" i="138"/>
  <c r="C32" i="138"/>
  <c r="I32" i="138"/>
  <c r="D32" i="138"/>
  <c r="B33" i="138"/>
  <c r="H33" i="138" l="1"/>
  <c r="G33" i="138"/>
  <c r="F33" i="138"/>
  <c r="E33" i="138"/>
  <c r="C33" i="138"/>
  <c r="I33" i="138"/>
  <c r="D33" i="138"/>
  <c r="B34" i="138"/>
  <c r="H34" i="138" l="1"/>
  <c r="G34" i="138"/>
  <c r="F34" i="138"/>
  <c r="E34" i="138"/>
  <c r="C34" i="138"/>
  <c r="I34" i="138"/>
  <c r="D34" i="138"/>
  <c r="B35" i="138"/>
  <c r="H35" i="138" l="1"/>
  <c r="G35" i="138"/>
  <c r="F35" i="138"/>
  <c r="E35" i="138"/>
  <c r="C35" i="138"/>
  <c r="I35" i="138"/>
  <c r="D35" i="138"/>
  <c r="B36" i="138"/>
  <c r="H36" i="138" l="1"/>
  <c r="G36" i="138"/>
  <c r="F36" i="138"/>
  <c r="E36" i="138"/>
  <c r="C36" i="138"/>
  <c r="I36" i="138"/>
  <c r="D36" i="138"/>
  <c r="B37" i="138"/>
  <c r="H37" i="138" l="1"/>
  <c r="G37" i="138"/>
  <c r="F37" i="138"/>
  <c r="E37" i="138"/>
  <c r="C37" i="138"/>
  <c r="D37" i="138"/>
  <c r="I37" i="138"/>
  <c r="B38" i="138"/>
  <c r="H38" i="138" l="1"/>
  <c r="G38" i="138"/>
  <c r="F38" i="138"/>
  <c r="E38" i="138"/>
  <c r="C38" i="138"/>
  <c r="I38" i="138"/>
  <c r="D38" i="138"/>
  <c r="B39" i="138"/>
  <c r="H39" i="138" l="1"/>
  <c r="G39" i="138"/>
  <c r="F39" i="138"/>
  <c r="E39" i="138"/>
  <c r="C39" i="138"/>
  <c r="I39" i="138"/>
  <c r="D39" i="138"/>
  <c r="B40" i="138"/>
  <c r="H40" i="138" l="1"/>
  <c r="G40" i="138"/>
  <c r="F40" i="138"/>
  <c r="E40" i="138"/>
  <c r="C40" i="138"/>
  <c r="I40" i="138"/>
  <c r="D40" i="138"/>
  <c r="B41" i="138"/>
  <c r="H41" i="138" l="1"/>
  <c r="G41" i="138"/>
  <c r="F41" i="138"/>
  <c r="E41" i="138"/>
  <c r="C41" i="138"/>
  <c r="I41" i="138"/>
  <c r="D41" i="138"/>
  <c r="B42" i="138"/>
  <c r="H42" i="138" l="1"/>
  <c r="G42" i="138"/>
  <c r="F42" i="138"/>
  <c r="E42" i="138"/>
  <c r="C42" i="138"/>
  <c r="I42" i="138"/>
  <c r="D42" i="138"/>
  <c r="B43" i="138"/>
  <c r="H43" i="138" l="1"/>
  <c r="G43" i="138"/>
  <c r="F43" i="138"/>
  <c r="E43" i="138"/>
  <c r="C43" i="138"/>
  <c r="I43" i="138"/>
  <c r="D43" i="138"/>
  <c r="B44" i="138"/>
  <c r="H44" i="138" l="1"/>
  <c r="G44" i="138"/>
  <c r="F44" i="138"/>
  <c r="E44" i="138"/>
  <c r="C44" i="138"/>
  <c r="I44" i="138"/>
  <c r="D44" i="138"/>
  <c r="B45" i="138"/>
  <c r="H45" i="138" l="1"/>
  <c r="G45" i="138"/>
  <c r="F45" i="138"/>
  <c r="E45" i="138"/>
  <c r="C45" i="138"/>
  <c r="D45" i="138"/>
  <c r="I45" i="138"/>
  <c r="B46" i="138"/>
  <c r="H46" i="138" l="1"/>
  <c r="G46" i="138"/>
  <c r="F46" i="138"/>
  <c r="E46" i="138"/>
  <c r="C46" i="138"/>
  <c r="I46" i="138"/>
  <c r="D46" i="138"/>
  <c r="B47" i="138"/>
  <c r="H47" i="138" l="1"/>
  <c r="G47" i="138"/>
  <c r="F47" i="138"/>
  <c r="E47" i="138"/>
  <c r="C47" i="138"/>
  <c r="I47" i="138"/>
  <c r="D47" i="138"/>
  <c r="B48" i="138"/>
  <c r="H48" i="138" l="1"/>
  <c r="G48" i="138"/>
  <c r="F48" i="138"/>
  <c r="E48" i="138"/>
  <c r="C48" i="138"/>
  <c r="I48" i="138"/>
  <c r="D48" i="138"/>
  <c r="B49" i="138"/>
  <c r="H49" i="138" l="1"/>
  <c r="G49" i="138"/>
  <c r="F49" i="138"/>
  <c r="E49" i="138"/>
  <c r="C49" i="138"/>
  <c r="I49" i="138"/>
  <c r="D49" i="138"/>
  <c r="B50" i="138"/>
  <c r="H50" i="138" l="1"/>
  <c r="G50" i="138"/>
  <c r="F50" i="138"/>
  <c r="E50" i="138"/>
  <c r="C50" i="138"/>
  <c r="I50" i="138"/>
  <c r="D50" i="138"/>
  <c r="B51" i="138"/>
  <c r="H51" i="138" l="1"/>
  <c r="G51" i="138"/>
  <c r="F51" i="138"/>
  <c r="E51" i="138"/>
  <c r="C51" i="138"/>
  <c r="I51" i="138"/>
  <c r="D51" i="138"/>
  <c r="B52" i="138"/>
  <c r="H52" i="138" l="1"/>
  <c r="G52" i="138"/>
  <c r="F52" i="138"/>
  <c r="E52" i="138"/>
  <c r="C52" i="138"/>
  <c r="I52" i="138"/>
  <c r="D52" i="138"/>
  <c r="B53" i="138"/>
  <c r="H53" i="138" l="1"/>
  <c r="G53" i="138"/>
  <c r="F53" i="138"/>
  <c r="E53" i="138"/>
  <c r="C53" i="138"/>
  <c r="D53" i="138"/>
  <c r="I53" i="138"/>
  <c r="B54" i="138"/>
  <c r="H54" i="138" l="1"/>
  <c r="G54" i="138"/>
  <c r="F54" i="138"/>
  <c r="E54" i="138"/>
  <c r="C54" i="138"/>
  <c r="I54" i="138"/>
  <c r="D54" i="138"/>
  <c r="B55" i="138"/>
  <c r="H55" i="138" l="1"/>
  <c r="G55" i="138"/>
  <c r="F55" i="138"/>
  <c r="E55" i="138"/>
  <c r="C55" i="138"/>
  <c r="I55" i="138"/>
  <c r="D55" i="138"/>
  <c r="B56" i="138"/>
  <c r="H56" i="138" l="1"/>
  <c r="G56" i="138"/>
  <c r="F56" i="138"/>
  <c r="E56" i="138"/>
  <c r="C56" i="138"/>
  <c r="I56" i="138"/>
  <c r="D56" i="138"/>
  <c r="B57" i="138"/>
  <c r="H57" i="138" l="1"/>
  <c r="G57" i="138"/>
  <c r="F57" i="138"/>
  <c r="E57" i="138"/>
  <c r="C57" i="138"/>
  <c r="I57" i="138"/>
  <c r="D57" i="138"/>
  <c r="B58" i="138"/>
  <c r="H58" i="138" l="1"/>
  <c r="G58" i="138"/>
  <c r="F58" i="138"/>
  <c r="E58" i="138"/>
  <c r="C58" i="138"/>
  <c r="I58" i="138"/>
  <c r="D58" i="138"/>
  <c r="B59" i="138"/>
  <c r="H59" i="138" l="1"/>
  <c r="G59" i="138"/>
  <c r="F59" i="138"/>
  <c r="E59" i="138"/>
  <c r="C59" i="138"/>
  <c r="I59" i="138"/>
  <c r="D59" i="138"/>
  <c r="B60" i="138"/>
  <c r="H60" i="138" l="1"/>
  <c r="G60" i="138"/>
  <c r="F60" i="138"/>
  <c r="E60" i="138"/>
  <c r="C60" i="138"/>
  <c r="I60" i="138"/>
  <c r="D60" i="138"/>
  <c r="B61" i="138"/>
  <c r="H61" i="138" l="1"/>
  <c r="G61" i="138"/>
  <c r="F61" i="138"/>
  <c r="E61" i="138"/>
  <c r="C61" i="138"/>
  <c r="D61" i="138"/>
  <c r="I61" i="138"/>
  <c r="B62" i="138"/>
  <c r="H62" i="138" l="1"/>
  <c r="G62" i="138"/>
  <c r="F62" i="138"/>
  <c r="E62" i="138"/>
  <c r="C62" i="138"/>
  <c r="I62" i="138"/>
  <c r="D62" i="138"/>
  <c r="B63" i="138"/>
  <c r="H63" i="138" l="1"/>
  <c r="G63" i="138"/>
  <c r="F63" i="138"/>
  <c r="E63" i="138"/>
  <c r="C63" i="138"/>
  <c r="I63" i="138"/>
  <c r="D63" i="138"/>
  <c r="B64" i="138"/>
  <c r="H64" i="138" l="1"/>
  <c r="G64" i="138"/>
  <c r="F64" i="138"/>
  <c r="E64" i="138"/>
  <c r="C64" i="138"/>
  <c r="I64" i="138"/>
  <c r="D64" i="138"/>
  <c r="B65" i="138"/>
  <c r="H65" i="138" l="1"/>
  <c r="G65" i="138"/>
  <c r="F65" i="138"/>
  <c r="E65" i="138"/>
  <c r="C65" i="138"/>
  <c r="I65" i="138"/>
  <c r="D65" i="138"/>
  <c r="B66" i="138"/>
  <c r="H66" i="138" l="1"/>
  <c r="G66" i="138"/>
  <c r="F66" i="138"/>
  <c r="E66" i="138"/>
  <c r="C66" i="138"/>
  <c r="I66" i="138"/>
  <c r="D66" i="138"/>
  <c r="B67" i="138"/>
  <c r="H67" i="138" l="1"/>
  <c r="G67" i="138"/>
  <c r="F67" i="138"/>
  <c r="E67" i="138"/>
  <c r="C67" i="138"/>
  <c r="I67" i="138"/>
  <c r="D67" i="138"/>
  <c r="B68" i="138"/>
  <c r="H68" i="138" l="1"/>
  <c r="G68" i="138"/>
  <c r="F68" i="138"/>
  <c r="E68" i="138"/>
  <c r="C68" i="138"/>
  <c r="I68" i="138"/>
  <c r="D68" i="138"/>
  <c r="B69" i="138"/>
  <c r="H69" i="138" l="1"/>
  <c r="G69" i="138"/>
  <c r="F69" i="138"/>
  <c r="E69" i="138"/>
  <c r="C69" i="138"/>
  <c r="D69" i="138"/>
  <c r="I69" i="138"/>
  <c r="B70" i="138"/>
  <c r="H70" i="138" l="1"/>
  <c r="G70" i="138"/>
  <c r="F70" i="138"/>
  <c r="E70" i="138"/>
  <c r="C70" i="138"/>
  <c r="I70" i="138"/>
  <c r="D70" i="138"/>
  <c r="B71" i="138"/>
  <c r="H71" i="138" l="1"/>
  <c r="G71" i="138"/>
  <c r="F71" i="138"/>
  <c r="E71" i="138"/>
  <c r="C71" i="138"/>
  <c r="I71" i="138"/>
  <c r="D71" i="138"/>
  <c r="B72" i="138"/>
  <c r="H72" i="138" l="1"/>
  <c r="G72" i="138"/>
  <c r="F72" i="138"/>
  <c r="E72" i="138"/>
  <c r="C72" i="138"/>
  <c r="I72" i="138"/>
  <c r="D72" i="138"/>
  <c r="B73" i="138"/>
  <c r="H73" i="138" l="1"/>
  <c r="G73" i="138"/>
  <c r="F73" i="138"/>
  <c r="E73" i="138"/>
  <c r="C73" i="138"/>
  <c r="I73" i="138"/>
  <c r="D73" i="138"/>
  <c r="B74" i="138"/>
  <c r="H74" i="138" l="1"/>
  <c r="G74" i="138"/>
  <c r="F74" i="138"/>
  <c r="E74" i="138"/>
  <c r="C74" i="138"/>
  <c r="I74" i="138"/>
  <c r="D74" i="138"/>
  <c r="B75" i="138"/>
  <c r="H75" i="138" l="1"/>
  <c r="G75" i="138"/>
  <c r="F75" i="138"/>
  <c r="E75" i="138"/>
  <c r="C75" i="138"/>
  <c r="I75" i="138"/>
  <c r="D75" i="138"/>
  <c r="B76" i="138"/>
  <c r="H76" i="138" l="1"/>
  <c r="G76" i="138"/>
  <c r="F76" i="138"/>
  <c r="E76" i="138"/>
  <c r="C76" i="138"/>
  <c r="I76" i="138"/>
  <c r="D76" i="138"/>
  <c r="B77" i="138"/>
  <c r="H77" i="138" l="1"/>
  <c r="G77" i="138"/>
  <c r="F77" i="138"/>
  <c r="E77" i="138"/>
  <c r="C77" i="138"/>
  <c r="D77" i="138"/>
  <c r="I77" i="138"/>
  <c r="B78" i="138"/>
  <c r="H78" i="138" l="1"/>
  <c r="G78" i="138"/>
  <c r="F78" i="138"/>
  <c r="E78" i="138"/>
  <c r="C78" i="138"/>
  <c r="I78" i="138"/>
  <c r="D78" i="138"/>
  <c r="B79" i="138"/>
  <c r="H79" i="138" l="1"/>
  <c r="G79" i="138"/>
  <c r="F79" i="138"/>
  <c r="E79" i="138"/>
  <c r="C79" i="138"/>
  <c r="I79" i="138"/>
  <c r="D79" i="138"/>
  <c r="B80" i="138"/>
  <c r="H80" i="138" l="1"/>
  <c r="G80" i="138"/>
  <c r="F80" i="138"/>
  <c r="E80" i="138"/>
  <c r="C80" i="138"/>
  <c r="I80" i="138"/>
  <c r="D80" i="138"/>
  <c r="B81" i="138"/>
  <c r="H81" i="138" l="1"/>
  <c r="G81" i="138"/>
  <c r="F81" i="138"/>
  <c r="E81" i="138"/>
  <c r="C81" i="138"/>
  <c r="I81" i="138"/>
  <c r="D81" i="138"/>
  <c r="B82" i="138"/>
  <c r="H82" i="138" l="1"/>
  <c r="G82" i="138"/>
  <c r="F82" i="138"/>
  <c r="E82" i="138"/>
  <c r="C82" i="138"/>
  <c r="I82" i="138"/>
  <c r="D82" i="138"/>
  <c r="B83" i="138"/>
  <c r="H83" i="138" l="1"/>
  <c r="G83" i="138"/>
  <c r="F83" i="138"/>
  <c r="E83" i="138"/>
  <c r="C83" i="138"/>
  <c r="I83" i="138"/>
  <c r="D83" i="138"/>
  <c r="B84" i="138"/>
  <c r="H84" i="138" l="1"/>
  <c r="G84" i="138"/>
  <c r="F84" i="138"/>
  <c r="E84" i="138"/>
  <c r="C84" i="138"/>
  <c r="I84" i="138"/>
  <c r="D84" i="138"/>
  <c r="B85" i="138"/>
  <c r="H85" i="138" l="1"/>
  <c r="G85" i="138"/>
  <c r="F85" i="138"/>
  <c r="E85" i="138"/>
  <c r="C85" i="138"/>
  <c r="D85" i="138"/>
  <c r="I85" i="138"/>
  <c r="B86" i="138"/>
  <c r="H86" i="138" l="1"/>
  <c r="G86" i="138"/>
  <c r="F86" i="138"/>
  <c r="E86" i="138"/>
  <c r="C86" i="138"/>
  <c r="I86" i="138"/>
  <c r="D86" i="138"/>
  <c r="B87" i="138"/>
  <c r="H87" i="138" l="1"/>
  <c r="G87" i="138"/>
  <c r="F87" i="138"/>
  <c r="E87" i="138"/>
  <c r="C87" i="138"/>
  <c r="I87" i="138"/>
  <c r="D87" i="138"/>
  <c r="B88" i="138"/>
  <c r="H88" i="138" l="1"/>
  <c r="G88" i="138"/>
  <c r="F88" i="138"/>
  <c r="E88" i="138"/>
  <c r="C88" i="138"/>
  <c r="I88" i="138"/>
  <c r="D88" i="138"/>
  <c r="B89" i="138"/>
  <c r="H89" i="138" l="1"/>
  <c r="G89" i="138"/>
  <c r="F89" i="138"/>
  <c r="E89" i="138"/>
  <c r="C89" i="138"/>
  <c r="I89" i="138"/>
  <c r="D89" i="138"/>
  <c r="B90" i="138"/>
  <c r="H90" i="138" l="1"/>
  <c r="G90" i="138"/>
  <c r="F90" i="138"/>
  <c r="E90" i="138"/>
  <c r="C90" i="138"/>
  <c r="I90" i="138"/>
  <c r="D90" i="138"/>
  <c r="B91" i="138"/>
  <c r="H91" i="138" l="1"/>
  <c r="G91" i="138"/>
  <c r="F91" i="138"/>
  <c r="E91" i="138"/>
  <c r="C91" i="138"/>
  <c r="I91" i="138"/>
  <c r="D91" i="138"/>
  <c r="B92" i="138"/>
  <c r="H92" i="138" l="1"/>
  <c r="G92" i="138"/>
  <c r="F92" i="138"/>
  <c r="E92" i="138"/>
  <c r="C92" i="138"/>
  <c r="I92" i="138"/>
  <c r="D92" i="138"/>
  <c r="B93" i="138"/>
  <c r="H93" i="138" l="1"/>
  <c r="G93" i="138"/>
  <c r="F93" i="138"/>
  <c r="E93" i="138"/>
  <c r="C93" i="138"/>
  <c r="D93" i="138"/>
  <c r="I93" i="138"/>
  <c r="B94" i="138"/>
  <c r="H94" i="138" l="1"/>
  <c r="G94" i="138"/>
  <c r="F94" i="138"/>
  <c r="E94" i="138"/>
  <c r="C94" i="138"/>
  <c r="I94" i="138"/>
  <c r="D94" i="138"/>
  <c r="B95" i="138"/>
  <c r="H95" i="138" l="1"/>
  <c r="G95" i="138"/>
  <c r="F95" i="138"/>
  <c r="E95" i="138"/>
  <c r="C95" i="138"/>
  <c r="I95" i="138"/>
  <c r="D95" i="138"/>
  <c r="B96" i="138"/>
  <c r="H96" i="138" l="1"/>
  <c r="G96" i="138"/>
  <c r="F96" i="138"/>
  <c r="E96" i="138"/>
  <c r="C96" i="138"/>
  <c r="I96" i="138"/>
  <c r="D96" i="138"/>
  <c r="B97" i="138"/>
  <c r="H97" i="138" l="1"/>
  <c r="G97" i="138"/>
  <c r="F97" i="138"/>
  <c r="E97" i="138"/>
  <c r="C97" i="138"/>
  <c r="I97" i="138"/>
  <c r="D97" i="138"/>
  <c r="B98" i="138"/>
  <c r="H98" i="138" l="1"/>
  <c r="G98" i="138"/>
  <c r="F98" i="138"/>
  <c r="E98" i="138"/>
  <c r="C98" i="138"/>
  <c r="I98" i="138"/>
  <c r="D98" i="138"/>
  <c r="B99" i="138"/>
  <c r="H99" i="138" l="1"/>
  <c r="G99" i="138"/>
  <c r="F99" i="138"/>
  <c r="E99" i="138"/>
  <c r="C99" i="138"/>
  <c r="I99" i="138"/>
  <c r="D99" i="138"/>
  <c r="B100" i="138"/>
  <c r="H100" i="138" l="1"/>
  <c r="G100" i="138"/>
  <c r="F100" i="138"/>
  <c r="E100" i="138"/>
  <c r="C100" i="138"/>
  <c r="I100" i="138"/>
  <c r="D100" i="138"/>
  <c r="B101" i="138"/>
  <c r="H101" i="138" l="1"/>
  <c r="G101" i="138"/>
  <c r="F101" i="138"/>
  <c r="E101" i="138"/>
  <c r="C101" i="138"/>
  <c r="D101" i="138"/>
  <c r="I101" i="138"/>
  <c r="B102" i="138"/>
  <c r="H102" i="138" l="1"/>
  <c r="G102" i="138"/>
  <c r="F102" i="138"/>
  <c r="E102" i="138"/>
  <c r="C102" i="138"/>
  <c r="I102" i="138"/>
  <c r="D102" i="138"/>
  <c r="B103" i="138"/>
  <c r="H103" i="138" l="1"/>
  <c r="G103" i="138"/>
  <c r="F103" i="138"/>
  <c r="E103" i="138"/>
  <c r="C103" i="138"/>
  <c r="I103" i="138"/>
  <c r="D103" i="138"/>
  <c r="B104" i="138"/>
  <c r="H104" i="138" l="1"/>
  <c r="G104" i="138"/>
  <c r="F104" i="138"/>
  <c r="E104" i="138"/>
  <c r="C104" i="138"/>
  <c r="I104" i="138"/>
  <c r="D104" i="138"/>
  <c r="B105" i="138"/>
  <c r="H105" i="138" l="1"/>
  <c r="G105" i="138"/>
  <c r="F105" i="138"/>
  <c r="E105" i="138"/>
  <c r="C105" i="138"/>
  <c r="I105" i="138"/>
  <c r="D105" i="138"/>
</calcChain>
</file>

<file path=xl/sharedStrings.xml><?xml version="1.0" encoding="utf-8"?>
<sst xmlns="http://schemas.openxmlformats.org/spreadsheetml/2006/main" count="726" uniqueCount="94">
  <si>
    <t>01 - PROPERTY</t>
  </si>
  <si>
    <t>02 - MOTOR VEHICLE</t>
  </si>
  <si>
    <t>03 - MARINE CARGO</t>
  </si>
  <si>
    <t>10 - GENERAL ACCIDENT</t>
  </si>
  <si>
    <t>VARIOUS</t>
  </si>
  <si>
    <t>Cohort</t>
  </si>
  <si>
    <t>Claim</t>
  </si>
  <si>
    <t>Komisi SOP</t>
  </si>
  <si>
    <t>ICG</t>
  </si>
  <si>
    <t>LOB</t>
  </si>
  <si>
    <t>Komisi EOP</t>
  </si>
  <si>
    <t>Expense</t>
  </si>
  <si>
    <t>RA</t>
  </si>
  <si>
    <t>Premi EOP</t>
  </si>
  <si>
    <t>Premi SOP</t>
  </si>
  <si>
    <t>Incurred</t>
  </si>
  <si>
    <t>Valuation</t>
  </si>
  <si>
    <t>Komisi</t>
  </si>
  <si>
    <t>Premi</t>
  </si>
  <si>
    <t>Current Rate</t>
  </si>
  <si>
    <t>Locked in Rate</t>
  </si>
  <si>
    <t>Contract</t>
  </si>
  <si>
    <t>IC</t>
  </si>
  <si>
    <t>RC</t>
  </si>
  <si>
    <t>Earned_Premium</t>
  </si>
  <si>
    <t>Earned_Commission</t>
  </si>
  <si>
    <t>Expected_Premium</t>
  </si>
  <si>
    <t>Expected_Commission</t>
  </si>
  <si>
    <t>VALUATION DATE:</t>
  </si>
  <si>
    <t>Actual_Premium</t>
  </si>
  <si>
    <t>Actual_Commission</t>
  </si>
  <si>
    <t>Expected_Acquisition</t>
  </si>
  <si>
    <t>Actual_Acquisition</t>
  </si>
  <si>
    <t>Loss_Ratio</t>
  </si>
  <si>
    <t>Risk_Adjustment_Ratio</t>
  </si>
  <si>
    <t>PME_Ratio</t>
  </si>
  <si>
    <t>ULAE_Ratio</t>
  </si>
  <si>
    <t>Cancellation_Ratio</t>
  </si>
  <si>
    <t>Premium_Refund_Ratio</t>
  </si>
  <si>
    <t>NPR_Ratio</t>
  </si>
  <si>
    <t>Locked_in_Rate</t>
  </si>
  <si>
    <t>#Incurred</t>
  </si>
  <si>
    <t>Probability_of_Inforce</t>
  </si>
  <si>
    <t>Exp_Premium</t>
  </si>
  <si>
    <t>Exp_Commission</t>
  </si>
  <si>
    <t>Exp_Acquisition</t>
  </si>
  <si>
    <t>Exp_Expense</t>
  </si>
  <si>
    <t>Exp_Claim</t>
  </si>
  <si>
    <t>Exp_RA</t>
  </si>
  <si>
    <t>Exp_NPR</t>
  </si>
  <si>
    <t>#2024#IC-Property</t>
  </si>
  <si>
    <t>#2024#RC-Property</t>
  </si>
  <si>
    <t>IC-Property</t>
  </si>
  <si>
    <t>RC-Property</t>
  </si>
  <si>
    <t>#2025#IC-Property</t>
  </si>
  <si>
    <t>#2025#RC-Property</t>
  </si>
  <si>
    <t>Portfolio</t>
  </si>
  <si>
    <t>User Input:</t>
  </si>
  <si>
    <t>Sheet Name</t>
  </si>
  <si>
    <t>Column Name</t>
  </si>
  <si>
    <t>Remarks</t>
  </si>
  <si>
    <t>ValuationDate</t>
  </si>
  <si>
    <t>VALUATION DATE</t>
  </si>
  <si>
    <t>Tanggal valuasi</t>
  </si>
  <si>
    <t>Kode nama group (unique)</t>
  </si>
  <si>
    <t>Cohort (tahun)</t>
  </si>
  <si>
    <t>Nama portofolio</t>
  </si>
  <si>
    <t>IC (Insurance Contracts) / RC (Reinsurance Contracts)</t>
  </si>
  <si>
    <t>Earned</t>
  </si>
  <si>
    <t>Kode nama group</t>
  </si>
  <si>
    <t>Tanggal akhir bulan dimana alokasi premi &amp; komisi terjadi dibulan tersebut</t>
  </si>
  <si>
    <t>Jumlah alokasi premi</t>
  </si>
  <si>
    <t>Jumlah alokasi komisi</t>
  </si>
  <si>
    <t>Expected_CF</t>
  </si>
  <si>
    <t>Tanggal akhir bulan dimana ekspektasi arus kas terjadi dibulan tersebut</t>
  </si>
  <si>
    <t>Jumlah ekspektasi premi</t>
  </si>
  <si>
    <t>Jumlah ekspektasi komisi</t>
  </si>
  <si>
    <t>Jumlah ekspektasi akuisisi (expense)</t>
  </si>
  <si>
    <t>Actual_CF</t>
  </si>
  <si>
    <t>Tanggal akhir bulan dimana arus kas aktual terjadi dibulan tersebut</t>
  </si>
  <si>
    <t>Jumlah premi aktual</t>
  </si>
  <si>
    <t>Jumlah komisi aktual</t>
  </si>
  <si>
    <t>Jumlah akuisisi (expense) aktual</t>
  </si>
  <si>
    <t>Discount Rate pada initial recognition</t>
  </si>
  <si>
    <t>Current_Rate</t>
  </si>
  <si>
    <t>Discount Rate pada tanggal valuasi</t>
  </si>
  <si>
    <t>Assumptions</t>
  </si>
  <si>
    <t>Asumsi loss ratio pada tanggal valuasi (untuk new cohort asumsi initial = asumsi valuasi)</t>
  </si>
  <si>
    <t>Asumsi risk adjustment pada tanggal valuasi (untuk new cohort asumsi initial = asumsi valuasi)</t>
  </si>
  <si>
    <t>Asumsi maintenance expense pada tanggal valuasi (untuk new cohort asumsi initial = asumsi valuasi)</t>
  </si>
  <si>
    <t>Asumsi unallocated loss adjustment expenses pada tanggal valuasi (untuk new cohort asumsi initial = asumsi valuasi)</t>
  </si>
  <si>
    <t>Asumsi cancellation ratio pada tanggal valuasi (untuk new cohort asumsi initial = asumsi valuasi)</t>
  </si>
  <si>
    <t>Asumsi persentase premi yang direfund jika polis cancel (untuk new cohort asumsi initial = asumsi valuasi)</t>
  </si>
  <si>
    <t>Asumsi non-performance risk dari reasuradur (untuk new cohort asumsi initial = asumsi valuasi)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</si>
</sst>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0.000%"/>
    <numFmt numFmtId="166" formatCode="_-* #,##0_-;\-* #,##0_-;_-* &quot;-&quot;_-;_-@_-"/>
    <numFmt numFmtId="167" formatCode="dd\-mmm\-yyyy;@"/>
  </numFmts>
  <fonts count="10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40">
    <xf numFmtId="0" fontId="0" fillId="0" borderId="0" xfId="0"/>
    <xf numFmtId="49" fontId="0" fillId="0" borderId="0" xfId="0" applyNumberFormat="1"/>
    <xf numFmtId="167" fontId="0" fillId="0" borderId="0" xfId="0" applyNumberFormat="1"/>
    <xf numFmtId="167" fontId="0" fillId="4" borderId="0" xfId="0" applyNumberFormat="1" applyFill="1"/>
    <xf numFmtId="0" fontId="0" fillId="4" borderId="0" xfId="0" applyFill="1"/>
    <xf numFmtId="37" fontId="0" fillId="4" borderId="0" xfId="12" applyNumberFormat="1" applyFont="1" applyFill="1" applyBorder="1"/>
    <xf numFmtId="37" fontId="0" fillId="4" borderId="0" xfId="12" applyNumberFormat="1" applyFont="1" applyFill="1"/>
    <xf numFmtId="164" fontId="0" fillId="4" borderId="0" xfId="1" applyNumberFormat="1" applyFont="1" applyFill="1" applyBorder="1"/>
    <xf numFmtId="164" fontId="0" fillId="5" borderId="0" xfId="1" applyNumberFormat="1" applyFont="1" applyFill="1" applyBorder="1"/>
    <xf numFmtId="164" fontId="0" fillId="5" borderId="0" xfId="1" applyNumberFormat="1" applyFont="1" applyFill="1"/>
    <xf numFmtId="164" fontId="0" fillId="4" borderId="0" xfId="1" applyNumberFormat="1" applyFont="1" applyFill="1"/>
    <xf numFmtId="165" fontId="0" fillId="4" borderId="0" xfId="1" applyNumberFormat="1" applyFont="1" applyFill="1" applyBorder="1"/>
    <xf numFmtId="165" fontId="0" fillId="4" borderId="0" xfId="1" applyNumberFormat="1" applyFont="1" applyFill="1"/>
    <xf numFmtId="37" fontId="0" fillId="0" borderId="0" xfId="12" applyNumberFormat="1" applyFont="1" applyFill="1" applyBorder="1"/>
    <xf numFmtId="37" fontId="0" fillId="0" borderId="0" xfId="12" applyNumberFormat="1" applyFont="1" applyFill="1"/>
    <xf numFmtId="0" fontId="0" fillId="2" borderId="0" xfId="0" applyFill="1"/>
    <xf numFmtId="0" fontId="0" fillId="6" borderId="0" xfId="0" applyFill="1"/>
    <xf numFmtId="165" fontId="0" fillId="0" borderId="0" xfId="1" applyNumberFormat="1" applyFont="1" applyFill="1" applyBorder="1"/>
    <xf numFmtId="165" fontId="0" fillId="0" borderId="0" xfId="1" applyNumberFormat="1" applyFont="1" applyFill="1"/>
    <xf numFmtId="37" fontId="0" fillId="0" borderId="0" xfId="0" applyNumberFormat="1"/>
    <xf numFmtId="166" fontId="2" fillId="3" borderId="1" xfId="14" applyFont="1" applyFill="1" applyBorder="1" applyAlignment="1">
      <alignment horizontal="center" vertical="center"/>
    </xf>
    <xf numFmtId="166" fontId="2" fillId="0" borderId="1" xfId="14" applyFont="1" applyBorder="1"/>
    <xf numFmtId="166" fontId="2" fillId="0" borderId="1" xfId="14" applyFont="1" applyFill="1" applyBorder="1"/>
    <xf numFmtId="0" fontId="2" fillId="7" borderId="0" xfId="0" applyFont="1" applyFill="1"/>
    <xf numFmtId="166" fontId="2" fillId="0" borderId="0" xfId="14" applyFont="1"/>
    <xf numFmtId="0" fontId="2" fillId="0" borderId="0" xfId="13" applyFont="1"/>
    <xf numFmtId="14" fontId="2" fillId="0" borderId="1" xfId="13" applyNumberFormat="1" applyFont="1" applyBorder="1"/>
    <xf numFmtId="0" fontId="2" fillId="0" borderId="1" xfId="13" applyFont="1" applyBorder="1"/>
    <xf numFmtId="165" fontId="2" fillId="3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/>
    <xf numFmtId="165" fontId="2" fillId="0" borderId="0" xfId="1" applyNumberFormat="1" applyFont="1"/>
    <xf numFmtId="0" fontId="2" fillId="7" borderId="0" xfId="13" applyFont="1" applyFill="1"/>
    <xf numFmtId="166" fontId="2" fillId="7" borderId="0" xfId="14" applyFont="1" applyFill="1"/>
    <xf numFmtId="0" fontId="0" fillId="4" borderId="1" xfId="0" applyFill="1" applyBorder="1"/>
    <xf numFmtId="167" fontId="0" fillId="4" borderId="1" xfId="0" applyNumberFormat="1" applyFill="1" applyBorder="1"/>
    <xf numFmtId="0" fontId="0" fillId="0" borderId="1" xfId="0" applyBorder="1"/>
    <xf numFmtId="0" fontId="9" fillId="0" borderId="0" xfId="0" applyFont="1"/>
    <xf numFmtId="0" fontId="0" fillId="8" borderId="1" xfId="0" applyFill="1" applyBorder="1"/>
    <xf numFmtId="14" fontId="2" fillId="8" borderId="1" xfId="13" applyNumberFormat="1" applyFont="1" applyFill="1" applyBorder="1" applyAlignment="1">
      <alignment horizontal="center" vertical="center"/>
    </xf>
    <xf numFmtId="0" fontId="2" fillId="8" borderId="1" xfId="13" applyFont="1" applyFill="1" applyBorder="1" applyAlignment="1">
      <alignment horizontal="center" vertical="center"/>
    </xf>
  </cellXfs>
  <cellStyles count="15">
    <cellStyle name="Comma [0]" xfId="12" builtinId="6"/>
    <cellStyle name="Comma [0] 2" xfId="8" xr:uid="{E2FBB4BE-3FD8-470E-9486-13F0C01458A9}"/>
    <cellStyle name="Comma [0] 3" xfId="14" xr:uid="{10FBBEDE-BFDF-4869-8813-1F281BDF39D6}"/>
    <cellStyle name="Comma 2" xfId="3" xr:uid="{C060C358-DD09-480B-951F-1F611BE1DAAB}"/>
    <cellStyle name="Comma 2 2" xfId="10" xr:uid="{6ED7583E-BD7F-4B59-8F81-CE1B23F4D0EE}"/>
    <cellStyle name="Comma 3" xfId="7" xr:uid="{98BF5B0F-8670-4CD3-9BDB-AC1BA979F0E6}"/>
    <cellStyle name="Normal" xfId="0" builtinId="0"/>
    <cellStyle name="Normal 2" xfId="2" xr:uid="{92859BA3-6222-47C2-86F0-529AEC4FE5C9}"/>
    <cellStyle name="Normal 2 2" xfId="9" xr:uid="{5FBCFCAB-272E-4FF9-99C8-A95D01178009}"/>
    <cellStyle name="Normal 3" xfId="5" xr:uid="{9A49A81A-3E72-4E01-A678-99817BFCE4AE}"/>
    <cellStyle name="Normal 3 2" xfId="6" xr:uid="{A45D30B1-F614-4309-A005-0E7F16116520}"/>
    <cellStyle name="Normal 4" xfId="13" xr:uid="{8A3362CA-ADEC-4B6E-AFF5-4B7ED046FDB3}"/>
    <cellStyle name="Percent" xfId="1" builtinId="5"/>
    <cellStyle name="Percent 2" xfId="4" xr:uid="{FF4EEB1C-A985-494C-9D47-54095CD91308}"/>
    <cellStyle name="Percent 2 2" xfId="11" xr:uid="{25FB6CF4-1B04-45D5-AE58-160699DABEF6}"/>
  </cellStyles>
  <dxfs count="163"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5" formatCode="#,##0_);\(#,##0\)"/>
      <fill>
        <patternFill patternType="none">
          <fgColor rgb="FF000000"/>
          <bgColor auto="1"/>
        </patternFill>
      </fill>
    </dxf>
    <dxf>
      <numFmt numFmtId="5" formatCode="#,##0_);\(#,##0\)"/>
      <fill>
        <patternFill patternType="none">
          <fgColor rgb="FF000000"/>
          <bgColor auto="1"/>
        </patternFill>
      </fill>
    </dxf>
    <dxf>
      <numFmt numFmtId="5" formatCode="#,##0_);\(#,##0\)"/>
      <fill>
        <patternFill patternType="none">
          <fgColor rgb="FF000000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%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numFmt numFmtId="5" formatCode="#,##0_);\(#,##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5" formatCode="#,##0_);\(#,##0\)"/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7" formatCode="dd\-mmm\-yyyy;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165" formatCode="0.00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165" formatCode="0.00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none">
          <fgColor indexed="64"/>
          <bgColor auto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EBA93909-815B-4653-9D5F-A75EB426F1DB}">
      <tableStyleElement type="wholeTable" dxfId="162"/>
    </tableStyle>
  </tableStyles>
  <colors>
    <mruColors>
      <color rgb="FFFFFFCC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ple%20Cashflow%20as%20at%202024-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 COB"/>
      <sheetName val="Instructions"/>
      <sheetName val="User Input&gt;&gt;"/>
      <sheetName val="ValuationDate"/>
      <sheetName val="ICG"/>
      <sheetName val="Earned"/>
      <sheetName val="Expected_CF"/>
      <sheetName val="Actual_CF"/>
      <sheetName val="Locked_in_Rate"/>
      <sheetName val="Current_Rate"/>
      <sheetName val="Assumptions"/>
      <sheetName val="Cashflow Generator &gt;&gt;"/>
      <sheetName val="CF_Gen_1"/>
      <sheetName val="CF_Gen_2"/>
      <sheetName val="CSM Engine Input &gt;&gt;"/>
      <sheetName val="Expected Cashflow"/>
      <sheetName val="Actual"/>
      <sheetName val="Asumsi"/>
    </sheetNames>
    <sheetDataSet>
      <sheetData sheetId="0"/>
      <sheetData sheetId="1"/>
      <sheetData sheetId="2"/>
      <sheetData sheetId="3">
        <row r="2">
          <cell r="B2">
            <v>45657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145E1-6A42-4351-A81B-573227682F0B}" name="ICG" displayName="ICG" ref="A1:D5" totalsRowShown="0" headerRowDxfId="161" dataDxfId="160">
  <autoFilter ref="A1:D5" xr:uid="{DF6145E1-6A42-4351-A81B-573227682F0B}"/>
  <tableColumns count="4">
    <tableColumn id="1" xr3:uid="{15BFFC0A-F314-407D-B3A1-CD0255989D47}" name="ICG" dataDxfId="159"/>
    <tableColumn id="2" xr3:uid="{5B012CF7-5CD0-466A-9A6A-470A284FAC08}" name="Cohort" dataDxfId="158"/>
    <tableColumn id="3" xr3:uid="{71F874D3-8FA2-443E-B66A-E6C8AA990D4A}" name="Portfolio" dataDxfId="157"/>
    <tableColumn id="4" xr3:uid="{877344D7-5757-4858-9331-780D81C4655F}" name="Contract" dataDxfId="156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BFAEC-7F40-4605-89C0-596DDE2A35DF}" name="Earned" displayName="Earned" ref="A1:D387" totalsRowShown="0" dataDxfId="155">
  <autoFilter ref="A1:D387" xr:uid="{DF6145E1-6A42-4351-A81B-573227682F0B}"/>
  <tableColumns count="4">
    <tableColumn id="1" xr3:uid="{07304D0A-9984-40F5-ACD7-24C29397D5E6}" name="ICG" dataDxfId="154"/>
    <tableColumn id="2" xr3:uid="{CFF18176-A063-4E59-8D5A-31D628EA2833}" name="Incurred" dataDxfId="153"/>
    <tableColumn id="3" xr3:uid="{1A5ACB58-B1FF-47EA-8E32-2527BC5AA3A9}" name="Earned_Premium" dataDxfId="152" dataCellStyle="Comma [0]"/>
    <tableColumn id="4" xr3:uid="{650A3C4C-67D9-46D9-AFFD-CF41679E5273}" name="Earned_Commission" dataDxfId="151" dataCellStyle="Comma [0]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6A8F5C-0A49-4F51-A71C-A4573F832DE9}" name="Expected_CF" displayName="Expected_CF" ref="A1:E7" totalsRowShown="0" dataDxfId="150">
  <autoFilter ref="A1:E7" xr:uid="{DF6145E1-6A42-4351-A81B-573227682F0B}"/>
  <tableColumns count="5">
    <tableColumn id="1" xr3:uid="{3A9CFE8F-DC0C-4A14-A5A1-89DB57A25284}" name="ICG" dataDxfId="149"/>
    <tableColumn id="2" xr3:uid="{D5C0CC61-E92D-495A-A1A9-292BFAA52D26}" name="Incurred" dataDxfId="148"/>
    <tableColumn id="3" xr3:uid="{8729CEA3-0E55-4A51-BD7C-19BBA55D7E9B}" name="Expected_Premium" dataDxfId="147" dataCellStyle="Comma [0]"/>
    <tableColumn id="4" xr3:uid="{84F3E468-4674-4069-B91C-F13AE9FF7BAF}" name="Expected_Commission" dataDxfId="146" dataCellStyle="Comma [0]"/>
    <tableColumn id="7" xr3:uid="{AACA0EB9-4384-4771-A3E9-62536C638EB9}" name="Expected_Acquisition" dataDxfId="145" dataCellStyle="Comma [0]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81CA48-2951-4A2A-AE0E-B12E7497ABB6}" name="Actual_CF" displayName="Actual_CF" ref="A1:E13" totalsRowShown="0" dataDxfId="144" dataCellStyle="Comma [0]">
  <autoFilter ref="A1:E13" xr:uid="{DF6145E1-6A42-4351-A81B-573227682F0B}"/>
  <tableColumns count="5">
    <tableColumn id="1" xr3:uid="{322AC20A-0356-4F11-940A-0A04A8EF4A1B}" name="ICG" dataDxfId="143"/>
    <tableColumn id="2" xr3:uid="{70E6101B-26BA-41CF-B9CA-3CB0EBAEECAA}" name="Incurred" dataDxfId="142"/>
    <tableColumn id="3" xr3:uid="{D326B3B4-B1F8-4C5D-8C97-2FA54EBF496D}" name="Actual_Premium" dataDxfId="141" dataCellStyle="Comma [0]"/>
    <tableColumn id="4" xr3:uid="{9A4379CD-08C7-480E-BCE6-FAD8645A4F14}" name="Actual_Commission" dataDxfId="140" dataCellStyle="Comma [0]"/>
    <tableColumn id="7" xr3:uid="{62EE4235-DBA6-4CB8-935F-8EC9F928EC58}" name="Actual_Acquisition" dataDxfId="139" dataCellStyle="Comma [0]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CF14DC-688E-4A72-9B02-784868ACE0A0}" name="Locked_in_Rate" displayName="Locked_in_Rate" ref="A1:B5" totalsRowShown="0" dataDxfId="138">
  <autoFilter ref="A1:B5" xr:uid="{7ACF14DC-688E-4A72-9B02-784868ACE0A0}"/>
  <tableColumns count="2">
    <tableColumn id="1" xr3:uid="{25F23B9A-31D0-486A-8199-51F43110EB53}" name="ICG" dataDxfId="137"/>
    <tableColumn id="3" xr3:uid="{C78FDC17-5080-4532-90A7-6276CBB39844}" name="Locked_in_Rate" dataDxfId="136" dataCellStyle="Percent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C1598F-6024-432F-8781-CB3741FEE162}" name="Current_Rate" displayName="Current_Rate" ref="A1:B5" totalsRowShown="0" dataDxfId="135">
  <autoFilter ref="A1:B5" xr:uid="{7ACF14DC-688E-4A72-9B02-784868ACE0A0}"/>
  <tableColumns count="2">
    <tableColumn id="1" xr3:uid="{D8FEB5C3-EA9F-49D8-ABC8-0620E1C970D3}" name="ICG" dataDxfId="134"/>
    <tableColumn id="3" xr3:uid="{1F3A6A49-4E96-4C6A-8ACC-6A1629B4D9CE}" name="Locked_in_Rate" dataDxfId="133" dataCellStyle="Percent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DF9EC6-7E09-40AD-80CD-DBCAB4CE268F}" name="Assumptions" displayName="Assumptions" ref="A1:H5" totalsRowShown="0" dataDxfId="132">
  <autoFilter ref="A1:H5" xr:uid="{DF6145E1-6A42-4351-A81B-573227682F0B}"/>
  <tableColumns count="8">
    <tableColumn id="1" xr3:uid="{6D04C081-3D66-4A9A-88FB-4F672685FAA7}" name="ICG" dataDxfId="131"/>
    <tableColumn id="3" xr3:uid="{E4C06463-3307-41A3-8C46-974DFCEA1458}" name="Loss_Ratio" dataDxfId="130" dataCellStyle="Percent"/>
    <tableColumn id="4" xr3:uid="{863B4B7C-AAC0-45D4-AE34-4E812C279851}" name="Risk_Adjustment_Ratio" dataDxfId="129" dataCellStyle="Percent"/>
    <tableColumn id="7" xr3:uid="{9920C2B9-B92F-4429-9106-C70C29171061}" name="PME_Ratio" dataDxfId="128" dataCellStyle="Percent"/>
    <tableColumn id="11" xr3:uid="{BEE37DC0-F17C-482C-9534-CA37B6B71A3B}" name="ULAE_Ratio" dataDxfId="127" dataCellStyle="Percent"/>
    <tableColumn id="8" xr3:uid="{23F22ED7-2F44-4CC7-91DF-4ED335EF9950}" name="Cancellation_Ratio" dataDxfId="126" dataCellStyle="Percent"/>
    <tableColumn id="9" xr3:uid="{FC61D2B3-9F1E-4F7F-8014-24AD8DA7C6C0}" name="Premium_Refund_Ratio" dataDxfId="125" dataCellStyle="Percent"/>
    <tableColumn id="10" xr3:uid="{AAB9B98E-6205-47D8-B00E-6AA4B3D8432C}" name="NPR_Ratio" dataDxfId="124" dataCellStyle="Percent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72217B-4D35-48B8-9014-E1130CC89D73}" name="CF_Gen_1" displayName="CF_Gen_1" ref="A1:AD105" totalsRowShown="0" dataDxfId="123">
  <autoFilter ref="A1:AD105" xr:uid="{DF6145E1-6A42-4351-A81B-573227682F0B}"/>
  <tableColumns count="30">
    <tableColumn id="1" xr3:uid="{7C636F43-C6DC-46C3-B9C0-77AE39C90A16}" name="ICG" dataDxfId="122"/>
    <tableColumn id="29" xr3:uid="{011601E1-D5FC-41B7-A64B-7D79450554BA}" name="Cohort" dataDxfId="121">
      <calculatedColumnFormula>_xlfn.XLOOKUP(CF_Gen_1[[#This Row],[ICG]],ICG[ICG],ICG[Cohort])</calculatedColumnFormula>
    </tableColumn>
    <tableColumn id="30" xr3:uid="{25F4A46B-F930-4AE3-B5E1-C22B17B877AC}" name="Portfolio" dataDxfId="120">
      <calculatedColumnFormula>_xlfn.XLOOKUP(CF_Gen_1[[#This Row],[ICG]],ICG[ICG],ICG[Portfolio])</calculatedColumnFormula>
    </tableColumn>
    <tableColumn id="16" xr3:uid="{271AE1DC-FA3A-46A9-9ACD-120C544B2563}" name="Contract" dataDxfId="119">
      <calculatedColumnFormula>_xlfn.XLOOKUP(CF_Gen_1[[#This Row],[ICG]],ICG[ICG],ICG[Contract])</calculatedColumnFormula>
    </tableColumn>
    <tableColumn id="8" xr3:uid="{7A4123BF-98A0-4BDC-AC96-042914B0793C}" name="Valuation" dataDxfId="118">
      <calculatedColumnFormula>ValuationDate</calculatedColumnFormula>
    </tableColumn>
    <tableColumn id="7" xr3:uid="{20FB0C48-B35C-4C93-ABD5-99089FA8EE5A}" name="#Incurred" dataDxfId="117"/>
    <tableColumn id="2" xr3:uid="{9D8ECE3E-2450-40D3-B436-BF73D999A12A}" name="Incurred" dataDxfId="116">
      <calculatedColumnFormula>EOMONTH(DATE(YEAR(CF_Gen_1[[#This Row],[Valuation]])-1,12,31),CF_Gen_1[[#This Row],['#Incurred]]*3)</calculatedColumnFormula>
    </tableColumn>
    <tableColumn id="17" xr3:uid="{7A36BFE0-7233-4126-85AF-A5D1B695A81C}" name="Expected_Premium" dataDxfId="115" dataCellStyle="Comma [0]">
      <calculatedColumnFormula>SUMIFS(Expected_CF[Expected_Premium],Expected_CF[ICG],CF_Gen_1[[#This Row],[ICG]],Expected_CF[Incurred],CF_Gen_1[[#This Row],[Incurred]])</calculatedColumnFormula>
    </tableColumn>
    <tableColumn id="18" xr3:uid="{EE06F8E5-FF61-412E-AB4C-D9F577ED665D}" name="Expected_Commission" dataDxfId="114" dataCellStyle="Comma [0]">
      <calculatedColumnFormula>SUMIFS(Expected_CF[Expected_Commission],Expected_CF[ICG],CF_Gen_1[[#This Row],[ICG]],Expected_CF[Incurred],CF_Gen_1[[#This Row],[Incurred]])</calculatedColumnFormula>
    </tableColumn>
    <tableColumn id="19" xr3:uid="{A07FFB02-EF9E-4DCC-818F-C41B3A9A458F}" name="Expected_Acquisition" dataDxfId="113" dataCellStyle="Comma [0]">
      <calculatedColumnFormula>IF(CF_Gen_1[[#This Row],[Contract]]="IC",SUMIFS(Expected_CF[Expected_Acquisition],Expected_CF[ICG],CF_Gen_1[[#This Row],[ICG]],Expected_CF[Incurred],CF_Gen_1[[#This Row],[Incurred]]),0)</calculatedColumnFormula>
    </tableColumn>
    <tableColumn id="3" xr3:uid="{9FAE07F3-97F5-4423-93A2-BFAA054263C1}" name="Earned_Premium" dataDxfId="112" dataCellStyle="Comma [0]">
      <calculatedColumnFormula>SUMIFS(Earned[Earned_Premium],Earned[ICG],CF_Gen_1[[#This Row],[ICG]],Earned[Incurred],CF_Gen_1[[#This Row],[Incurred]])</calculatedColumnFormula>
    </tableColumn>
    <tableColumn id="4" xr3:uid="{D16C410C-DB3C-47EC-990C-C2F9B2141B15}" name="Earned_Commission" dataDxfId="111" dataCellStyle="Comma [0]">
      <calculatedColumnFormula>SUMIFS(Earned[Earned_Commission],Earned[ICG],CF_Gen_1[[#This Row],[ICG]],Earned[Incurred],CF_Gen_1[[#This Row],[Incurred]])</calculatedColumnFormula>
    </tableColumn>
    <tableColumn id="21" xr3:uid="{695DEA03-E6E4-4790-92E0-B6C260B733DD}" name="Loss_Ratio" dataDxfId="110" dataCellStyle="Percent">
      <calculatedColumnFormula>_xlfn.XLOOKUP(CF_Gen_1[[#This Row],[ICG]],Assumptions[ICG],Assumptions[Loss_Ratio])</calculatedColumnFormula>
    </tableColumn>
    <tableColumn id="22" xr3:uid="{B69EA693-F937-45D9-98C7-FFC880D26D39}" name="Risk_Adjustment_Ratio" dataDxfId="109" dataCellStyle="Percent">
      <calculatedColumnFormula>_xlfn.XLOOKUP(CF_Gen_1[[#This Row],[ICG]],Assumptions[ICG],Assumptions[Risk_Adjustment_Ratio])</calculatedColumnFormula>
    </tableColumn>
    <tableColumn id="23" xr3:uid="{FD30D3D1-6649-4748-A1B0-3F3F90BADFF9}" name="PME_Ratio" dataDxfId="108" dataCellStyle="Percent">
      <calculatedColumnFormula>_xlfn.XLOOKUP(CF_Gen_1[[#This Row],[ICG]],Assumptions[ICG],Assumptions[PME_Ratio])</calculatedColumnFormula>
    </tableColumn>
    <tableColumn id="24" xr3:uid="{5CB5E7A1-5F18-4E69-B456-24A43791134C}" name="ULAE_Ratio" dataDxfId="107" dataCellStyle="Percent">
      <calculatedColumnFormula>_xlfn.XLOOKUP(CF_Gen_1[[#This Row],[ICG]],Assumptions[ICG],Assumptions[ULAE_Ratio])</calculatedColumnFormula>
    </tableColumn>
    <tableColumn id="25" xr3:uid="{6B501EA3-F058-4B35-9075-FF255C4D8514}" name="Cancellation_Ratio" dataDxfId="106" dataCellStyle="Percent">
      <calculatedColumnFormula>_xlfn.XLOOKUP(CF_Gen_1[[#This Row],[ICG]],Assumptions[ICG],Assumptions[Cancellation_Ratio])</calculatedColumnFormula>
    </tableColumn>
    <tableColumn id="26" xr3:uid="{91E7A824-70CA-423A-983D-DDEB8BED7F92}" name="Premium_Refund_Ratio" dataDxfId="105" dataCellStyle="Percent">
      <calculatedColumnFormula>_xlfn.XLOOKUP(CF_Gen_1[[#This Row],[ICG]],Assumptions[ICG],Assumptions[Premium_Refund_Ratio])</calculatedColumnFormula>
    </tableColumn>
    <tableColumn id="27" xr3:uid="{1E1BFBAE-EB4F-4BCA-8C4C-515FDE7647E4}" name="NPR_Ratio" dataDxfId="104" dataCellStyle="Percent">
      <calculatedColumnFormula>IF(CF_Gen_1[[#This Row],[Contract]]="RC",_xlfn.XLOOKUP(CF_Gen_1[[#This Row],[ICG]],Assumptions[ICG],Assumptions[NPR_Ratio]),0)</calculatedColumnFormula>
    </tableColumn>
    <tableColumn id="20" xr3:uid="{4541E7E5-E13A-4DE2-891A-1F4E8F28D836}" name="Probability_of_Inforce" dataDxfId="103" dataCellStyle="Percent"/>
    <tableColumn id="9" xr3:uid="{D69351B3-C672-4FED-9A40-C026815A8298}" name="Exp_Premium" dataDxfId="102">
      <calculatedColumnFormula>IF(CF_Gen_1[[#This Row],[Incurred]]&lt;=CF_Gen_1[[#This Row],[Valuation]],CF_Gen_1[[#This Row],[Expected_Premium]],-CF_Gen_1[[#This Row],[Probability_of_Inforce]]*CF_Gen_1[[#This Row],[Premium_Refund_Ratio]]*CF_Gen_1[[#This Row],[Cancellation_Ratio]]*SUM(K2:K$105))</calculatedColumnFormula>
    </tableColumn>
    <tableColumn id="10" xr3:uid="{C1960C1E-2BBE-4A86-84D8-8E597222EA12}" name="Exp_Commission" dataDxfId="101">
      <calculatedColumnFormula>IF(CF_Gen_1[[#This Row],[Incurred]]&lt;=CF_Gen_1[[#This Row],[Valuation]],CF_Gen_1[[#This Row],[Expected_Commission]],-CF_Gen_1[[#This Row],[Probability_of_Inforce]]*CF_Gen_1[[#This Row],[Premium_Refund_Ratio]]*CF_Gen_1[[#This Row],[Cancellation_Ratio]]*SUM(L2:L$105))</calculatedColumnFormula>
    </tableColumn>
    <tableColumn id="11" xr3:uid="{82B6D347-12B8-4030-8ABE-DF1D92D2C376}" name="Exp_Acquisition" dataDxfId="100">
      <calculatedColumnFormula>CF_Gen_1[[#This Row],[Expected_Acquisition]]</calculatedColumnFormula>
    </tableColumn>
    <tableColumn id="12" xr3:uid="{4EDBF2B4-F849-4BF2-BA91-DD61A511398C}" name="Exp_Expense" dataDxfId="99">
      <calculatedColumnFormula>-CF_Gen_1[[#This Row],[Probability_of_Inforce]]*CF_Gen_1[[#This Row],[Earned_Premium]]*(1-CF_Gen_1[[#This Row],[Cancellation_Ratio]])*CF_Gen_1[[#This Row],[PME_Ratio]]+CF_Gen_1[[#This Row],[ULAE_Ratio]]*CF_Gen_1[[#This Row],[Exp_Claim]]</calculatedColumnFormula>
    </tableColumn>
    <tableColumn id="13" xr3:uid="{A312A556-0D1C-4AF7-8282-C93C3469E82E}" name="Exp_Claim" dataDxfId="98">
      <calculatedColumnFormula>-CF_Gen_1[[#This Row],[Probability_of_Inforce]]*CF_Gen_1[[#This Row],[Earned_Premium]]*(1-CF_Gen_1[[#This Row],[Cancellation_Ratio]])*CF_Gen_1[[#This Row],[Loss_Ratio]]</calculatedColumnFormula>
    </tableColumn>
    <tableColumn id="14" xr3:uid="{7039E335-6813-402F-92AD-F7D9BA446162}" name="Exp_RA" dataDxfId="97">
      <calculatedColumnFormula>CF_Gen_1[[#This Row],[Exp_Claim]]*CF_Gen_1[[#This Row],[Risk_Adjustment_Ratio]]</calculatedColumnFormula>
    </tableColumn>
    <tableColumn id="15" xr3:uid="{A78585C1-94D3-4793-8B57-B70DD0759090}" name="Exp_NPR" dataDxfId="96">
      <calculatedColumnFormula>IF(CF_Gen_1[[#This Row],[Contract]]="RC",-CF_Gen_1[[#This Row],[NPR_Ratio]]*CF_Gen_1[[#This Row],[Exp_Claim]],0)</calculatedColumnFormula>
    </tableColumn>
    <tableColumn id="5" xr3:uid="{99E6A3A1-B1FD-43A8-85E4-34F1B957C360}" name="Actual_Premium" dataDxfId="95">
      <calculatedColumnFormula>SUMIFS(Actual_CF[Actual_Premium],Actual_CF[ICG],CF_Gen_1[[#This Row],[ICG]],Actual_CF[Incurred],CF_Gen_1[[#This Row],[Incurred]])</calculatedColumnFormula>
    </tableColumn>
    <tableColumn id="6" xr3:uid="{89648E1A-96B3-44A2-9751-05D3F00A7629}" name="Actual_Commission" dataDxfId="94">
      <calculatedColumnFormula>SUMIFS(Actual_CF[Actual_Commission],Actual_CF[ICG],CF_Gen_1[[#This Row],[ICG]],Actual_CF[Incurred],CF_Gen_1[[#This Row],[Incurred]])</calculatedColumnFormula>
    </tableColumn>
    <tableColumn id="28" xr3:uid="{FB152F24-7653-4002-9A37-2399C7B3B211}" name="Actual_Acquisition" dataDxfId="93">
      <calculatedColumnFormula>SUMIFS(Actual_CF[Actual_Acquisition],Actual_CF[ICG],CF_Gen_1[[#This Row],[ICG]],Actual_CF[Incurred],CF_Gen_1[[#This Row],[Incurred]])</calculatedColumnFormula>
    </tableColumn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BFC1DC-EE85-4EF0-A923-CE7D4FDEA2EE}" name="CF_Gen_2" displayName="CF_Gen_2" ref="A1:AD105" totalsRowShown="0" dataDxfId="92">
  <autoFilter ref="A1:AD105" xr:uid="{DF6145E1-6A42-4351-A81B-573227682F0B}"/>
  <tableColumns count="30">
    <tableColumn id="1" xr3:uid="{21757DC9-F5CC-40D8-8A67-3A58A77F0A93}" name="ICG" dataDxfId="91"/>
    <tableColumn id="29" xr3:uid="{A5ECFC97-2553-4515-9813-07C4CC6F8D61}" name="Cohort" dataDxfId="90">
      <calculatedColumnFormula>_xlfn.XLOOKUP(CF_Gen_2[[#This Row],[ICG]],ICG[ICG],ICG[Cohort])</calculatedColumnFormula>
    </tableColumn>
    <tableColumn id="30" xr3:uid="{98AD6693-775C-452A-861E-D9A6D1942BED}" name="Portfolio" dataDxfId="89">
      <calculatedColumnFormula>_xlfn.XLOOKUP(CF_Gen_2[[#This Row],[ICG]],ICG[ICG],ICG[Portfolio])</calculatedColumnFormula>
    </tableColumn>
    <tableColumn id="16" xr3:uid="{AD333CE0-B958-4B38-B041-B356AA8A5903}" name="Contract" dataDxfId="88">
      <calculatedColumnFormula>_xlfn.XLOOKUP(CF_Gen_2[[#This Row],[ICG]],ICG[ICG],ICG[Contract])</calculatedColumnFormula>
    </tableColumn>
    <tableColumn id="8" xr3:uid="{FA94D4F2-BD0C-4113-A4B2-57BD8EC8C65E}" name="Valuation" dataDxfId="87">
      <calculatedColumnFormula>ValuationDate</calculatedColumnFormula>
    </tableColumn>
    <tableColumn id="7" xr3:uid="{EA495221-EFEC-4C46-AFAA-1522AF9558AD}" name="#Incurred" dataDxfId="86"/>
    <tableColumn id="2" xr3:uid="{DC3976C6-0EAC-4103-8267-312C95C6CB67}" name="Incurred" dataDxfId="85">
      <calculatedColumnFormula>EOMONTH(DATE(YEAR(CF_Gen_2[[#This Row],[Valuation]])-1,12,31),CF_Gen_2[[#This Row],['#Incurred]]*3)</calculatedColumnFormula>
    </tableColumn>
    <tableColumn id="17" xr3:uid="{63B256E5-3533-4DAB-B46E-0A3A19BC3D93}" name="Expected_Premium" dataDxfId="84" dataCellStyle="Comma [0]">
      <calculatedColumnFormula>SUMIFS(Expected_CF[Expected_Premium],Expected_CF[ICG],CF_Gen_2[[#This Row],[ICG]],Expected_CF[Incurred],CF_Gen_2[[#This Row],[Incurred]])</calculatedColumnFormula>
    </tableColumn>
    <tableColumn id="18" xr3:uid="{A15859AB-E7E3-472A-980F-825379BCA0CA}" name="Expected_Commission" dataDxfId="83" dataCellStyle="Comma [0]">
      <calculatedColumnFormula>SUMIFS(Expected_CF[Expected_Commission],Expected_CF[ICG],CF_Gen_2[[#This Row],[ICG]],Expected_CF[Incurred],CF_Gen_2[[#This Row],[Incurred]])</calculatedColumnFormula>
    </tableColumn>
    <tableColumn id="19" xr3:uid="{6C893F80-E9E2-4599-84D4-BAECC4613F14}" name="Expected_Acquisition" dataDxfId="82" dataCellStyle="Comma [0]">
      <calculatedColumnFormula>IF(CF_Gen_2[[#This Row],[Contract]]="IC",SUMIFS(Expected_CF[Expected_Acquisition],Expected_CF[ICG],CF_Gen_2[[#This Row],[ICG]],Expected_CF[Incurred],CF_Gen_2[[#This Row],[Incurred]]),0)</calculatedColumnFormula>
    </tableColumn>
    <tableColumn id="3" xr3:uid="{9F0AD6E5-5875-4910-BEBE-882C489C62E4}" name="Earned_Premium" dataDxfId="81" dataCellStyle="Comma [0]">
      <calculatedColumnFormula>SUMIFS(Earned[Earned_Premium],Earned[ICG],CF_Gen_2[[#This Row],[ICG]],Earned[Incurred],CF_Gen_2[[#This Row],[Incurred]])</calculatedColumnFormula>
    </tableColumn>
    <tableColumn id="4" xr3:uid="{CF95B6E4-0124-4B88-ABFA-865A35E05311}" name="Earned_Commission" dataDxfId="80" dataCellStyle="Comma [0]">
      <calculatedColumnFormula>SUMIFS(Earned[Earned_Commission],Earned[ICG],CF_Gen_2[[#This Row],[ICG]],Earned[Incurred],CF_Gen_2[[#This Row],[Incurred]])</calculatedColumnFormula>
    </tableColumn>
    <tableColumn id="21" xr3:uid="{8C4B3996-7B6D-425F-85F2-7FFD517C1F9F}" name="Loss_Ratio" dataDxfId="79" dataCellStyle="Percent">
      <calculatedColumnFormula>_xlfn.XLOOKUP(CF_Gen_2[[#This Row],[ICG]],Assumptions[ICG],Assumptions[Loss_Ratio])</calculatedColumnFormula>
    </tableColumn>
    <tableColumn id="22" xr3:uid="{69A08E06-645E-48A5-A6E0-7E0699B86F55}" name="Risk_Adjustment_Ratio" dataDxfId="78" dataCellStyle="Percent">
      <calculatedColumnFormula>_xlfn.XLOOKUP(CF_Gen_2[[#This Row],[ICG]],Assumptions[ICG],Assumptions[Risk_Adjustment_Ratio])</calculatedColumnFormula>
    </tableColumn>
    <tableColumn id="23" xr3:uid="{491D62F3-4D8E-4755-8DA2-4EF269865EB6}" name="PME_Ratio" dataDxfId="77" dataCellStyle="Percent">
      <calculatedColumnFormula>_xlfn.XLOOKUP(CF_Gen_2[[#This Row],[ICG]],Assumptions[ICG],Assumptions[PME_Ratio])</calculatedColumnFormula>
    </tableColumn>
    <tableColumn id="24" xr3:uid="{79211B83-309B-43AC-AFBB-C5A04142A5F1}" name="ULAE_Ratio" dataDxfId="76" dataCellStyle="Percent">
      <calculatedColumnFormula>_xlfn.XLOOKUP(CF_Gen_2[[#This Row],[ICG]],Assumptions[ICG],Assumptions[ULAE_Ratio])</calculatedColumnFormula>
    </tableColumn>
    <tableColumn id="25" xr3:uid="{89A20DE1-968C-4A20-A93D-E6E9D631848D}" name="Cancellation_Ratio" dataDxfId="75" dataCellStyle="Percent">
      <calculatedColumnFormula>_xlfn.XLOOKUP(CF_Gen_2[[#This Row],[ICG]],Assumptions[ICG],Assumptions[Cancellation_Ratio])</calculatedColumnFormula>
    </tableColumn>
    <tableColumn id="26" xr3:uid="{7B35D7C7-77B0-4A69-A87A-34D3762A63CE}" name="Premium_Refund_Ratio" dataDxfId="74" dataCellStyle="Percent">
      <calculatedColumnFormula>_xlfn.XLOOKUP(CF_Gen_2[[#This Row],[ICG]],Assumptions[ICG],Assumptions[Premium_Refund_Ratio])</calculatedColumnFormula>
    </tableColumn>
    <tableColumn id="27" xr3:uid="{01335408-ED32-4BA0-9B67-71A161A09C02}" name="NPR_Ratio" dataDxfId="73" dataCellStyle="Percent">
      <calculatedColumnFormula>IF(CF_Gen_2[[#This Row],[Contract]]="RC",_xlfn.XLOOKUP(CF_Gen_2[[#This Row],[ICG]],Assumptions[ICG],Assumptions[NPR_Ratio]),0)</calculatedColumnFormula>
    </tableColumn>
    <tableColumn id="20" xr3:uid="{A472B00D-78DA-469D-8AE2-006FEB4E7CE3}" name="Probability_of_Inforce" dataDxfId="72" dataCellStyle="Percent"/>
    <tableColumn id="9" xr3:uid="{3EABDCA2-2C01-4067-9F15-5F6DA3AAF20F}" name="Exp_Premium" dataDxfId="71">
      <calculatedColumnFormula>IF(CF_Gen_2[[#This Row],[Incurred]]&lt;=CF_Gen_2[[#This Row],[Valuation]],CF_Gen_2[[#This Row],[Expected_Premium]],-CF_Gen_2[[#This Row],[Probability_of_Inforce]]*CF_Gen_2[[#This Row],[Premium_Refund_Ratio]]*CF_Gen_2[[#This Row],[Cancellation_Ratio]]*SUM(K2:K$105))</calculatedColumnFormula>
    </tableColumn>
    <tableColumn id="10" xr3:uid="{0CD3D688-A235-4831-A211-C138D5DA4764}" name="Exp_Commission" dataDxfId="70">
      <calculatedColumnFormula>IF(CF_Gen_2[[#This Row],[Incurred]]&lt;=CF_Gen_2[[#This Row],[Valuation]],CF_Gen_2[[#This Row],[Expected_Commission]],-CF_Gen_2[[#This Row],[Probability_of_Inforce]]*CF_Gen_2[[#This Row],[Premium_Refund_Ratio]]*CF_Gen_2[[#This Row],[Cancellation_Ratio]]*SUM(L2:L$105))</calculatedColumnFormula>
    </tableColumn>
    <tableColumn id="11" xr3:uid="{621A2A2D-411D-4C95-BB46-3DF499BB5E07}" name="Exp_Acquisition" dataDxfId="69">
      <calculatedColumnFormula>CF_Gen_2[[#This Row],[Expected_Acquisition]]</calculatedColumnFormula>
    </tableColumn>
    <tableColumn id="12" xr3:uid="{DD2E01EE-D824-475A-8AF1-4E32E723A309}" name="Exp_Expense" dataDxfId="68">
      <calculatedColumnFormula>-CF_Gen_2[[#This Row],[Probability_of_Inforce]]*CF_Gen_2[[#This Row],[Earned_Premium]]*(1-CF_Gen_2[[#This Row],[Cancellation_Ratio]])*CF_Gen_2[[#This Row],[PME_Ratio]]+CF_Gen_2[[#This Row],[ULAE_Ratio]]*CF_Gen_2[[#This Row],[Exp_Claim]]</calculatedColumnFormula>
    </tableColumn>
    <tableColumn id="13" xr3:uid="{E7141ED8-5DF1-47AD-B9C5-0A148020A367}" name="Exp_Claim" dataDxfId="67">
      <calculatedColumnFormula>-CF_Gen_2[[#This Row],[Probability_of_Inforce]]*CF_Gen_2[[#This Row],[Earned_Premium]]*(1-CF_Gen_2[[#This Row],[Cancellation_Ratio]])*CF_Gen_2[[#This Row],[Loss_Ratio]]</calculatedColumnFormula>
    </tableColumn>
    <tableColumn id="14" xr3:uid="{0988F559-8D4D-414E-9B29-585A1840E7D6}" name="Exp_RA" dataDxfId="66">
      <calculatedColumnFormula>CF_Gen_2[[#This Row],[Exp_Claim]]*CF_Gen_2[[#This Row],[Risk_Adjustment_Ratio]]</calculatedColumnFormula>
    </tableColumn>
    <tableColumn id="15" xr3:uid="{EB1EC249-51C3-4E9A-85E6-B4DD9D0824C1}" name="Exp_NPR" dataDxfId="65">
      <calculatedColumnFormula>IF(CF_Gen_2[[#This Row],[Contract]]="RC",-CF_Gen_2[[#This Row],[NPR_Ratio]]*CF_Gen_2[[#This Row],[Exp_Claim]],0)</calculatedColumnFormula>
    </tableColumn>
    <tableColumn id="5" xr3:uid="{F7417E4F-07D4-484C-ADB2-CF372161D129}" name="Actual_Premium" dataDxfId="64">
      <calculatedColumnFormula>SUMIFS(Actual_CF[Actual_Premium],Actual_CF[ICG],CF_Gen_2[[#This Row],[ICG]],Actual_CF[Incurred],CF_Gen_2[[#This Row],[Incurred]])</calculatedColumnFormula>
    </tableColumn>
    <tableColumn id="6" xr3:uid="{D0C57E8A-F101-45ED-983A-7B0EB98DEBB4}" name="Actual_Commission" dataDxfId="63">
      <calculatedColumnFormula>SUMIFS(Actual_CF[Actual_Commission],Actual_CF[ICG],CF_Gen_2[[#This Row],[ICG]],Actual_CF[Incurred],CF_Gen_2[[#This Row],[Incurred]])</calculatedColumnFormula>
    </tableColumn>
    <tableColumn id="28" xr3:uid="{FB831C0F-78BE-4F93-9770-C05CDDD639A1}" name="Actual_Acquisition" dataDxfId="62">
      <calculatedColumnFormula>SUMIFS(Actual_CF[Actual_Acquisition],Actual_CF[ICG],CF_Gen_2[[#This Row],[ICG]],Actual_CF[Incurred],CF_Gen_2[[#This Row],[Incurred]])</calculatedColumnFormula>
    </tableColumn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701D14-2FFE-43BA-AEAE-948DB68BE6A5}" name="CF_Gen_3" displayName="CF_Gen_3" ref="A1:AD105" totalsRowShown="0" dataDxfId="61">
  <autoFilter ref="A1:AD105" xr:uid="{DF6145E1-6A42-4351-A81B-573227682F0B}"/>
  <tableColumns count="30">
    <tableColumn id="1" xr3:uid="{1EB612D0-05AE-4053-B4A4-DD4861FEA8DA}" name="ICG" dataDxfId="60"/>
    <tableColumn id="29" xr3:uid="{8C2219F0-E1D1-4024-884C-1F2D3CCFB211}" name="Cohort" dataDxfId="59">
      <calculatedColumnFormula>_xlfn.XLOOKUP(CF_Gen_3[[#This Row],[ICG]],ICG[ICG],ICG[Cohort])</calculatedColumnFormula>
    </tableColumn>
    <tableColumn id="30" xr3:uid="{7B64023E-4977-4F0E-A095-725519D690EC}" name="Portfolio" dataDxfId="58">
      <calculatedColumnFormula>_xlfn.XLOOKUP(CF_Gen_3[[#This Row],[ICG]],ICG[ICG],ICG[Portfolio])</calculatedColumnFormula>
    </tableColumn>
    <tableColumn id="16" xr3:uid="{9F6DF468-CF26-4FCC-B73F-FBB6F8376501}" name="Contract" dataDxfId="57">
      <calculatedColumnFormula>_xlfn.XLOOKUP(CF_Gen_3[[#This Row],[ICG]],ICG[ICG],ICG[Contract])</calculatedColumnFormula>
    </tableColumn>
    <tableColumn id="8" xr3:uid="{A6DE0E32-C3A7-4C3F-A4D6-DC335CA3CAD4}" name="Valuation" dataDxfId="56">
      <calculatedColumnFormula>ValuationDate</calculatedColumnFormula>
    </tableColumn>
    <tableColumn id="7" xr3:uid="{EEE8FF78-EE9F-43B7-A1DA-BDDC3B016610}" name="#Incurred" dataDxfId="55"/>
    <tableColumn id="2" xr3:uid="{C8B66E0F-821A-45EB-B4F3-E4A2CEEBA0AD}" name="Incurred" dataDxfId="54">
      <calculatedColumnFormula>EOMONTH(DATE(YEAR(CF_Gen_3[[#This Row],[Valuation]])-1,12,31),CF_Gen_3[[#This Row],['#Incurred]]*3)</calculatedColumnFormula>
    </tableColumn>
    <tableColumn id="17" xr3:uid="{8212D2A8-394B-4E3E-8EDC-B412E2CA69F9}" name="Expected_Premium" dataDxfId="53" dataCellStyle="Comma [0]">
      <calculatedColumnFormula>SUMIFS(Expected_CF[Expected_Premium],Expected_CF[ICG],CF_Gen_3[[#This Row],[ICG]],Expected_CF[Incurred],CF_Gen_3[[#This Row],[Incurred]])</calculatedColumnFormula>
    </tableColumn>
    <tableColumn id="18" xr3:uid="{4A622C8D-5E61-4ACC-B6AF-6B1DF430799F}" name="Expected_Commission" dataDxfId="52" dataCellStyle="Comma [0]">
      <calculatedColumnFormula>SUMIFS(Expected_CF[Expected_Commission],Expected_CF[ICG],CF_Gen_3[[#This Row],[ICG]],Expected_CF[Incurred],CF_Gen_3[[#This Row],[Incurred]])</calculatedColumnFormula>
    </tableColumn>
    <tableColumn id="19" xr3:uid="{F66C4A63-115E-4015-8FE9-03C9A6641090}" name="Expected_Acquisition" dataDxfId="51" dataCellStyle="Comma [0]">
      <calculatedColumnFormula>IF(CF_Gen_3[[#This Row],[Contract]]="IC",SUMIFS(Expected_CF[Expected_Acquisition],Expected_CF[ICG],CF_Gen_3[[#This Row],[ICG]],Expected_CF[Incurred],CF_Gen_3[[#This Row],[Incurred]]),0)</calculatedColumnFormula>
    </tableColumn>
    <tableColumn id="3" xr3:uid="{363CA582-08BB-4CD0-A180-09B28BA226FF}" name="Earned_Premium" dataDxfId="50" dataCellStyle="Comma [0]">
      <calculatedColumnFormula>SUMIFS(Earned[Earned_Premium],Earned[ICG],CF_Gen_3[[#This Row],[ICG]],Earned[Incurred],CF_Gen_3[[#This Row],[Incurred]])</calculatedColumnFormula>
    </tableColumn>
    <tableColumn id="4" xr3:uid="{DD2F45C4-9F99-4F4E-AE45-4DD82F7BDE15}" name="Earned_Commission" dataDxfId="49" dataCellStyle="Comma [0]">
      <calculatedColumnFormula>SUMIFS(Earned[Earned_Commission],Earned[ICG],CF_Gen_3[[#This Row],[ICG]],Earned[Incurred],CF_Gen_3[[#This Row],[Incurred]])</calculatedColumnFormula>
    </tableColumn>
    <tableColumn id="21" xr3:uid="{E3D6644F-716E-45B9-9C31-A88BEE15FF37}" name="Loss_Ratio" dataDxfId="48" dataCellStyle="Percent">
      <calculatedColumnFormula>_xlfn.XLOOKUP(CF_Gen_3[[#This Row],[ICG]],Assumptions[ICG],Assumptions[Loss_Ratio])</calculatedColumnFormula>
    </tableColumn>
    <tableColumn id="22" xr3:uid="{92617071-BCEA-404C-B22A-BBC64D44501F}" name="Risk_Adjustment_Ratio" dataDxfId="47" dataCellStyle="Percent">
      <calculatedColumnFormula>_xlfn.XLOOKUP(CF_Gen_3[[#This Row],[ICG]],Assumptions[ICG],Assumptions[Risk_Adjustment_Ratio])</calculatedColumnFormula>
    </tableColumn>
    <tableColumn id="23" xr3:uid="{90F700DD-EC83-4DFB-9E9D-0033E588D271}" name="PME_Ratio" dataDxfId="46" dataCellStyle="Percent">
      <calculatedColumnFormula>_xlfn.XLOOKUP(CF_Gen_3[[#This Row],[ICG]],Assumptions[ICG],Assumptions[PME_Ratio])</calculatedColumnFormula>
    </tableColumn>
    <tableColumn id="24" xr3:uid="{CE684A77-8232-46AD-8FE1-57B048712390}" name="ULAE_Ratio" dataDxfId="45" dataCellStyle="Percent">
      <calculatedColumnFormula>_xlfn.XLOOKUP(CF_Gen_3[[#This Row],[ICG]],Assumptions[ICG],Assumptions[ULAE_Ratio])</calculatedColumnFormula>
    </tableColumn>
    <tableColumn id="25" xr3:uid="{C07BD879-4D34-47D2-AFCB-DAC6F5B22E2F}" name="Cancellation_Ratio" dataDxfId="44" dataCellStyle="Percent">
      <calculatedColumnFormula>_xlfn.XLOOKUP(CF_Gen_3[[#This Row],[ICG]],Assumptions[ICG],Assumptions[Cancellation_Ratio])</calculatedColumnFormula>
    </tableColumn>
    <tableColumn id="26" xr3:uid="{A9EB15CA-341C-453A-A6F3-C2ACC5A12C8B}" name="Premium_Refund_Ratio" dataDxfId="43" dataCellStyle="Percent">
      <calculatedColumnFormula>_xlfn.XLOOKUP(CF_Gen_3[[#This Row],[ICG]],Assumptions[ICG],Assumptions[Premium_Refund_Ratio])</calculatedColumnFormula>
    </tableColumn>
    <tableColumn id="27" xr3:uid="{2A259751-0AE8-4E1B-8E6E-D0F7E315A259}" name="NPR_Ratio" dataDxfId="42" dataCellStyle="Percent">
      <calculatedColumnFormula>IF(CF_Gen_3[[#This Row],[Contract]]="RC",_xlfn.XLOOKUP(CF_Gen_3[[#This Row],[ICG]],Assumptions[ICG],Assumptions[NPR_Ratio]),0)</calculatedColumnFormula>
    </tableColumn>
    <tableColumn id="20" xr3:uid="{5D493096-99F7-4018-B601-83B6ABA52C3A}" name="Probability_of_Inforce" dataDxfId="41" dataCellStyle="Percent"/>
    <tableColumn id="9" xr3:uid="{821D4C44-944C-4B77-AECC-08DC47D902D0}" name="Exp_Premium" dataDxfId="40">
      <calculatedColumnFormula>IF(CF_Gen_3[[#This Row],[Incurred]]&lt;=CF_Gen_3[[#This Row],[Valuation]],CF_Gen_3[[#This Row],[Expected_Premium]],-CF_Gen_3[[#This Row],[Probability_of_Inforce]]*CF_Gen_3[[#This Row],[Premium_Refund_Ratio]]*CF_Gen_3[[#This Row],[Cancellation_Ratio]]*SUM(K2:K$105))</calculatedColumnFormula>
    </tableColumn>
    <tableColumn id="10" xr3:uid="{D946EF1F-7D09-475F-B3E5-51C13B062D82}" name="Exp_Commission" dataDxfId="39">
      <calculatedColumnFormula>IF(CF_Gen_3[[#This Row],[Incurred]]&lt;=CF_Gen_3[[#This Row],[Valuation]],CF_Gen_3[[#This Row],[Expected_Commission]],-CF_Gen_3[[#This Row],[Probability_of_Inforce]]*CF_Gen_3[[#This Row],[Premium_Refund_Ratio]]*CF_Gen_3[[#This Row],[Cancellation_Ratio]]*SUM(L2:L$105))</calculatedColumnFormula>
    </tableColumn>
    <tableColumn id="11" xr3:uid="{756B556B-BE5A-4759-9B50-FCB452EE52EE}" name="Exp_Acquisition" dataDxfId="38">
      <calculatedColumnFormula>CF_Gen_3[[#This Row],[Expected_Acquisition]]</calculatedColumnFormula>
    </tableColumn>
    <tableColumn id="12" xr3:uid="{C968C891-12B9-4AF8-BD2C-035C8678AC90}" name="Exp_Expense" dataDxfId="37">
      <calculatedColumnFormula>-CF_Gen_3[[#This Row],[Probability_of_Inforce]]*CF_Gen_3[[#This Row],[Earned_Premium]]*(1-CF_Gen_3[[#This Row],[Cancellation_Ratio]])*CF_Gen_3[[#This Row],[PME_Ratio]]+CF_Gen_3[[#This Row],[ULAE_Ratio]]*CF_Gen_3[[#This Row],[Exp_Claim]]</calculatedColumnFormula>
    </tableColumn>
    <tableColumn id="13" xr3:uid="{A4827EF2-E9CE-4CE2-81A0-45305B1AA80D}" name="Exp_Claim" dataDxfId="36">
      <calculatedColumnFormula>-CF_Gen_3[[#This Row],[Probability_of_Inforce]]*CF_Gen_3[[#This Row],[Earned_Premium]]*(1-CF_Gen_3[[#This Row],[Cancellation_Ratio]])*CF_Gen_3[[#This Row],[Loss_Ratio]]</calculatedColumnFormula>
    </tableColumn>
    <tableColumn id="14" xr3:uid="{F153EA22-A7DC-4B41-B997-A3710BBC657B}" name="Exp_RA" dataDxfId="35">
      <calculatedColumnFormula>CF_Gen_3[[#This Row],[Exp_Claim]]*CF_Gen_3[[#This Row],[Risk_Adjustment_Ratio]]</calculatedColumnFormula>
    </tableColumn>
    <tableColumn id="15" xr3:uid="{FE0ABFE0-FBEF-4E62-B5E7-A66C4FEDCE85}" name="Exp_NPR" dataDxfId="34">
      <calculatedColumnFormula>IF(CF_Gen_3[[#This Row],[Contract]]="RC",-CF_Gen_3[[#This Row],[NPR_Ratio]]*CF_Gen_3[[#This Row],[Exp_Claim]],0)</calculatedColumnFormula>
    </tableColumn>
    <tableColumn id="5" xr3:uid="{96E6DD1D-6277-49D3-99C7-2BA1B4A11109}" name="Actual_Premium" dataDxfId="33">
      <calculatedColumnFormula>SUMIFS(Actual_CF[Actual_Premium],Actual_CF[ICG],CF_Gen_3[[#This Row],[ICG]],Actual_CF[Incurred],CF_Gen_3[[#This Row],[Incurred]])</calculatedColumnFormula>
    </tableColumn>
    <tableColumn id="6" xr3:uid="{A51D3C17-3C9D-4543-81B7-AE253905FE09}" name="Actual_Commission" dataDxfId="32">
      <calculatedColumnFormula>SUMIFS(Actual_CF[Actual_Commission],Actual_CF[ICG],CF_Gen_3[[#This Row],[ICG]],Actual_CF[Incurred],CF_Gen_3[[#This Row],[Incurred]])</calculatedColumnFormula>
    </tableColumn>
    <tableColumn id="28" xr3:uid="{8ED41260-7C2E-4E1C-A699-DDA2BB60885A}" name="Actual_Acquisition" dataDxfId="31">
      <calculatedColumnFormula>SUMIFS(Actual_CF[Actual_Acquisition],Actual_CF[ICG],CF_Gen_3[[#This Row],[ICG]],Actual_CF[Incurred],CF_Gen_3[[#This Row],[Incurred]])</calculatedColumnFormula>
    </tableColumn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7419C2-0CBF-40AC-B3AC-2D6082A86CC5}" name="CF_Gen_4" displayName="CF_Gen_4" ref="A1:AD105" totalsRowShown="0" dataDxfId="30">
  <autoFilter ref="A1:AD105" xr:uid="{DF6145E1-6A42-4351-A81B-573227682F0B}"/>
  <tableColumns count="30">
    <tableColumn id="1" xr3:uid="{E3A77170-2A25-4169-BECC-5BF5E9B55D2C}" name="ICG" dataDxfId="29"/>
    <tableColumn id="29" xr3:uid="{65D17AF2-4EAB-4152-A3BE-2BD585ADC388}" name="Cohort" dataDxfId="28">
      <calculatedColumnFormula>_xlfn.XLOOKUP(CF_Gen_4[[#This Row],[ICG]],ICG[ICG],ICG[Cohort])</calculatedColumnFormula>
    </tableColumn>
    <tableColumn id="30" xr3:uid="{153FC237-EE3D-4FF9-B2AA-60C2044ED3DB}" name="Portfolio" dataDxfId="27">
      <calculatedColumnFormula>_xlfn.XLOOKUP(CF_Gen_4[[#This Row],[ICG]],ICG[ICG],ICG[Portfolio])</calculatedColumnFormula>
    </tableColumn>
    <tableColumn id="16" xr3:uid="{713A7EE8-6A66-4407-8060-441A5439E057}" name="Contract" dataDxfId="26">
      <calculatedColumnFormula>_xlfn.XLOOKUP(CF_Gen_4[[#This Row],[ICG]],ICG[ICG],ICG[Contract])</calculatedColumnFormula>
    </tableColumn>
    <tableColumn id="8" xr3:uid="{FC867C8C-D5F7-4050-A866-2C0EFB277FAF}" name="Valuation" dataDxfId="25">
      <calculatedColumnFormula>ValuationDate</calculatedColumnFormula>
    </tableColumn>
    <tableColumn id="7" xr3:uid="{CEAE9710-6BB0-4DE4-97DB-1B855BC9FE65}" name="#Incurred" dataDxfId="24"/>
    <tableColumn id="2" xr3:uid="{2FBE85D0-D443-46F2-9A5B-558A7E1DA4D7}" name="Incurred" dataDxfId="23">
      <calculatedColumnFormula>EOMONTH(DATE(YEAR(CF_Gen_4[[#This Row],[Valuation]])-1,12,31),CF_Gen_4[[#This Row],['#Incurred]]*3)</calculatedColumnFormula>
    </tableColumn>
    <tableColumn id="17" xr3:uid="{CB4F0F09-4F26-4AC9-9C52-DB7D22DE8818}" name="Expected_Premium" dataDxfId="22" dataCellStyle="Comma [0]">
      <calculatedColumnFormula>SUMIFS(Expected_CF[Expected_Premium],Expected_CF[ICG],CF_Gen_4[[#This Row],[ICG]],Expected_CF[Incurred],CF_Gen_4[[#This Row],[Incurred]])</calculatedColumnFormula>
    </tableColumn>
    <tableColumn id="18" xr3:uid="{E90C420E-E6CC-47AA-88D8-641C4EFE162A}" name="Expected_Commission" dataDxfId="21" dataCellStyle="Comma [0]">
      <calculatedColumnFormula>SUMIFS(Expected_CF[Expected_Commission],Expected_CF[ICG],CF_Gen_4[[#This Row],[ICG]],Expected_CF[Incurred],CF_Gen_4[[#This Row],[Incurred]])</calculatedColumnFormula>
    </tableColumn>
    <tableColumn id="19" xr3:uid="{3E0C6721-DFC3-4DBB-BD37-03E9ABD9D680}" name="Expected_Acquisition" dataDxfId="20" dataCellStyle="Comma [0]">
      <calculatedColumnFormula>IF(CF_Gen_4[[#This Row],[Contract]]="IC",SUMIFS(Expected_CF[Expected_Acquisition],Expected_CF[ICG],CF_Gen_4[[#This Row],[ICG]],Expected_CF[Incurred],CF_Gen_4[[#This Row],[Incurred]]),0)</calculatedColumnFormula>
    </tableColumn>
    <tableColumn id="3" xr3:uid="{D6D05E98-2A19-429B-82AC-ACE3D07D7934}" name="Earned_Premium" dataDxfId="19" dataCellStyle="Comma [0]">
      <calculatedColumnFormula>SUMIFS(Earned[Earned_Premium],Earned[ICG],CF_Gen_4[[#This Row],[ICG]],Earned[Incurred],CF_Gen_4[[#This Row],[Incurred]])</calculatedColumnFormula>
    </tableColumn>
    <tableColumn id="4" xr3:uid="{85DC8300-788D-49CD-8B0C-F52C4124EC3D}" name="Earned_Commission" dataDxfId="18" dataCellStyle="Comma [0]">
      <calculatedColumnFormula>SUMIFS(Earned[Earned_Commission],Earned[ICG],CF_Gen_4[[#This Row],[ICG]],Earned[Incurred],CF_Gen_4[[#This Row],[Incurred]])</calculatedColumnFormula>
    </tableColumn>
    <tableColumn id="21" xr3:uid="{70769606-BAC6-4C45-B3B2-0D7E67FC9198}" name="Loss_Ratio" dataDxfId="17" dataCellStyle="Percent">
      <calculatedColumnFormula>_xlfn.XLOOKUP(CF_Gen_4[[#This Row],[ICG]],Assumptions[ICG],Assumptions[Loss_Ratio])</calculatedColumnFormula>
    </tableColumn>
    <tableColumn id="22" xr3:uid="{3E2F6A9B-1ACB-4824-988E-4601A5B4F03B}" name="Risk_Adjustment_Ratio" dataDxfId="16" dataCellStyle="Percent">
      <calculatedColumnFormula>_xlfn.XLOOKUP(CF_Gen_4[[#This Row],[ICG]],Assumptions[ICG],Assumptions[Risk_Adjustment_Ratio])</calculatedColumnFormula>
    </tableColumn>
    <tableColumn id="23" xr3:uid="{4BDF9541-776F-4DD2-B5EB-8F99B55B22A4}" name="PME_Ratio" dataDxfId="15" dataCellStyle="Percent">
      <calculatedColumnFormula>_xlfn.XLOOKUP(CF_Gen_4[[#This Row],[ICG]],Assumptions[ICG],Assumptions[PME_Ratio])</calculatedColumnFormula>
    </tableColumn>
    <tableColumn id="24" xr3:uid="{9B7A84F3-25EE-4FAB-8B35-1662ED0891CD}" name="ULAE_Ratio" dataDxfId="14" dataCellStyle="Percent">
      <calculatedColumnFormula>_xlfn.XLOOKUP(CF_Gen_4[[#This Row],[ICG]],Assumptions[ICG],Assumptions[ULAE_Ratio])</calculatedColumnFormula>
    </tableColumn>
    <tableColumn id="25" xr3:uid="{147F3703-F248-4135-8F34-DB3718174EE2}" name="Cancellation_Ratio" dataDxfId="13" dataCellStyle="Percent">
      <calculatedColumnFormula>_xlfn.XLOOKUP(CF_Gen_4[[#This Row],[ICG]],Assumptions[ICG],Assumptions[Cancellation_Ratio])</calculatedColumnFormula>
    </tableColumn>
    <tableColumn id="26" xr3:uid="{266E6BA9-3054-4155-BB5F-D8775E5DAB04}" name="Premium_Refund_Ratio" dataDxfId="12" dataCellStyle="Percent">
      <calculatedColumnFormula>_xlfn.XLOOKUP(CF_Gen_4[[#This Row],[ICG]],Assumptions[ICG],Assumptions[Premium_Refund_Ratio])</calculatedColumnFormula>
    </tableColumn>
    <tableColumn id="27" xr3:uid="{24E3BB74-F157-41D3-9566-F086C74D2173}" name="NPR_Ratio" dataDxfId="11" dataCellStyle="Percent">
      <calculatedColumnFormula>IF(CF_Gen_4[[#This Row],[Contract]]="RC",_xlfn.XLOOKUP(CF_Gen_4[[#This Row],[ICG]],Assumptions[ICG],Assumptions[NPR_Ratio]),0)</calculatedColumnFormula>
    </tableColumn>
    <tableColumn id="20" xr3:uid="{E399E85C-0C8D-4DCC-8309-BFA76076CF22}" name="Probability_of_Inforce" dataDxfId="10" dataCellStyle="Percent"/>
    <tableColumn id="9" xr3:uid="{78865AB9-D6BC-4A4B-A120-CF553043769F}" name="Exp_Premium" dataDxfId="9">
      <calculatedColumnFormula>IF(CF_Gen_4[[#This Row],[Incurred]]&lt;=CF_Gen_4[[#This Row],[Valuation]],CF_Gen_4[[#This Row],[Expected_Premium]],-CF_Gen_4[[#This Row],[Probability_of_Inforce]]*CF_Gen_4[[#This Row],[Premium_Refund_Ratio]]*CF_Gen_4[[#This Row],[Cancellation_Ratio]]*SUM(K2:K$105))</calculatedColumnFormula>
    </tableColumn>
    <tableColumn id="10" xr3:uid="{11E1FE01-5615-449C-9901-6F536F7772A8}" name="Exp_Commission" dataDxfId="8">
      <calculatedColumnFormula>IF(CF_Gen_4[[#This Row],[Incurred]]&lt;=CF_Gen_4[[#This Row],[Valuation]],CF_Gen_4[[#This Row],[Expected_Commission]],-CF_Gen_4[[#This Row],[Probability_of_Inforce]]*CF_Gen_4[[#This Row],[Premium_Refund_Ratio]]*CF_Gen_4[[#This Row],[Cancellation_Ratio]]*SUM(L2:L$105))</calculatedColumnFormula>
    </tableColumn>
    <tableColumn id="11" xr3:uid="{201119F2-5921-4FC6-A36E-499A0961AC4F}" name="Exp_Acquisition" dataDxfId="7">
      <calculatedColumnFormula>CF_Gen_4[[#This Row],[Expected_Acquisition]]</calculatedColumnFormula>
    </tableColumn>
    <tableColumn id="12" xr3:uid="{7A8ACA08-F52D-49A0-9B5F-BBDAFF765507}" name="Exp_Expense" dataDxfId="6">
      <calculatedColumnFormula>-CF_Gen_4[[#This Row],[Probability_of_Inforce]]*CF_Gen_4[[#This Row],[Earned_Premium]]*(1-CF_Gen_4[[#This Row],[Cancellation_Ratio]])*CF_Gen_4[[#This Row],[PME_Ratio]]+CF_Gen_4[[#This Row],[ULAE_Ratio]]*CF_Gen_4[[#This Row],[Exp_Claim]]</calculatedColumnFormula>
    </tableColumn>
    <tableColumn id="13" xr3:uid="{5DC4B7F9-480C-40F0-8CC3-AAB8AE7732B5}" name="Exp_Claim" dataDxfId="5">
      <calculatedColumnFormula>-CF_Gen_4[[#This Row],[Probability_of_Inforce]]*CF_Gen_4[[#This Row],[Earned_Premium]]*(1-CF_Gen_4[[#This Row],[Cancellation_Ratio]])*CF_Gen_4[[#This Row],[Loss_Ratio]]</calculatedColumnFormula>
    </tableColumn>
    <tableColumn id="14" xr3:uid="{C0C12B2C-A27B-49D8-A892-9CCE06D0109F}" name="Exp_RA" dataDxfId="4">
      <calculatedColumnFormula>CF_Gen_4[[#This Row],[Exp_Claim]]*CF_Gen_4[[#This Row],[Risk_Adjustment_Ratio]]</calculatedColumnFormula>
    </tableColumn>
    <tableColumn id="15" xr3:uid="{89C969F4-6B47-4785-A9A2-CE42BB28ABDE}" name="Exp_NPR" dataDxfId="3">
      <calculatedColumnFormula>IF(CF_Gen_4[[#This Row],[Contract]]="RC",-CF_Gen_4[[#This Row],[NPR_Ratio]]*CF_Gen_4[[#This Row],[Exp_Claim]],0)</calculatedColumnFormula>
    </tableColumn>
    <tableColumn id="5" xr3:uid="{38E6E85A-742D-43AE-B516-D50D66A8E21B}" name="Actual_Premium" dataDxfId="2">
      <calculatedColumnFormula>SUMIFS(Actual_CF[Actual_Premium],Actual_CF[ICG],CF_Gen_4[[#This Row],[ICG]],Actual_CF[Incurred],CF_Gen_4[[#This Row],[Incurred]])</calculatedColumnFormula>
    </tableColumn>
    <tableColumn id="6" xr3:uid="{7EACB677-FCCA-4CBE-B72E-83B76B6C14FE}" name="Actual_Commission" dataDxfId="1">
      <calculatedColumnFormula>SUMIFS(Actual_CF[Actual_Commission],Actual_CF[ICG],CF_Gen_4[[#This Row],[ICG]],Actual_CF[Incurred],CF_Gen_4[[#This Row],[Incurred]])</calculatedColumnFormula>
    </tableColumn>
    <tableColumn id="28" xr3:uid="{C38AE859-FEFD-42EB-9772-7F0A912F3DAD}" name="Actual_Acquisition" dataDxfId="0">
      <calculatedColumnFormula>SUMIFS(Actual_CF[Actual_Acquisition],Actual_CF[ICG],CF_Gen_4[[#This Row],[ICG]],Actual_CF[Incurred],CF_Gen_4[[#This Row],[Incurred]])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6A8-146D-4DD4-9569-BA69036C54ED}">
  <sheetPr>
    <tabColor rgb="FF00B0F0"/>
  </sheetPr>
  <dimension ref="A1:A5"/>
  <sheetViews>
    <sheetView workbookViewId="0">
      <selection activeCell="C1" sqref="C1:C4"/>
    </sheetView>
  </sheetViews>
  <sheetFormatPr defaultRowHeight="14.5"/>
  <cols>
    <col min="1" max="1" width="23.5429687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2FDF-FF4E-4B7B-B239-85B70BD93BE9}">
  <dimension ref="A1:D48"/>
  <sheetViews>
    <sheetView showGridLines="0" topLeftCell="B4" workbookViewId="0">
      <selection activeCell="D34" sqref="D34"/>
    </sheetView>
  </sheetViews>
  <sheetFormatPr defaultRowHeight="14.5"/>
  <cols>
    <col min="2" max="2" width="15" bestFit="1" customWidth="1"/>
    <col min="3" max="3" width="22.54296875" bestFit="1" customWidth="1"/>
    <col min="4" max="4" width="106.26953125" bestFit="1" customWidth="1"/>
  </cols>
  <sheetData>
    <row r="1" spans="1:4">
      <c r="A1" s="36" t="s">
        <v>57</v>
      </c>
    </row>
    <row r="3" spans="1:4">
      <c r="B3" s="35" t="s">
        <v>58</v>
      </c>
      <c r="C3" s="35" t="s">
        <v>59</v>
      </c>
      <c r="D3" s="35" t="s">
        <v>60</v>
      </c>
    </row>
    <row r="4" spans="1:4">
      <c r="B4" s="35" t="s">
        <v>61</v>
      </c>
      <c r="C4" s="35" t="s">
        <v>62</v>
      </c>
      <c r="D4" s="35" t="s">
        <v>63</v>
      </c>
    </row>
    <row r="6" spans="1:4">
      <c r="B6" s="35" t="s">
        <v>58</v>
      </c>
      <c r="C6" s="35" t="s">
        <v>59</v>
      </c>
      <c r="D6" s="35" t="s">
        <v>60</v>
      </c>
    </row>
    <row r="7" spans="1:4">
      <c r="B7" s="35" t="s">
        <v>8</v>
      </c>
      <c r="C7" s="35" t="s">
        <v>8</v>
      </c>
      <c r="D7" s="35" t="s">
        <v>64</v>
      </c>
    </row>
    <row r="8" spans="1:4">
      <c r="B8" s="35" t="s">
        <v>8</v>
      </c>
      <c r="C8" s="35" t="s">
        <v>5</v>
      </c>
      <c r="D8" s="35" t="s">
        <v>65</v>
      </c>
    </row>
    <row r="9" spans="1:4">
      <c r="B9" s="35" t="s">
        <v>8</v>
      </c>
      <c r="C9" s="35" t="s">
        <v>56</v>
      </c>
      <c r="D9" s="35" t="s">
        <v>66</v>
      </c>
    </row>
    <row r="10" spans="1:4">
      <c r="B10" s="35" t="s">
        <v>8</v>
      </c>
      <c r="C10" s="35" t="s">
        <v>21</v>
      </c>
      <c r="D10" s="35" t="s">
        <v>67</v>
      </c>
    </row>
    <row r="12" spans="1:4">
      <c r="B12" s="35" t="s">
        <v>58</v>
      </c>
      <c r="C12" s="35" t="s">
        <v>59</v>
      </c>
      <c r="D12" s="35" t="s">
        <v>60</v>
      </c>
    </row>
    <row r="13" spans="1:4">
      <c r="B13" s="35" t="s">
        <v>68</v>
      </c>
      <c r="C13" s="35" t="s">
        <v>8</v>
      </c>
      <c r="D13" s="35" t="s">
        <v>69</v>
      </c>
    </row>
    <row r="14" spans="1:4">
      <c r="B14" s="37" t="s">
        <v>68</v>
      </c>
      <c r="C14" s="37" t="s">
        <v>15</v>
      </c>
      <c r="D14" s="37" t="s">
        <v>70</v>
      </c>
    </row>
    <row r="15" spans="1:4">
      <c r="B15" s="35" t="s">
        <v>68</v>
      </c>
      <c r="C15" s="35" t="s">
        <v>24</v>
      </c>
      <c r="D15" s="35" t="s">
        <v>71</v>
      </c>
    </row>
    <row r="16" spans="1:4">
      <c r="B16" s="35" t="s">
        <v>68</v>
      </c>
      <c r="C16" s="35" t="s">
        <v>25</v>
      </c>
      <c r="D16" s="35" t="s">
        <v>72</v>
      </c>
    </row>
    <row r="18" spans="2:4">
      <c r="B18" s="35" t="s">
        <v>58</v>
      </c>
      <c r="C18" s="35" t="s">
        <v>59</v>
      </c>
      <c r="D18" s="35" t="s">
        <v>60</v>
      </c>
    </row>
    <row r="19" spans="2:4">
      <c r="B19" s="35" t="s">
        <v>73</v>
      </c>
      <c r="C19" s="35" t="s">
        <v>8</v>
      </c>
      <c r="D19" s="35" t="s">
        <v>69</v>
      </c>
    </row>
    <row r="20" spans="2:4">
      <c r="B20" s="37" t="s">
        <v>73</v>
      </c>
      <c r="C20" s="37" t="s">
        <v>15</v>
      </c>
      <c r="D20" s="37" t="s">
        <v>74</v>
      </c>
    </row>
    <row r="21" spans="2:4">
      <c r="B21" s="35" t="s">
        <v>73</v>
      </c>
      <c r="C21" s="35" t="s">
        <v>26</v>
      </c>
      <c r="D21" s="35" t="s">
        <v>75</v>
      </c>
    </row>
    <row r="22" spans="2:4">
      <c r="B22" s="35" t="s">
        <v>73</v>
      </c>
      <c r="C22" s="35" t="s">
        <v>27</v>
      </c>
      <c r="D22" s="35" t="s">
        <v>76</v>
      </c>
    </row>
    <row r="23" spans="2:4">
      <c r="B23" s="35" t="s">
        <v>73</v>
      </c>
      <c r="C23" s="35" t="s">
        <v>31</v>
      </c>
      <c r="D23" s="35" t="s">
        <v>77</v>
      </c>
    </row>
    <row r="25" spans="2:4">
      <c r="B25" s="35" t="s">
        <v>58</v>
      </c>
      <c r="C25" s="35" t="s">
        <v>59</v>
      </c>
      <c r="D25" s="35" t="s">
        <v>60</v>
      </c>
    </row>
    <row r="26" spans="2:4">
      <c r="B26" s="35" t="s">
        <v>78</v>
      </c>
      <c r="C26" s="35" t="s">
        <v>8</v>
      </c>
      <c r="D26" s="35" t="s">
        <v>69</v>
      </c>
    </row>
    <row r="27" spans="2:4">
      <c r="B27" s="37" t="s">
        <v>78</v>
      </c>
      <c r="C27" s="37" t="s">
        <v>15</v>
      </c>
      <c r="D27" s="37" t="s">
        <v>79</v>
      </c>
    </row>
    <row r="28" spans="2:4">
      <c r="B28" s="35" t="s">
        <v>78</v>
      </c>
      <c r="C28" s="35" t="s">
        <v>29</v>
      </c>
      <c r="D28" s="35" t="s">
        <v>80</v>
      </c>
    </row>
    <row r="29" spans="2:4">
      <c r="B29" s="35" t="s">
        <v>78</v>
      </c>
      <c r="C29" s="35" t="s">
        <v>30</v>
      </c>
      <c r="D29" s="35" t="s">
        <v>81</v>
      </c>
    </row>
    <row r="30" spans="2:4">
      <c r="B30" s="35" t="s">
        <v>78</v>
      </c>
      <c r="C30" s="35" t="s">
        <v>32</v>
      </c>
      <c r="D30" s="35" t="s">
        <v>82</v>
      </c>
    </row>
    <row r="32" spans="2:4">
      <c r="B32" s="35" t="s">
        <v>58</v>
      </c>
      <c r="C32" s="35" t="s">
        <v>59</v>
      </c>
      <c r="D32" s="35" t="s">
        <v>60</v>
      </c>
    </row>
    <row r="33" spans="2:4">
      <c r="B33" s="35" t="s">
        <v>40</v>
      </c>
      <c r="C33" s="35" t="s">
        <v>8</v>
      </c>
      <c r="D33" s="35" t="s">
        <v>69</v>
      </c>
    </row>
    <row r="34" spans="2:4">
      <c r="B34" s="35" t="s">
        <v>40</v>
      </c>
      <c r="C34" s="35" t="s">
        <v>40</v>
      </c>
      <c r="D34" s="35" t="s">
        <v>83</v>
      </c>
    </row>
    <row r="36" spans="2:4">
      <c r="B36" s="35" t="s">
        <v>58</v>
      </c>
      <c r="C36" s="35" t="s">
        <v>59</v>
      </c>
      <c r="D36" s="35" t="s">
        <v>60</v>
      </c>
    </row>
    <row r="37" spans="2:4">
      <c r="B37" s="35" t="s">
        <v>84</v>
      </c>
      <c r="C37" s="35" t="s">
        <v>8</v>
      </c>
      <c r="D37" s="35" t="s">
        <v>69</v>
      </c>
    </row>
    <row r="38" spans="2:4">
      <c r="B38" s="35" t="s">
        <v>84</v>
      </c>
      <c r="C38" s="35" t="s">
        <v>84</v>
      </c>
      <c r="D38" s="35" t="s">
        <v>85</v>
      </c>
    </row>
    <row r="40" spans="2:4">
      <c r="B40" s="35" t="s">
        <v>58</v>
      </c>
      <c r="C40" s="35" t="s">
        <v>59</v>
      </c>
      <c r="D40" s="35" t="s">
        <v>60</v>
      </c>
    </row>
    <row r="41" spans="2:4">
      <c r="B41" s="35" t="s">
        <v>86</v>
      </c>
      <c r="C41" s="35" t="s">
        <v>8</v>
      </c>
      <c r="D41" s="35" t="s">
        <v>69</v>
      </c>
    </row>
    <row r="42" spans="2:4">
      <c r="B42" s="35" t="s">
        <v>86</v>
      </c>
      <c r="C42" s="37" t="s">
        <v>33</v>
      </c>
      <c r="D42" s="35" t="s">
        <v>87</v>
      </c>
    </row>
    <row r="43" spans="2:4">
      <c r="B43" s="35" t="s">
        <v>86</v>
      </c>
      <c r="C43" s="37" t="s">
        <v>34</v>
      </c>
      <c r="D43" s="35" t="s">
        <v>88</v>
      </c>
    </row>
    <row r="44" spans="2:4">
      <c r="B44" s="35" t="s">
        <v>86</v>
      </c>
      <c r="C44" s="37" t="s">
        <v>35</v>
      </c>
      <c r="D44" s="35" t="s">
        <v>89</v>
      </c>
    </row>
    <row r="45" spans="2:4">
      <c r="B45" s="35" t="s">
        <v>86</v>
      </c>
      <c r="C45" s="37" t="s">
        <v>36</v>
      </c>
      <c r="D45" s="35" t="s">
        <v>90</v>
      </c>
    </row>
    <row r="46" spans="2:4">
      <c r="B46" s="35" t="s">
        <v>86</v>
      </c>
      <c r="C46" s="37" t="s">
        <v>37</v>
      </c>
      <c r="D46" s="35" t="s">
        <v>91</v>
      </c>
    </row>
    <row r="47" spans="2:4">
      <c r="B47" s="35" t="s">
        <v>86</v>
      </c>
      <c r="C47" s="37" t="s">
        <v>38</v>
      </c>
      <c r="D47" s="35" t="s">
        <v>92</v>
      </c>
    </row>
    <row r="48" spans="2:4">
      <c r="B48" s="35" t="s">
        <v>86</v>
      </c>
      <c r="C48" s="37" t="s">
        <v>39</v>
      </c>
      <c r="D48" s="3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D945-C8CF-4AAF-81E5-69BEA771F265}">
  <sheetPr>
    <tabColor theme="1" tint="0.499984740745262"/>
  </sheetPr>
  <dimension ref="A1"/>
  <sheetViews>
    <sheetView showGridLines="0"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15FE-4043-4D70-8532-D5DEA9849270}">
  <dimension ref="A1:B2"/>
  <sheetViews>
    <sheetView showGridLines="0" workbookViewId="0">
      <selection activeCell="B3" sqref="B3"/>
    </sheetView>
  </sheetViews>
  <sheetFormatPr defaultRowHeight="14.5"/>
  <cols>
    <col min="1" max="1" width="17.26953125" bestFit="1" customWidth="1"/>
    <col min="2" max="2" width="11.7265625" bestFit="1" customWidth="1"/>
  </cols>
  <sheetData>
    <row r="1" spans="1:2">
      <c r="B1" s="2"/>
    </row>
    <row r="2" spans="1:2">
      <c r="A2" t="s">
        <v>28</v>
      </c>
      <c r="B2" s="3">
        <v>45930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490-6429-4CC0-8277-96AB2D88208E}">
  <dimension ref="A1:D5"/>
  <sheetViews>
    <sheetView showGridLines="0" workbookViewId="0">
      <selection activeCell="A2" sqref="A2"/>
    </sheetView>
  </sheetViews>
  <sheetFormatPr defaultRowHeight="14.5"/>
  <cols>
    <col min="1" max="1" width="18" bestFit="1" customWidth="1"/>
    <col min="2" max="3" width="12" customWidth="1"/>
    <col min="4" max="4" width="12.1796875" customWidth="1"/>
  </cols>
  <sheetData>
    <row r="1" spans="1:4">
      <c r="A1" t="s">
        <v>8</v>
      </c>
      <c r="B1" t="s">
        <v>5</v>
      </c>
      <c r="C1" t="s">
        <v>56</v>
      </c>
      <c r="D1" t="s">
        <v>21</v>
      </c>
    </row>
    <row r="2" spans="1:4">
      <c r="A2" s="4" t="s">
        <v>50</v>
      </c>
      <c r="B2" s="4">
        <v>2024</v>
      </c>
      <c r="C2" s="4" t="s">
        <v>52</v>
      </c>
      <c r="D2" s="4" t="s">
        <v>22</v>
      </c>
    </row>
    <row r="3" spans="1:4">
      <c r="A3" s="4" t="s">
        <v>51</v>
      </c>
      <c r="B3" s="4">
        <v>2024</v>
      </c>
      <c r="C3" s="4" t="s">
        <v>53</v>
      </c>
      <c r="D3" s="4" t="s">
        <v>23</v>
      </c>
    </row>
    <row r="4" spans="1:4">
      <c r="A4" s="4" t="s">
        <v>54</v>
      </c>
      <c r="B4" s="4">
        <v>2025</v>
      </c>
      <c r="C4" s="4" t="s">
        <v>52</v>
      </c>
      <c r="D4" s="4" t="s">
        <v>22</v>
      </c>
    </row>
    <row r="5" spans="1:4">
      <c r="A5" s="4" t="s">
        <v>55</v>
      </c>
      <c r="B5" s="4">
        <v>2025</v>
      </c>
      <c r="C5" s="4" t="s">
        <v>53</v>
      </c>
      <c r="D5" s="4" t="s">
        <v>23</v>
      </c>
    </row>
  </sheetData>
  <dataValidations count="2">
    <dataValidation type="list" allowBlank="1" showInputMessage="1" showErrorMessage="1" sqref="D2:D5" xr:uid="{8CE58C97-B5DA-4B38-AE5F-E727C47248BF}">
      <formula1>"IC,RC"</formula1>
    </dataValidation>
    <dataValidation type="whole" allowBlank="1" showInputMessage="1" showErrorMessage="1" sqref="B2:B5" xr:uid="{BC2A3198-FC75-43BC-A261-40C78479A755}">
      <formula1>0</formula1>
      <formula2>9999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F91-57E6-4A8E-910F-3AEEA7ACC6E5}">
  <sheetPr>
    <tabColor rgb="FF92D050"/>
  </sheetPr>
  <dimension ref="A1:D387"/>
  <sheetViews>
    <sheetView showGridLines="0" workbookViewId="0">
      <selection activeCell="G23" sqref="G23"/>
    </sheetView>
  </sheetViews>
  <sheetFormatPr defaultRowHeight="14.5"/>
  <cols>
    <col min="1" max="1" width="18" bestFit="1" customWidth="1"/>
    <col min="2" max="2" width="11.81640625" bestFit="1" customWidth="1"/>
    <col min="3" max="3" width="18.7265625" bestFit="1" customWidth="1"/>
    <col min="4" max="4" width="21.54296875" bestFit="1" customWidth="1"/>
  </cols>
  <sheetData>
    <row r="1" spans="1:4">
      <c r="A1" t="s">
        <v>8</v>
      </c>
      <c r="B1" t="s">
        <v>15</v>
      </c>
      <c r="C1" t="s">
        <v>24</v>
      </c>
      <c r="D1" t="s">
        <v>25</v>
      </c>
    </row>
    <row r="2" spans="1:4">
      <c r="A2" s="4" t="s">
        <v>50</v>
      </c>
      <c r="B2" s="3">
        <v>46022</v>
      </c>
      <c r="C2" s="5">
        <v>2704893948.5841141</v>
      </c>
      <c r="D2" s="5">
        <v>-840712954.7696532</v>
      </c>
    </row>
    <row r="3" spans="1:4">
      <c r="A3" s="4" t="s">
        <v>50</v>
      </c>
      <c r="B3" s="3">
        <v>46112</v>
      </c>
      <c r="C3" s="5">
        <v>2675005617.660533</v>
      </c>
      <c r="D3" s="5">
        <v>-831213373.35982656</v>
      </c>
    </row>
    <row r="4" spans="1:4">
      <c r="A4" s="4" t="s">
        <v>50</v>
      </c>
      <c r="B4" s="3">
        <v>46203</v>
      </c>
      <c r="C4" s="6">
        <v>2645117286.7369514</v>
      </c>
      <c r="D4" s="6">
        <v>-821713791.95000005</v>
      </c>
    </row>
    <row r="5" spans="1:4">
      <c r="A5" s="4" t="s">
        <v>50</v>
      </c>
      <c r="B5" s="3">
        <v>46295</v>
      </c>
      <c r="C5" s="6">
        <v>2615228955.8133702</v>
      </c>
      <c r="D5" s="6">
        <v>-812214210.54017353</v>
      </c>
    </row>
    <row r="6" spans="1:4">
      <c r="A6" s="4" t="s">
        <v>50</v>
      </c>
      <c r="B6" s="3">
        <v>46387</v>
      </c>
      <c r="C6" s="6">
        <v>2585340624.8897891</v>
      </c>
      <c r="D6" s="6">
        <v>-802714629.13034701</v>
      </c>
    </row>
    <row r="7" spans="1:4">
      <c r="A7" s="4" t="s">
        <v>50</v>
      </c>
      <c r="B7" s="3">
        <v>46477</v>
      </c>
      <c r="C7" s="6">
        <v>2555452293.966208</v>
      </c>
      <c r="D7" s="6">
        <v>-793215047.7205205</v>
      </c>
    </row>
    <row r="8" spans="1:4">
      <c r="A8" s="4" t="s">
        <v>50</v>
      </c>
      <c r="B8" s="3">
        <v>46568</v>
      </c>
      <c r="C8" s="6">
        <v>2525563963.0426264</v>
      </c>
      <c r="D8" s="6">
        <v>-783715466.31069398</v>
      </c>
    </row>
    <row r="9" spans="1:4">
      <c r="A9" s="4" t="s">
        <v>50</v>
      </c>
      <c r="B9" s="3">
        <v>46660</v>
      </c>
      <c r="C9" s="6">
        <v>2495675632.1190448</v>
      </c>
      <c r="D9" s="6">
        <v>-774215884.90086746</v>
      </c>
    </row>
    <row r="10" spans="1:4">
      <c r="A10" s="4" t="s">
        <v>50</v>
      </c>
      <c r="B10" s="3">
        <v>46752</v>
      </c>
      <c r="C10" s="6">
        <v>2465787301.1954637</v>
      </c>
      <c r="D10" s="6">
        <v>-764716303.49104083</v>
      </c>
    </row>
    <row r="11" spans="1:4">
      <c r="A11" s="4" t="s">
        <v>50</v>
      </c>
      <c r="B11" s="3">
        <v>46843</v>
      </c>
      <c r="C11" s="6">
        <v>2435898970.2718821</v>
      </c>
      <c r="D11" s="6">
        <v>-755216722.08121431</v>
      </c>
    </row>
    <row r="12" spans="1:4">
      <c r="A12" s="4" t="s">
        <v>50</v>
      </c>
      <c r="B12" s="3">
        <v>46934</v>
      </c>
      <c r="C12" s="6">
        <v>2406010639.3483009</v>
      </c>
      <c r="D12" s="6">
        <v>-745717140.67138779</v>
      </c>
    </row>
    <row r="13" spans="1:4">
      <c r="A13" s="4" t="s">
        <v>50</v>
      </c>
      <c r="B13" s="3">
        <v>47026</v>
      </c>
      <c r="C13" s="6">
        <v>2376122308.4247198</v>
      </c>
      <c r="D13" s="6">
        <v>-736217559.26156127</v>
      </c>
    </row>
    <row r="14" spans="1:4">
      <c r="A14" s="4" t="s">
        <v>50</v>
      </c>
      <c r="B14" s="3">
        <v>47118</v>
      </c>
      <c r="C14" s="6">
        <v>2346233977.5011387</v>
      </c>
      <c r="D14" s="6">
        <v>-726717977.85173476</v>
      </c>
    </row>
    <row r="15" spans="1:4">
      <c r="A15" s="4" t="s">
        <v>50</v>
      </c>
      <c r="B15" s="3">
        <v>47208</v>
      </c>
      <c r="C15" s="6">
        <v>2316345646.5775571</v>
      </c>
      <c r="D15" s="6">
        <v>-717218396.44190824</v>
      </c>
    </row>
    <row r="16" spans="1:4">
      <c r="A16" s="4" t="s">
        <v>50</v>
      </c>
      <c r="B16" s="3">
        <v>47299</v>
      </c>
      <c r="C16" s="6">
        <v>2286457315.653976</v>
      </c>
      <c r="D16" s="6">
        <v>-707718815.03208172</v>
      </c>
    </row>
    <row r="17" spans="1:4">
      <c r="A17" s="4" t="s">
        <v>50</v>
      </c>
      <c r="B17" s="3">
        <v>47391</v>
      </c>
      <c r="C17" s="6">
        <v>2256568984.7303944</v>
      </c>
      <c r="D17" s="6">
        <v>-698219233.62225509</v>
      </c>
    </row>
    <row r="18" spans="1:4">
      <c r="A18" s="4" t="s">
        <v>50</v>
      </c>
      <c r="B18" s="3">
        <v>47483</v>
      </c>
      <c r="C18" s="6">
        <v>2226680653.8068128</v>
      </c>
      <c r="D18" s="6">
        <v>-688719652.21242857</v>
      </c>
    </row>
    <row r="19" spans="1:4">
      <c r="A19" s="4" t="s">
        <v>50</v>
      </c>
      <c r="B19" s="3">
        <v>47573</v>
      </c>
      <c r="C19" s="6">
        <v>2196792322.8832316</v>
      </c>
      <c r="D19" s="6">
        <v>-679220070.80260205</v>
      </c>
    </row>
    <row r="20" spans="1:4">
      <c r="A20" s="4" t="s">
        <v>50</v>
      </c>
      <c r="B20" s="3">
        <v>47664</v>
      </c>
      <c r="C20" s="6">
        <v>2166903991.95965</v>
      </c>
      <c r="D20" s="6">
        <v>-669720489.39277554</v>
      </c>
    </row>
    <row r="21" spans="1:4">
      <c r="A21" s="4" t="s">
        <v>50</v>
      </c>
      <c r="B21" s="3">
        <v>47756</v>
      </c>
      <c r="C21" s="6">
        <v>2137015661.0360692</v>
      </c>
      <c r="D21" s="6">
        <v>-660220907.98294902</v>
      </c>
    </row>
    <row r="22" spans="1:4">
      <c r="A22" s="4" t="s">
        <v>50</v>
      </c>
      <c r="B22" s="3">
        <v>47848</v>
      </c>
      <c r="C22" s="6">
        <v>2107127330.1124873</v>
      </c>
      <c r="D22" s="6">
        <v>-650721326.5731225</v>
      </c>
    </row>
    <row r="23" spans="1:4">
      <c r="A23" s="4" t="s">
        <v>50</v>
      </c>
      <c r="B23" s="3">
        <v>47938</v>
      </c>
      <c r="C23" s="6">
        <v>2077238999.1889062</v>
      </c>
      <c r="D23" s="6">
        <v>-641221745.16329598</v>
      </c>
    </row>
    <row r="24" spans="1:4">
      <c r="A24" s="4" t="s">
        <v>50</v>
      </c>
      <c r="B24" s="3">
        <v>48029</v>
      </c>
      <c r="C24" s="6">
        <v>2047350668.2653248</v>
      </c>
      <c r="D24" s="6">
        <v>-631722163.75346911</v>
      </c>
    </row>
    <row r="25" spans="1:4">
      <c r="A25" s="4" t="s">
        <v>50</v>
      </c>
      <c r="B25" s="3">
        <v>48121</v>
      </c>
      <c r="C25" s="6">
        <v>2017462337.3417435</v>
      </c>
      <c r="D25" s="6">
        <v>-622222582.34364259</v>
      </c>
    </row>
    <row r="26" spans="1:4">
      <c r="A26" s="4" t="s">
        <v>50</v>
      </c>
      <c r="B26" s="3">
        <v>48213</v>
      </c>
      <c r="C26" s="6">
        <v>1987574006.4181623</v>
      </c>
      <c r="D26" s="6">
        <v>-612723000.93381596</v>
      </c>
    </row>
    <row r="27" spans="1:4">
      <c r="A27" s="4" t="s">
        <v>50</v>
      </c>
      <c r="B27" s="3">
        <v>48304</v>
      </c>
      <c r="C27" s="6">
        <v>1957685675.494581</v>
      </c>
      <c r="D27" s="6">
        <v>-603223419.52398944</v>
      </c>
    </row>
    <row r="28" spans="1:4">
      <c r="A28" s="4" t="s">
        <v>50</v>
      </c>
      <c r="B28" s="3">
        <v>48395</v>
      </c>
      <c r="C28" s="6">
        <v>1927797344.5709996</v>
      </c>
      <c r="D28" s="6">
        <v>-593723838.11416292</v>
      </c>
    </row>
    <row r="29" spans="1:4">
      <c r="A29" s="4" t="s">
        <v>50</v>
      </c>
      <c r="B29" s="3">
        <v>48487</v>
      </c>
      <c r="C29" s="6">
        <v>1897909013.6474183</v>
      </c>
      <c r="D29" s="6">
        <v>-584224256.70433617</v>
      </c>
    </row>
    <row r="30" spans="1:4">
      <c r="A30" s="4" t="s">
        <v>50</v>
      </c>
      <c r="B30" s="3">
        <v>48579</v>
      </c>
      <c r="C30" s="6">
        <v>1868020682.7238371</v>
      </c>
      <c r="D30" s="6">
        <v>-574724675.29450965</v>
      </c>
    </row>
    <row r="31" spans="1:4">
      <c r="A31" s="4" t="s">
        <v>50</v>
      </c>
      <c r="B31" s="3">
        <v>48669</v>
      </c>
      <c r="C31" s="6">
        <v>1838132351.8002555</v>
      </c>
      <c r="D31" s="6">
        <v>-565225093.88468301</v>
      </c>
    </row>
    <row r="32" spans="1:4">
      <c r="A32" s="4" t="s">
        <v>50</v>
      </c>
      <c r="B32" s="3">
        <v>48760</v>
      </c>
      <c r="C32" s="6">
        <v>1808244020.8766742</v>
      </c>
      <c r="D32" s="6">
        <v>-555725512.47485638</v>
      </c>
    </row>
    <row r="33" spans="1:4">
      <c r="A33" s="4" t="s">
        <v>50</v>
      </c>
      <c r="B33" s="3">
        <v>48852</v>
      </c>
      <c r="C33" s="6">
        <v>1778355689.9530928</v>
      </c>
      <c r="D33" s="6">
        <v>-546225931.06502974</v>
      </c>
    </row>
    <row r="34" spans="1:4">
      <c r="A34" s="4" t="s">
        <v>50</v>
      </c>
      <c r="B34" s="3">
        <v>48944</v>
      </c>
      <c r="C34" s="6">
        <v>1748467359.0295117</v>
      </c>
      <c r="D34" s="6">
        <v>-536726349.65520316</v>
      </c>
    </row>
    <row r="35" spans="1:4">
      <c r="A35" s="4" t="s">
        <v>50</v>
      </c>
      <c r="B35" s="3">
        <v>49034</v>
      </c>
      <c r="C35" s="6">
        <v>1718579028.1059303</v>
      </c>
      <c r="D35" s="6">
        <v>-527226768.24537665</v>
      </c>
    </row>
    <row r="36" spans="1:4">
      <c r="A36" s="4" t="s">
        <v>50</v>
      </c>
      <c r="B36" s="3">
        <v>49125</v>
      </c>
      <c r="C36" s="6">
        <v>1688690697.182349</v>
      </c>
      <c r="D36" s="6">
        <v>-517727186.83555007</v>
      </c>
    </row>
    <row r="37" spans="1:4">
      <c r="A37" s="4" t="s">
        <v>50</v>
      </c>
      <c r="B37" s="3">
        <v>49217</v>
      </c>
      <c r="C37" s="6">
        <v>1658802366.2587676</v>
      </c>
      <c r="D37" s="6">
        <v>-508227605.42572331</v>
      </c>
    </row>
    <row r="38" spans="1:4">
      <c r="A38" s="4" t="s">
        <v>50</v>
      </c>
      <c r="B38" s="3">
        <v>49309</v>
      </c>
      <c r="C38" s="6">
        <v>1628914035.3351865</v>
      </c>
      <c r="D38" s="6">
        <v>-498728024.01589674</v>
      </c>
    </row>
    <row r="39" spans="1:4">
      <c r="A39" s="4" t="s">
        <v>50</v>
      </c>
      <c r="B39" s="3">
        <v>49399</v>
      </c>
      <c r="C39" s="6">
        <v>1599025704.4116051</v>
      </c>
      <c r="D39" s="6">
        <v>-489228442.60607022</v>
      </c>
    </row>
    <row r="40" spans="1:4">
      <c r="A40" s="4" t="s">
        <v>50</v>
      </c>
      <c r="B40" s="3">
        <v>49490</v>
      </c>
      <c r="C40" s="6">
        <v>1569137373.4880235</v>
      </c>
      <c r="D40" s="6">
        <v>-479728861.19624346</v>
      </c>
    </row>
    <row r="41" spans="1:4">
      <c r="A41" s="4" t="s">
        <v>50</v>
      </c>
      <c r="B41" s="3">
        <v>49582</v>
      </c>
      <c r="C41" s="6">
        <v>1539249042.5644424</v>
      </c>
      <c r="D41" s="6">
        <v>-470229279.78641689</v>
      </c>
    </row>
    <row r="42" spans="1:4">
      <c r="A42" s="4" t="s">
        <v>50</v>
      </c>
      <c r="B42" s="3">
        <v>49674</v>
      </c>
      <c r="C42" s="6">
        <v>1509360711.640861</v>
      </c>
      <c r="D42" s="6">
        <v>-460729698.37659031</v>
      </c>
    </row>
    <row r="43" spans="1:4">
      <c r="A43" s="4" t="s">
        <v>50</v>
      </c>
      <c r="B43" s="3">
        <v>49765</v>
      </c>
      <c r="C43" s="6">
        <v>1479472380.7172797</v>
      </c>
      <c r="D43" s="6">
        <v>-451230116.96676379</v>
      </c>
    </row>
    <row r="44" spans="1:4">
      <c r="A44" s="4" t="s">
        <v>50</v>
      </c>
      <c r="B44" s="3">
        <v>49856</v>
      </c>
      <c r="C44" s="6">
        <v>1449584049.7936983</v>
      </c>
      <c r="D44" s="6">
        <v>-441730535.5569371</v>
      </c>
    </row>
    <row r="45" spans="1:4">
      <c r="A45" s="4" t="s">
        <v>50</v>
      </c>
      <c r="B45" s="3">
        <v>49948</v>
      </c>
      <c r="C45" s="6">
        <v>1419695718.8701172</v>
      </c>
      <c r="D45" s="6">
        <v>-432230954.14711046</v>
      </c>
    </row>
    <row r="46" spans="1:4">
      <c r="A46" s="4" t="s">
        <v>50</v>
      </c>
      <c r="B46" s="3">
        <v>50040</v>
      </c>
      <c r="C46" s="6">
        <v>1389807387.9465358</v>
      </c>
      <c r="D46" s="6">
        <v>-422731372.73728389</v>
      </c>
    </row>
    <row r="47" spans="1:4">
      <c r="A47" s="4" t="s">
        <v>50</v>
      </c>
      <c r="B47" s="3">
        <v>50130</v>
      </c>
      <c r="C47" s="6">
        <v>1359919057.0229545</v>
      </c>
      <c r="D47" s="6">
        <v>-413231791.32745731</v>
      </c>
    </row>
    <row r="48" spans="1:4">
      <c r="A48" s="4" t="s">
        <v>50</v>
      </c>
      <c r="B48" s="3">
        <v>50221</v>
      </c>
      <c r="C48" s="6">
        <v>1330030726.0993731</v>
      </c>
      <c r="D48" s="6">
        <v>-403732209.91763067</v>
      </c>
    </row>
    <row r="49" spans="1:4">
      <c r="A49" s="4" t="s">
        <v>50</v>
      </c>
      <c r="B49" s="3">
        <v>50313</v>
      </c>
      <c r="C49" s="6">
        <v>1300142395.1757917</v>
      </c>
      <c r="D49" s="6">
        <v>-394232628.5078041</v>
      </c>
    </row>
    <row r="50" spans="1:4">
      <c r="A50" s="4" t="s">
        <v>50</v>
      </c>
      <c r="B50" s="3">
        <v>50405</v>
      </c>
      <c r="C50" s="6">
        <v>1270254064.2522104</v>
      </c>
      <c r="D50" s="6">
        <v>-384733047.09797746</v>
      </c>
    </row>
    <row r="51" spans="1:4">
      <c r="A51" s="4" t="s">
        <v>50</v>
      </c>
      <c r="B51" s="3">
        <v>50495</v>
      </c>
      <c r="C51" s="6">
        <v>1240365733.328629</v>
      </c>
      <c r="D51" s="6">
        <v>-375233465.68815088</v>
      </c>
    </row>
    <row r="52" spans="1:4">
      <c r="A52" s="4" t="s">
        <v>50</v>
      </c>
      <c r="B52" s="3">
        <v>50586</v>
      </c>
      <c r="C52" s="6">
        <v>1210477402.4050477</v>
      </c>
      <c r="D52" s="6">
        <v>-365733884.27832425</v>
      </c>
    </row>
    <row r="53" spans="1:4">
      <c r="A53" s="4" t="s">
        <v>50</v>
      </c>
      <c r="B53" s="3">
        <v>50678</v>
      </c>
      <c r="C53" s="6">
        <v>1180589071.4814665</v>
      </c>
      <c r="D53" s="6">
        <v>-356234302.86849767</v>
      </c>
    </row>
    <row r="54" spans="1:4">
      <c r="A54" s="4" t="s">
        <v>50</v>
      </c>
      <c r="B54" s="3">
        <v>50770</v>
      </c>
      <c r="C54" s="6">
        <v>1150700740.5578852</v>
      </c>
      <c r="D54" s="6">
        <v>-346734721.45867097</v>
      </c>
    </row>
    <row r="55" spans="1:4">
      <c r="A55" s="4" t="s">
        <v>50</v>
      </c>
      <c r="B55" s="3">
        <v>50860</v>
      </c>
      <c r="C55" s="6">
        <v>1120812409.6343038</v>
      </c>
      <c r="D55" s="6">
        <v>-337235140.04884446</v>
      </c>
    </row>
    <row r="56" spans="1:4">
      <c r="A56" s="4" t="s">
        <v>50</v>
      </c>
      <c r="B56" s="3">
        <v>50951</v>
      </c>
      <c r="C56" s="6">
        <v>1090924078.7107224</v>
      </c>
      <c r="D56" s="6">
        <v>-327735558.63901788</v>
      </c>
    </row>
    <row r="57" spans="1:4">
      <c r="A57" s="4" t="s">
        <v>50</v>
      </c>
      <c r="B57" s="3">
        <v>51043</v>
      </c>
      <c r="C57" s="6">
        <v>1061035747.7871408</v>
      </c>
      <c r="D57" s="6">
        <v>-318235977.2291913</v>
      </c>
    </row>
    <row r="58" spans="1:4">
      <c r="A58" s="4" t="s">
        <v>50</v>
      </c>
      <c r="B58" s="3">
        <v>51135</v>
      </c>
      <c r="C58" s="6">
        <v>1031147416.8635596</v>
      </c>
      <c r="D58" s="6">
        <v>-308736395.81936467</v>
      </c>
    </row>
    <row r="59" spans="1:4">
      <c r="A59" s="4" t="s">
        <v>50</v>
      </c>
      <c r="B59" s="3">
        <v>51226</v>
      </c>
      <c r="C59" s="6">
        <v>1001259085.9399782</v>
      </c>
      <c r="D59" s="6">
        <v>-299236814.40953809</v>
      </c>
    </row>
    <row r="60" spans="1:4">
      <c r="A60" s="4" t="s">
        <v>50</v>
      </c>
      <c r="B60" s="3">
        <v>51317</v>
      </c>
      <c r="C60" s="6">
        <v>971370755.01639676</v>
      </c>
      <c r="D60" s="6">
        <v>-289737232.99971145</v>
      </c>
    </row>
    <row r="61" spans="1:4">
      <c r="A61" s="4" t="s">
        <v>50</v>
      </c>
      <c r="B61" s="3">
        <v>51409</v>
      </c>
      <c r="C61" s="6">
        <v>941482424.0928154</v>
      </c>
      <c r="D61" s="6">
        <v>-280237651.58988482</v>
      </c>
    </row>
    <row r="62" spans="1:4">
      <c r="A62" s="4" t="s">
        <v>50</v>
      </c>
      <c r="B62" s="3">
        <v>51501</v>
      </c>
      <c r="C62" s="6">
        <v>911594093.1692338</v>
      </c>
      <c r="D62" s="6">
        <v>-270738070.18005824</v>
      </c>
    </row>
    <row r="63" spans="1:4">
      <c r="A63" s="4" t="s">
        <v>50</v>
      </c>
      <c r="B63" s="3">
        <v>51591</v>
      </c>
      <c r="C63" s="6">
        <v>881705762.24565244</v>
      </c>
      <c r="D63" s="6">
        <v>-261238488.77023166</v>
      </c>
    </row>
    <row r="64" spans="1:4">
      <c r="A64" s="4" t="s">
        <v>50</v>
      </c>
      <c r="B64" s="3">
        <v>51682</v>
      </c>
      <c r="C64" s="6">
        <v>851817431.32207096</v>
      </c>
      <c r="D64" s="6">
        <v>-251738907.36040503</v>
      </c>
    </row>
    <row r="65" spans="1:4">
      <c r="A65" s="4" t="s">
        <v>50</v>
      </c>
      <c r="B65" s="3">
        <v>51774</v>
      </c>
      <c r="C65" s="6">
        <v>821929100.39848948</v>
      </c>
      <c r="D65" s="6">
        <v>-242239325.95057845</v>
      </c>
    </row>
    <row r="66" spans="1:4">
      <c r="A66" s="4" t="s">
        <v>50</v>
      </c>
      <c r="B66" s="3">
        <v>51866</v>
      </c>
      <c r="C66" s="6">
        <v>792040769.47490799</v>
      </c>
      <c r="D66" s="6">
        <v>-232739744.54075181</v>
      </c>
    </row>
    <row r="67" spans="1:4">
      <c r="A67" s="4" t="s">
        <v>50</v>
      </c>
      <c r="B67" s="3">
        <v>51956</v>
      </c>
      <c r="C67" s="6">
        <v>762152438.55132663</v>
      </c>
      <c r="D67" s="6">
        <v>-223240163.13092521</v>
      </c>
    </row>
    <row r="68" spans="1:4">
      <c r="A68" s="4" t="s">
        <v>50</v>
      </c>
      <c r="B68" s="3">
        <v>52047</v>
      </c>
      <c r="C68" s="6">
        <v>732264107.62774527</v>
      </c>
      <c r="D68" s="6">
        <v>-213740581.7210986</v>
      </c>
    </row>
    <row r="69" spans="1:4">
      <c r="A69" s="4" t="s">
        <v>50</v>
      </c>
      <c r="B69" s="3">
        <v>52139</v>
      </c>
      <c r="C69" s="6">
        <v>702375776.70416367</v>
      </c>
      <c r="D69" s="6">
        <v>-204241000.311272</v>
      </c>
    </row>
    <row r="70" spans="1:4">
      <c r="A70" s="4" t="s">
        <v>50</v>
      </c>
      <c r="B70" s="3">
        <v>52231</v>
      </c>
      <c r="C70" s="6">
        <v>672487445.78058219</v>
      </c>
      <c r="D70" s="6">
        <v>-194741418.90144542</v>
      </c>
    </row>
    <row r="71" spans="1:4">
      <c r="A71" s="4" t="s">
        <v>50</v>
      </c>
      <c r="B71" s="3">
        <v>52321</v>
      </c>
      <c r="C71" s="6">
        <v>642599114.85700083</v>
      </c>
      <c r="D71" s="6">
        <v>-185241837.49161878</v>
      </c>
    </row>
    <row r="72" spans="1:4">
      <c r="A72" s="4" t="s">
        <v>50</v>
      </c>
      <c r="B72" s="3">
        <v>52412</v>
      </c>
      <c r="C72" s="6">
        <v>612710783.93341947</v>
      </c>
      <c r="D72" s="6">
        <v>-175742256.08179221</v>
      </c>
    </row>
    <row r="73" spans="1:4">
      <c r="A73" s="4" t="s">
        <v>50</v>
      </c>
      <c r="B73" s="3">
        <v>52504</v>
      </c>
      <c r="C73" s="6">
        <v>582822453.00983787</v>
      </c>
      <c r="D73" s="6">
        <v>-166242674.67196557</v>
      </c>
    </row>
    <row r="74" spans="1:4">
      <c r="A74" s="4" t="s">
        <v>50</v>
      </c>
      <c r="B74" s="3">
        <v>52596</v>
      </c>
      <c r="C74" s="6">
        <v>552934122.08625638</v>
      </c>
      <c r="D74" s="6">
        <v>-156743093.26213896</v>
      </c>
    </row>
    <row r="75" spans="1:4">
      <c r="A75" s="4" t="s">
        <v>50</v>
      </c>
      <c r="B75" s="3">
        <v>52687</v>
      </c>
      <c r="C75" s="6">
        <v>523045791.16267502</v>
      </c>
      <c r="D75" s="6">
        <v>-147243511.85231239</v>
      </c>
    </row>
    <row r="76" spans="1:4">
      <c r="A76" s="4" t="s">
        <v>50</v>
      </c>
      <c r="B76" s="3">
        <v>52778</v>
      </c>
      <c r="C76" s="6">
        <v>493157460.2390936</v>
      </c>
      <c r="D76" s="6">
        <v>-137743930.44248578</v>
      </c>
    </row>
    <row r="77" spans="1:4">
      <c r="A77" s="4" t="s">
        <v>50</v>
      </c>
      <c r="B77" s="3">
        <v>52870</v>
      </c>
      <c r="C77" s="6">
        <v>463269129.31551224</v>
      </c>
      <c r="D77" s="6">
        <v>-128244349.03265916</v>
      </c>
    </row>
    <row r="78" spans="1:4">
      <c r="A78" s="4" t="s">
        <v>50</v>
      </c>
      <c r="B78" s="3">
        <v>52962</v>
      </c>
      <c r="C78" s="6">
        <v>433380798.39193076</v>
      </c>
      <c r="D78" s="6">
        <v>-118744767.62283255</v>
      </c>
    </row>
    <row r="79" spans="1:4">
      <c r="A79" s="4" t="s">
        <v>50</v>
      </c>
      <c r="B79" s="3">
        <v>53052</v>
      </c>
      <c r="C79" s="6">
        <v>403492467.46834922</v>
      </c>
      <c r="D79" s="6">
        <v>-109245186.21300596</v>
      </c>
    </row>
    <row r="80" spans="1:4">
      <c r="A80" s="4" t="s">
        <v>50</v>
      </c>
      <c r="B80" s="3">
        <v>53143</v>
      </c>
      <c r="C80" s="6">
        <v>373604136.54476786</v>
      </c>
      <c r="D80" s="6">
        <v>-99745604.803179353</v>
      </c>
    </row>
    <row r="81" spans="1:4">
      <c r="A81" s="4" t="s">
        <v>50</v>
      </c>
      <c r="B81" s="3">
        <v>53235</v>
      </c>
      <c r="C81" s="6">
        <v>343715805.62118638</v>
      </c>
      <c r="D81" s="6">
        <v>-90246023.393352747</v>
      </c>
    </row>
    <row r="82" spans="1:4">
      <c r="A82" s="4" t="s">
        <v>50</v>
      </c>
      <c r="B82" s="3">
        <v>53327</v>
      </c>
      <c r="C82" s="6">
        <v>313827474.69760495</v>
      </c>
      <c r="D82" s="6">
        <v>-80746441.98352614</v>
      </c>
    </row>
    <row r="83" spans="1:4">
      <c r="A83" s="4" t="s">
        <v>50</v>
      </c>
      <c r="B83" s="3">
        <v>53417</v>
      </c>
      <c r="C83" s="6">
        <v>283939143.77402347</v>
      </c>
      <c r="D83" s="6">
        <v>-71246860.573699534</v>
      </c>
    </row>
    <row r="84" spans="1:4">
      <c r="A84" s="4" t="s">
        <v>50</v>
      </c>
      <c r="B84" s="3">
        <v>53508</v>
      </c>
      <c r="C84" s="6">
        <v>254050812.85044208</v>
      </c>
      <c r="D84" s="6">
        <v>-61747279.163872935</v>
      </c>
    </row>
    <row r="85" spans="1:4">
      <c r="A85" s="4" t="s">
        <v>50</v>
      </c>
      <c r="B85" s="3">
        <v>53600</v>
      </c>
      <c r="C85" s="6">
        <v>224162481.92686063</v>
      </c>
      <c r="D85" s="6">
        <v>-52247697.754046328</v>
      </c>
    </row>
    <row r="86" spans="1:4">
      <c r="A86" s="4" t="s">
        <v>50</v>
      </c>
      <c r="B86" s="3">
        <v>53692</v>
      </c>
      <c r="C86" s="6">
        <v>194274151.00327924</v>
      </c>
      <c r="D86" s="6">
        <v>-42748116.344219714</v>
      </c>
    </row>
    <row r="87" spans="1:4">
      <c r="A87" s="4" t="s">
        <v>50</v>
      </c>
      <c r="B87" s="3">
        <v>53782</v>
      </c>
      <c r="C87" s="6">
        <v>164385820.07969782</v>
      </c>
      <c r="D87" s="6">
        <v>-33248534.934393115</v>
      </c>
    </row>
    <row r="88" spans="1:4">
      <c r="A88" s="4" t="s">
        <v>50</v>
      </c>
      <c r="B88" s="3">
        <v>53873</v>
      </c>
      <c r="C88" s="6">
        <v>134497489.15611643</v>
      </c>
      <c r="D88" s="6">
        <v>-24936401.200794835</v>
      </c>
    </row>
    <row r="89" spans="1:4">
      <c r="A89" s="4" t="s">
        <v>50</v>
      </c>
      <c r="B89" s="3">
        <v>53965</v>
      </c>
      <c r="C89" s="6">
        <v>104609158.23253496</v>
      </c>
      <c r="D89" s="6">
        <v>-17811715.143424883</v>
      </c>
    </row>
    <row r="90" spans="1:4">
      <c r="A90" s="4" t="s">
        <v>50</v>
      </c>
      <c r="B90" s="3">
        <v>54057</v>
      </c>
      <c r="C90" s="6">
        <v>74720827.308953568</v>
      </c>
      <c r="D90" s="6">
        <v>-11874476.762283253</v>
      </c>
    </row>
    <row r="91" spans="1:4">
      <c r="A91" s="4" t="s">
        <v>50</v>
      </c>
      <c r="B91" s="3">
        <v>54148</v>
      </c>
      <c r="C91" s="6">
        <v>44832496.385372132</v>
      </c>
      <c r="D91" s="6">
        <v>-7124686.057369953</v>
      </c>
    </row>
    <row r="92" spans="1:4">
      <c r="A92" s="4" t="s">
        <v>50</v>
      </c>
      <c r="B92" s="3">
        <v>54239</v>
      </c>
      <c r="C92" s="6">
        <v>22416248.192686066</v>
      </c>
      <c r="D92" s="6">
        <v>-3562343.0286849765</v>
      </c>
    </row>
    <row r="93" spans="1:4">
      <c r="A93" s="4" t="s">
        <v>50</v>
      </c>
      <c r="B93" s="3">
        <v>54331</v>
      </c>
      <c r="C93" s="6">
        <v>7472082.7308953553</v>
      </c>
      <c r="D93" s="6">
        <v>-1187447.6762283256</v>
      </c>
    </row>
    <row r="94" spans="1:4">
      <c r="A94" s="4" t="s">
        <v>50</v>
      </c>
      <c r="B94" s="3">
        <v>54423</v>
      </c>
      <c r="C94" s="6">
        <v>0</v>
      </c>
      <c r="D94" s="6">
        <v>0</v>
      </c>
    </row>
    <row r="95" spans="1:4">
      <c r="A95" s="33" t="s">
        <v>51</v>
      </c>
      <c r="B95" s="34">
        <v>46022</v>
      </c>
      <c r="C95" s="6">
        <v>-1235660437.3222926</v>
      </c>
      <c r="D95" s="6">
        <v>409330601.39590675</v>
      </c>
    </row>
    <row r="96" spans="1:4">
      <c r="A96" s="33" t="s">
        <v>51</v>
      </c>
      <c r="B96" s="34">
        <v>46112</v>
      </c>
      <c r="C96" s="6">
        <v>-1222006730.8325436</v>
      </c>
      <c r="D96" s="6">
        <v>404705396.86035979</v>
      </c>
    </row>
    <row r="97" spans="1:4">
      <c r="A97" s="33" t="s">
        <v>51</v>
      </c>
      <c r="B97" s="34">
        <v>46203</v>
      </c>
      <c r="C97" s="6">
        <v>-1208353024.3427947</v>
      </c>
      <c r="D97" s="6">
        <v>400080192.32481283</v>
      </c>
    </row>
    <row r="98" spans="1:4">
      <c r="A98" s="33" t="s">
        <v>51</v>
      </c>
      <c r="B98" s="34">
        <v>46295</v>
      </c>
      <c r="C98" s="6">
        <v>-1194699317.8530455</v>
      </c>
      <c r="D98" s="6">
        <v>395454987.78926587</v>
      </c>
    </row>
    <row r="99" spans="1:4">
      <c r="A99" s="33" t="s">
        <v>51</v>
      </c>
      <c r="B99" s="34">
        <v>46387</v>
      </c>
      <c r="C99" s="6">
        <v>-1181045611.3632965</v>
      </c>
      <c r="D99" s="6">
        <v>390829783.25371897</v>
      </c>
    </row>
    <row r="100" spans="1:4">
      <c r="A100" s="33" t="s">
        <v>51</v>
      </c>
      <c r="B100" s="34">
        <v>46477</v>
      </c>
      <c r="C100" s="6">
        <v>-1167391904.8735473</v>
      </c>
      <c r="D100" s="6">
        <v>386204578.71817207</v>
      </c>
    </row>
    <row r="101" spans="1:4">
      <c r="A101" s="33" t="s">
        <v>51</v>
      </c>
      <c r="B101" s="34">
        <v>46568</v>
      </c>
      <c r="C101" s="6">
        <v>-1153738198.3837984</v>
      </c>
      <c r="D101" s="6">
        <v>381579374.18262511</v>
      </c>
    </row>
    <row r="102" spans="1:4">
      <c r="A102" s="33" t="s">
        <v>51</v>
      </c>
      <c r="B102" s="34">
        <v>46660</v>
      </c>
      <c r="C102" s="6">
        <v>-1140084491.8940494</v>
      </c>
      <c r="D102" s="6">
        <v>376954169.64707816</v>
      </c>
    </row>
    <row r="103" spans="1:4">
      <c r="A103" s="33" t="s">
        <v>51</v>
      </c>
      <c r="B103" s="34">
        <v>46752</v>
      </c>
      <c r="C103" s="6">
        <v>-1126430785.4043002</v>
      </c>
      <c r="D103" s="6">
        <v>372328965.1115312</v>
      </c>
    </row>
    <row r="104" spans="1:4">
      <c r="A104" s="33" t="s">
        <v>51</v>
      </c>
      <c r="B104" s="34">
        <v>46843</v>
      </c>
      <c r="C104" s="6">
        <v>-1112777078.914551</v>
      </c>
      <c r="D104" s="6">
        <v>367703760.5759843</v>
      </c>
    </row>
    <row r="105" spans="1:4">
      <c r="A105" s="33" t="s">
        <v>51</v>
      </c>
      <c r="B105" s="34">
        <v>46934</v>
      </c>
      <c r="C105" s="6">
        <v>-1099123372.4248021</v>
      </c>
      <c r="D105" s="6">
        <v>363078556.04043734</v>
      </c>
    </row>
    <row r="106" spans="1:4">
      <c r="A106" s="33" t="s">
        <v>51</v>
      </c>
      <c r="B106" s="34">
        <v>47026</v>
      </c>
      <c r="C106" s="6">
        <v>-1085469665.9350529</v>
      </c>
      <c r="D106" s="6">
        <v>358453351.50489038</v>
      </c>
    </row>
    <row r="107" spans="1:4">
      <c r="A107" s="33" t="s">
        <v>51</v>
      </c>
      <c r="B107" s="34">
        <v>47118</v>
      </c>
      <c r="C107" s="6">
        <v>-1071815959.4453038</v>
      </c>
      <c r="D107" s="6">
        <v>353828146.96934342</v>
      </c>
    </row>
    <row r="108" spans="1:4">
      <c r="A108" s="33" t="s">
        <v>51</v>
      </c>
      <c r="B108" s="34">
        <v>47208</v>
      </c>
      <c r="C108" s="6">
        <v>-1058162252.9555548</v>
      </c>
      <c r="D108" s="6">
        <v>349202942.43379647</v>
      </c>
    </row>
    <row r="109" spans="1:4">
      <c r="A109" s="33" t="s">
        <v>51</v>
      </c>
      <c r="B109" s="34">
        <v>47299</v>
      </c>
      <c r="C109" s="6">
        <v>-1044508546.4658058</v>
      </c>
      <c r="D109" s="6">
        <v>344577737.89824957</v>
      </c>
    </row>
    <row r="110" spans="1:4">
      <c r="A110" s="33" t="s">
        <v>51</v>
      </c>
      <c r="B110" s="34">
        <v>47391</v>
      </c>
      <c r="C110" s="6">
        <v>-1030854839.9760567</v>
      </c>
      <c r="D110" s="6">
        <v>339952533.36270261</v>
      </c>
    </row>
    <row r="111" spans="1:4">
      <c r="A111" s="33" t="s">
        <v>51</v>
      </c>
      <c r="B111" s="34">
        <v>47483</v>
      </c>
      <c r="C111" s="6">
        <v>-1017201133.4863076</v>
      </c>
      <c r="D111" s="6">
        <v>335327328.82715565</v>
      </c>
    </row>
    <row r="112" spans="1:4">
      <c r="A112" s="33" t="s">
        <v>51</v>
      </c>
      <c r="B112" s="34">
        <v>47573</v>
      </c>
      <c r="C112" s="6">
        <v>-1003547426.9965585</v>
      </c>
      <c r="D112" s="6">
        <v>330702124.29160869</v>
      </c>
    </row>
    <row r="113" spans="1:4">
      <c r="A113" s="33" t="s">
        <v>51</v>
      </c>
      <c r="B113" s="34">
        <v>47664</v>
      </c>
      <c r="C113" s="6">
        <v>-989893720.50680947</v>
      </c>
      <c r="D113" s="6">
        <v>326076919.75606179</v>
      </c>
    </row>
    <row r="114" spans="1:4">
      <c r="A114" s="33" t="s">
        <v>51</v>
      </c>
      <c r="B114" s="34">
        <v>47756</v>
      </c>
      <c r="C114" s="6">
        <v>-976240014.0170604</v>
      </c>
      <c r="D114" s="6">
        <v>321451715.22051483</v>
      </c>
    </row>
    <row r="115" spans="1:4">
      <c r="A115" s="33" t="s">
        <v>51</v>
      </c>
      <c r="B115" s="34">
        <v>47848</v>
      </c>
      <c r="C115" s="6">
        <v>-962586307.52731121</v>
      </c>
      <c r="D115" s="6">
        <v>316826510.68496788</v>
      </c>
    </row>
    <row r="116" spans="1:4">
      <c r="A116" s="33" t="s">
        <v>51</v>
      </c>
      <c r="B116" s="34">
        <v>47938</v>
      </c>
      <c r="C116" s="6">
        <v>-948932601.03756213</v>
      </c>
      <c r="D116" s="6">
        <v>312201306.14942098</v>
      </c>
    </row>
    <row r="117" spans="1:4">
      <c r="A117" s="33" t="s">
        <v>51</v>
      </c>
      <c r="B117" s="34">
        <v>48029</v>
      </c>
      <c r="C117" s="6">
        <v>-935278894.54781318</v>
      </c>
      <c r="D117" s="6">
        <v>307576101.61387396</v>
      </c>
    </row>
    <row r="118" spans="1:4">
      <c r="A118" s="33" t="s">
        <v>51</v>
      </c>
      <c r="B118" s="34">
        <v>48121</v>
      </c>
      <c r="C118" s="6">
        <v>-921625188.05806398</v>
      </c>
      <c r="D118" s="6">
        <v>302950897.07832694</v>
      </c>
    </row>
    <row r="119" spans="1:4">
      <c r="A119" s="33" t="s">
        <v>51</v>
      </c>
      <c r="B119" s="34">
        <v>48213</v>
      </c>
      <c r="C119" s="6">
        <v>-907971481.56831491</v>
      </c>
      <c r="D119" s="6">
        <v>298325692.54277998</v>
      </c>
    </row>
    <row r="120" spans="1:4">
      <c r="A120" s="33" t="s">
        <v>51</v>
      </c>
      <c r="B120" s="34">
        <v>48304</v>
      </c>
      <c r="C120" s="6">
        <v>-894317775.07856584</v>
      </c>
      <c r="D120" s="6">
        <v>293700488.00723302</v>
      </c>
    </row>
    <row r="121" spans="1:4">
      <c r="A121" s="33" t="s">
        <v>51</v>
      </c>
      <c r="B121" s="34">
        <v>48395</v>
      </c>
      <c r="C121" s="6">
        <v>-880664068.58881688</v>
      </c>
      <c r="D121" s="6">
        <v>289075283.47168607</v>
      </c>
    </row>
    <row r="122" spans="1:4">
      <c r="A122" s="33" t="s">
        <v>51</v>
      </c>
      <c r="B122" s="34">
        <v>48487</v>
      </c>
      <c r="C122" s="6">
        <v>-867010362.09906781</v>
      </c>
      <c r="D122" s="6">
        <v>284450078.93613905</v>
      </c>
    </row>
    <row r="123" spans="1:4">
      <c r="A123" s="33" t="s">
        <v>51</v>
      </c>
      <c r="B123" s="34">
        <v>48579</v>
      </c>
      <c r="C123" s="6">
        <v>-853356655.60931873</v>
      </c>
      <c r="D123" s="6">
        <v>279824874.40059209</v>
      </c>
    </row>
    <row r="124" spans="1:4">
      <c r="A124" s="33" t="s">
        <v>51</v>
      </c>
      <c r="B124" s="34">
        <v>48669</v>
      </c>
      <c r="C124" s="6">
        <v>-839702949.11956954</v>
      </c>
      <c r="D124" s="6">
        <v>275199669.86504513</v>
      </c>
    </row>
    <row r="125" spans="1:4">
      <c r="A125" s="33" t="s">
        <v>51</v>
      </c>
      <c r="B125" s="34">
        <v>48760</v>
      </c>
      <c r="C125" s="6">
        <v>-826049242.62982047</v>
      </c>
      <c r="D125" s="6">
        <v>270574465.32949811</v>
      </c>
    </row>
    <row r="126" spans="1:4">
      <c r="A126" s="33" t="s">
        <v>51</v>
      </c>
      <c r="B126" s="34">
        <v>48852</v>
      </c>
      <c r="C126" s="6">
        <v>-812395536.14007151</v>
      </c>
      <c r="D126" s="6">
        <v>265949260.79395112</v>
      </c>
    </row>
    <row r="127" spans="1:4">
      <c r="A127" s="33" t="s">
        <v>51</v>
      </c>
      <c r="B127" s="34">
        <v>48944</v>
      </c>
      <c r="C127" s="6">
        <v>-798741829.65032244</v>
      </c>
      <c r="D127" s="6">
        <v>261324056.25840414</v>
      </c>
    </row>
    <row r="128" spans="1:4">
      <c r="A128" s="33" t="s">
        <v>51</v>
      </c>
      <c r="B128" s="34">
        <v>49034</v>
      </c>
      <c r="C128" s="6">
        <v>-785088123.16057336</v>
      </c>
      <c r="D128" s="6">
        <v>256698851.72285721</v>
      </c>
    </row>
    <row r="129" spans="1:4">
      <c r="A129" s="33" t="s">
        <v>51</v>
      </c>
      <c r="B129" s="34">
        <v>49125</v>
      </c>
      <c r="C129" s="6">
        <v>-771434416.67082417</v>
      </c>
      <c r="D129" s="6">
        <v>252073647.18731022</v>
      </c>
    </row>
    <row r="130" spans="1:4">
      <c r="A130" s="33" t="s">
        <v>51</v>
      </c>
      <c r="B130" s="34">
        <v>49217</v>
      </c>
      <c r="C130" s="6">
        <v>-757780710.18107522</v>
      </c>
      <c r="D130" s="6">
        <v>247448442.65176323</v>
      </c>
    </row>
    <row r="131" spans="1:4">
      <c r="A131" s="33" t="s">
        <v>51</v>
      </c>
      <c r="B131" s="34">
        <v>49309</v>
      </c>
      <c r="C131" s="6">
        <v>-744127003.69132614</v>
      </c>
      <c r="D131" s="6">
        <v>242823238.11621624</v>
      </c>
    </row>
    <row r="132" spans="1:4">
      <c r="A132" s="33" t="s">
        <v>51</v>
      </c>
      <c r="B132" s="34">
        <v>49399</v>
      </c>
      <c r="C132" s="6">
        <v>-730473297.20157707</v>
      </c>
      <c r="D132" s="6">
        <v>238198033.58066931</v>
      </c>
    </row>
    <row r="133" spans="1:4">
      <c r="A133" s="33" t="s">
        <v>51</v>
      </c>
      <c r="B133" s="34">
        <v>49490</v>
      </c>
      <c r="C133" s="6">
        <v>-716819590.71182799</v>
      </c>
      <c r="D133" s="6">
        <v>233572829.0451223</v>
      </c>
    </row>
    <row r="134" spans="1:4">
      <c r="A134" s="33" t="s">
        <v>51</v>
      </c>
      <c r="B134" s="34">
        <v>49582</v>
      </c>
      <c r="C134" s="6">
        <v>-703165884.22207892</v>
      </c>
      <c r="D134" s="6">
        <v>228947624.50957531</v>
      </c>
    </row>
    <row r="135" spans="1:4">
      <c r="A135" s="33" t="s">
        <v>51</v>
      </c>
      <c r="B135" s="34">
        <v>49674</v>
      </c>
      <c r="C135" s="6">
        <v>-689512177.73232985</v>
      </c>
      <c r="D135" s="6">
        <v>224322419.97402832</v>
      </c>
    </row>
    <row r="136" spans="1:4">
      <c r="A136" s="33" t="s">
        <v>51</v>
      </c>
      <c r="B136" s="34">
        <v>49765</v>
      </c>
      <c r="C136" s="6">
        <v>-675858471.24258077</v>
      </c>
      <c r="D136" s="6">
        <v>219697215.43848139</v>
      </c>
    </row>
    <row r="137" spans="1:4">
      <c r="A137" s="33" t="s">
        <v>51</v>
      </c>
      <c r="B137" s="34">
        <v>49856</v>
      </c>
      <c r="C137" s="6">
        <v>-662204764.7528317</v>
      </c>
      <c r="D137" s="6">
        <v>215072010.90293437</v>
      </c>
    </row>
    <row r="138" spans="1:4">
      <c r="A138" s="33" t="s">
        <v>51</v>
      </c>
      <c r="B138" s="34">
        <v>49948</v>
      </c>
      <c r="C138" s="6">
        <v>-648551058.26308262</v>
      </c>
      <c r="D138" s="6">
        <v>210446806.36738738</v>
      </c>
    </row>
    <row r="139" spans="1:4">
      <c r="A139" s="33" t="s">
        <v>51</v>
      </c>
      <c r="B139" s="34">
        <v>50040</v>
      </c>
      <c r="C139" s="6">
        <v>-634897351.77333367</v>
      </c>
      <c r="D139" s="6">
        <v>205821601.83184043</v>
      </c>
    </row>
    <row r="140" spans="1:4">
      <c r="A140" s="33" t="s">
        <v>51</v>
      </c>
      <c r="B140" s="34">
        <v>50130</v>
      </c>
      <c r="C140" s="6">
        <v>-621243645.28358459</v>
      </c>
      <c r="D140" s="6">
        <v>201196397.2962935</v>
      </c>
    </row>
    <row r="141" spans="1:4">
      <c r="A141" s="33" t="s">
        <v>51</v>
      </c>
      <c r="B141" s="34">
        <v>50221</v>
      </c>
      <c r="C141" s="6">
        <v>-607589938.7938354</v>
      </c>
      <c r="D141" s="6">
        <v>196571192.76074648</v>
      </c>
    </row>
    <row r="142" spans="1:4">
      <c r="A142" s="33" t="s">
        <v>51</v>
      </c>
      <c r="B142" s="34">
        <v>50313</v>
      </c>
      <c r="C142" s="6">
        <v>-593936232.30408633</v>
      </c>
      <c r="D142" s="6">
        <v>191945988.22519949</v>
      </c>
    </row>
    <row r="143" spans="1:4">
      <c r="A143" s="33" t="s">
        <v>51</v>
      </c>
      <c r="B143" s="34">
        <v>50405</v>
      </c>
      <c r="C143" s="6">
        <v>-580282525.81433725</v>
      </c>
      <c r="D143" s="6">
        <v>187320783.68965253</v>
      </c>
    </row>
    <row r="144" spans="1:4">
      <c r="A144" s="33" t="s">
        <v>51</v>
      </c>
      <c r="B144" s="34">
        <v>50495</v>
      </c>
      <c r="C144" s="6">
        <v>-566628819.3245883</v>
      </c>
      <c r="D144" s="6">
        <v>182695579.15410557</v>
      </c>
    </row>
    <row r="145" spans="1:4">
      <c r="A145" s="33" t="s">
        <v>51</v>
      </c>
      <c r="B145" s="34">
        <v>50586</v>
      </c>
      <c r="C145" s="6">
        <v>-552975112.83483922</v>
      </c>
      <c r="D145" s="6">
        <v>178070374.61855856</v>
      </c>
    </row>
    <row r="146" spans="1:4">
      <c r="A146" s="33" t="s">
        <v>51</v>
      </c>
      <c r="B146" s="34">
        <v>50678</v>
      </c>
      <c r="C146" s="6">
        <v>-539321406.34509015</v>
      </c>
      <c r="D146" s="6">
        <v>173445170.08301157</v>
      </c>
    </row>
    <row r="147" spans="1:4">
      <c r="A147" s="33" t="s">
        <v>51</v>
      </c>
      <c r="B147" s="34">
        <v>50770</v>
      </c>
      <c r="C147" s="6">
        <v>-525667699.85534108</v>
      </c>
      <c r="D147" s="6">
        <v>168819965.54746461</v>
      </c>
    </row>
    <row r="148" spans="1:4">
      <c r="A148" s="33" t="s">
        <v>51</v>
      </c>
      <c r="B148" s="34">
        <v>50860</v>
      </c>
      <c r="C148" s="6">
        <v>-512013993.36559194</v>
      </c>
      <c r="D148" s="6">
        <v>164194761.01191765</v>
      </c>
    </row>
    <row r="149" spans="1:4">
      <c r="A149" s="33" t="s">
        <v>51</v>
      </c>
      <c r="B149" s="34">
        <v>50951</v>
      </c>
      <c r="C149" s="6">
        <v>-498360286.87584287</v>
      </c>
      <c r="D149" s="6">
        <v>159569556.47637066</v>
      </c>
    </row>
    <row r="150" spans="1:4">
      <c r="A150" s="33" t="s">
        <v>51</v>
      </c>
      <c r="B150" s="34">
        <v>51043</v>
      </c>
      <c r="C150" s="6">
        <v>-484706580.38609374</v>
      </c>
      <c r="D150" s="6">
        <v>154944351.94082373</v>
      </c>
    </row>
    <row r="151" spans="1:4">
      <c r="A151" s="33" t="s">
        <v>51</v>
      </c>
      <c r="B151" s="34">
        <v>51135</v>
      </c>
      <c r="C151" s="6">
        <v>-471052873.8963446</v>
      </c>
      <c r="D151" s="6">
        <v>150319147.40527675</v>
      </c>
    </row>
    <row r="152" spans="1:4">
      <c r="A152" s="33" t="s">
        <v>51</v>
      </c>
      <c r="B152" s="34">
        <v>51226</v>
      </c>
      <c r="C152" s="6">
        <v>-457399167.40659553</v>
      </c>
      <c r="D152" s="6">
        <v>145693942.86972976</v>
      </c>
    </row>
    <row r="153" spans="1:4">
      <c r="A153" s="33" t="s">
        <v>51</v>
      </c>
      <c r="B153" s="34">
        <v>51317</v>
      </c>
      <c r="C153" s="6">
        <v>-443745460.91684645</v>
      </c>
      <c r="D153" s="6">
        <v>141068738.3341828</v>
      </c>
    </row>
    <row r="154" spans="1:4">
      <c r="A154" s="33" t="s">
        <v>51</v>
      </c>
      <c r="B154" s="34">
        <v>51409</v>
      </c>
      <c r="C154" s="6">
        <v>-430091754.42709732</v>
      </c>
      <c r="D154" s="6">
        <v>136443533.79863581</v>
      </c>
    </row>
    <row r="155" spans="1:4">
      <c r="A155" s="33" t="s">
        <v>51</v>
      </c>
      <c r="B155" s="34">
        <v>51501</v>
      </c>
      <c r="C155" s="6">
        <v>-416438047.93734813</v>
      </c>
      <c r="D155" s="6">
        <v>131818329.26308882</v>
      </c>
    </row>
    <row r="156" spans="1:4">
      <c r="A156" s="33" t="s">
        <v>51</v>
      </c>
      <c r="B156" s="34">
        <v>51591</v>
      </c>
      <c r="C156" s="6">
        <v>-402784341.44759899</v>
      </c>
      <c r="D156" s="6">
        <v>127193124.72754185</v>
      </c>
    </row>
    <row r="157" spans="1:4">
      <c r="A157" s="33" t="s">
        <v>51</v>
      </c>
      <c r="B157" s="34">
        <v>51682</v>
      </c>
      <c r="C157" s="6">
        <v>-389130634.95784998</v>
      </c>
      <c r="D157" s="6">
        <v>122567920.19199488</v>
      </c>
    </row>
    <row r="158" spans="1:4">
      <c r="A158" s="33" t="s">
        <v>51</v>
      </c>
      <c r="B158" s="34">
        <v>51774</v>
      </c>
      <c r="C158" s="6">
        <v>-375476928.46810073</v>
      </c>
      <c r="D158" s="6">
        <v>117942715.6564479</v>
      </c>
    </row>
    <row r="159" spans="1:4">
      <c r="A159" s="33" t="s">
        <v>51</v>
      </c>
      <c r="B159" s="34">
        <v>51866</v>
      </c>
      <c r="C159" s="6">
        <v>-361823221.97835165</v>
      </c>
      <c r="D159" s="6">
        <v>113317511.12090091</v>
      </c>
    </row>
    <row r="160" spans="1:4">
      <c r="A160" s="33" t="s">
        <v>51</v>
      </c>
      <c r="B160" s="34">
        <v>51956</v>
      </c>
      <c r="C160" s="6">
        <v>-348169515.48860252</v>
      </c>
      <c r="D160" s="6">
        <v>108692306.58535394</v>
      </c>
    </row>
    <row r="161" spans="1:4">
      <c r="A161" s="33" t="s">
        <v>51</v>
      </c>
      <c r="B161" s="34">
        <v>52047</v>
      </c>
      <c r="C161" s="6">
        <v>-334515808.9988535</v>
      </c>
      <c r="D161" s="6">
        <v>104067102.04980695</v>
      </c>
    </row>
    <row r="162" spans="1:4">
      <c r="A162" s="33" t="s">
        <v>51</v>
      </c>
      <c r="B162" s="34">
        <v>52139</v>
      </c>
      <c r="C162" s="6">
        <v>-320862102.50910425</v>
      </c>
      <c r="D162" s="6">
        <v>99441897.514259994</v>
      </c>
    </row>
    <row r="163" spans="1:4">
      <c r="A163" s="33" t="s">
        <v>51</v>
      </c>
      <c r="B163" s="34">
        <v>52231</v>
      </c>
      <c r="C163" s="6">
        <v>-307208396.01935512</v>
      </c>
      <c r="D163" s="6">
        <v>94816692.978713021</v>
      </c>
    </row>
    <row r="164" spans="1:4">
      <c r="A164" s="33" t="s">
        <v>51</v>
      </c>
      <c r="B164" s="34">
        <v>52321</v>
      </c>
      <c r="C164" s="6">
        <v>-293554689.52960604</v>
      </c>
      <c r="D164" s="6">
        <v>90191488.443166032</v>
      </c>
    </row>
    <row r="165" spans="1:4">
      <c r="A165" s="33" t="s">
        <v>51</v>
      </c>
      <c r="B165" s="34">
        <v>52412</v>
      </c>
      <c r="C165" s="6">
        <v>-279900983.03985697</v>
      </c>
      <c r="D165" s="6">
        <v>85566283.907619059</v>
      </c>
    </row>
    <row r="166" spans="1:4">
      <c r="A166" s="33" t="s">
        <v>51</v>
      </c>
      <c r="B166" s="34">
        <v>52504</v>
      </c>
      <c r="C166" s="6">
        <v>-266247276.55010778</v>
      </c>
      <c r="D166" s="6">
        <v>80941079.372072071</v>
      </c>
    </row>
    <row r="167" spans="1:4">
      <c r="A167" s="33" t="s">
        <v>51</v>
      </c>
      <c r="B167" s="34">
        <v>52596</v>
      </c>
      <c r="C167" s="6">
        <v>-252593570.06035864</v>
      </c>
      <c r="D167" s="6">
        <v>76315874.836525112</v>
      </c>
    </row>
    <row r="168" spans="1:4">
      <c r="A168" s="33" t="s">
        <v>51</v>
      </c>
      <c r="B168" s="34">
        <v>52687</v>
      </c>
      <c r="C168" s="6">
        <v>-238939863.57060954</v>
      </c>
      <c r="D168" s="6">
        <v>71690670.300978139</v>
      </c>
    </row>
    <row r="169" spans="1:4">
      <c r="A169" s="33" t="s">
        <v>51</v>
      </c>
      <c r="B169" s="34">
        <v>52778</v>
      </c>
      <c r="C169" s="6">
        <v>-225286157.08086044</v>
      </c>
      <c r="D169" s="6">
        <v>67065465.765431158</v>
      </c>
    </row>
    <row r="170" spans="1:4">
      <c r="A170" s="33" t="s">
        <v>51</v>
      </c>
      <c r="B170" s="34">
        <v>52870</v>
      </c>
      <c r="C170" s="6">
        <v>-211632450.59111133</v>
      </c>
      <c r="D170" s="6">
        <v>62440261.229884185</v>
      </c>
    </row>
    <row r="171" spans="1:4">
      <c r="A171" s="33" t="s">
        <v>51</v>
      </c>
      <c r="B171" s="34">
        <v>52962</v>
      </c>
      <c r="C171" s="6">
        <v>-197978744.1013622</v>
      </c>
      <c r="D171" s="6">
        <v>57815056.694337204</v>
      </c>
    </row>
    <row r="172" spans="1:4">
      <c r="A172" s="33" t="s">
        <v>51</v>
      </c>
      <c r="B172" s="34">
        <v>53052</v>
      </c>
      <c r="C172" s="6">
        <v>-184325037.61161304</v>
      </c>
      <c r="D172" s="6">
        <v>53189852.158790223</v>
      </c>
    </row>
    <row r="173" spans="1:4">
      <c r="A173" s="33" t="s">
        <v>51</v>
      </c>
      <c r="B173" s="34">
        <v>53143</v>
      </c>
      <c r="C173" s="6">
        <v>-170671331.12186393</v>
      </c>
      <c r="D173" s="6">
        <v>48564647.62324325</v>
      </c>
    </row>
    <row r="174" spans="1:4">
      <c r="A174" s="33" t="s">
        <v>51</v>
      </c>
      <c r="B174" s="34">
        <v>53235</v>
      </c>
      <c r="C174" s="6">
        <v>-157017624.6321148</v>
      </c>
      <c r="D174" s="6">
        <v>43939443.087696269</v>
      </c>
    </row>
    <row r="175" spans="1:4">
      <c r="A175" s="33" t="s">
        <v>51</v>
      </c>
      <c r="B175" s="34">
        <v>53327</v>
      </c>
      <c r="C175" s="6">
        <v>-143363918.14236569</v>
      </c>
      <c r="D175" s="6">
        <v>39314238.552149296</v>
      </c>
    </row>
    <row r="176" spans="1:4">
      <c r="A176" s="33" t="s">
        <v>51</v>
      </c>
      <c r="B176" s="34">
        <v>53417</v>
      </c>
      <c r="C176" s="6">
        <v>-129710211.65261658</v>
      </c>
      <c r="D176" s="6">
        <v>34689034.016602322</v>
      </c>
    </row>
    <row r="177" spans="1:4">
      <c r="A177" s="33" t="s">
        <v>51</v>
      </c>
      <c r="B177" s="34">
        <v>53508</v>
      </c>
      <c r="C177" s="6">
        <v>-116056505.16286746</v>
      </c>
      <c r="D177" s="6">
        <v>30063829.481055349</v>
      </c>
    </row>
    <row r="178" spans="1:4">
      <c r="A178" s="33" t="s">
        <v>51</v>
      </c>
      <c r="B178" s="34">
        <v>53600</v>
      </c>
      <c r="C178" s="6">
        <v>-102402798.67311834</v>
      </c>
      <c r="D178" s="6">
        <v>25438624.945508372</v>
      </c>
    </row>
    <row r="179" spans="1:4">
      <c r="A179" s="33" t="s">
        <v>51</v>
      </c>
      <c r="B179" s="34">
        <v>53692</v>
      </c>
      <c r="C179" s="6">
        <v>-88749092.183369234</v>
      </c>
      <c r="D179" s="6">
        <v>20813420.409961391</v>
      </c>
    </row>
    <row r="180" spans="1:4">
      <c r="A180" s="33" t="s">
        <v>51</v>
      </c>
      <c r="B180" s="34">
        <v>53782</v>
      </c>
      <c r="C180" s="6">
        <v>-75095385.69362013</v>
      </c>
      <c r="D180" s="6">
        <v>16188215.874414414</v>
      </c>
    </row>
    <row r="181" spans="1:4">
      <c r="A181" s="33" t="s">
        <v>51</v>
      </c>
      <c r="B181" s="34">
        <v>53873</v>
      </c>
      <c r="C181" s="6">
        <v>-61441679.203871019</v>
      </c>
      <c r="D181" s="6">
        <v>12141161.905810811</v>
      </c>
    </row>
    <row r="182" spans="1:4">
      <c r="A182" s="33" t="s">
        <v>51</v>
      </c>
      <c r="B182" s="34">
        <v>53965</v>
      </c>
      <c r="C182" s="6">
        <v>-47787972.714121893</v>
      </c>
      <c r="D182" s="6">
        <v>8672258.5041505788</v>
      </c>
    </row>
    <row r="183" spans="1:4">
      <c r="A183" s="33" t="s">
        <v>51</v>
      </c>
      <c r="B183" s="34">
        <v>54057</v>
      </c>
      <c r="C183" s="6">
        <v>-34134266.224372782</v>
      </c>
      <c r="D183" s="6">
        <v>5781505.6694337195</v>
      </c>
    </row>
    <row r="184" spans="1:4">
      <c r="A184" s="33" t="s">
        <v>51</v>
      </c>
      <c r="B184" s="34">
        <v>54148</v>
      </c>
      <c r="C184" s="6">
        <v>-20480559.734623674</v>
      </c>
      <c r="D184" s="6">
        <v>3468903.4016602314</v>
      </c>
    </row>
    <row r="185" spans="1:4">
      <c r="A185" s="33" t="s">
        <v>51</v>
      </c>
      <c r="B185" s="34">
        <v>54239</v>
      </c>
      <c r="C185" s="6">
        <v>-10240279.867311837</v>
      </c>
      <c r="D185" s="6">
        <v>1734451.7008301157</v>
      </c>
    </row>
    <row r="186" spans="1:4">
      <c r="A186" s="33" t="s">
        <v>51</v>
      </c>
      <c r="B186" s="34">
        <v>54331</v>
      </c>
      <c r="C186" s="6">
        <v>-3413426.6224372783</v>
      </c>
      <c r="D186" s="6">
        <v>578150.56694337202</v>
      </c>
    </row>
    <row r="187" spans="1:4">
      <c r="A187" s="33" t="s">
        <v>51</v>
      </c>
      <c r="B187" s="34">
        <v>54423</v>
      </c>
      <c r="C187" s="6">
        <v>0</v>
      </c>
      <c r="D187" s="6">
        <v>0</v>
      </c>
    </row>
    <row r="188" spans="1:4">
      <c r="A188" s="4" t="s">
        <v>54</v>
      </c>
      <c r="B188" s="3">
        <v>45747</v>
      </c>
      <c r="C188" s="6">
        <v>779711688.90961802</v>
      </c>
      <c r="D188" s="6">
        <v>-112698510.46029717</v>
      </c>
    </row>
    <row r="189" spans="1:4">
      <c r="A189" s="4" t="s">
        <v>54</v>
      </c>
      <c r="B189" s="3">
        <v>45838</v>
      </c>
      <c r="C189" s="6">
        <v>1559423377.819236</v>
      </c>
      <c r="D189" s="6">
        <v>-225397020.92059433</v>
      </c>
    </row>
    <row r="190" spans="1:4">
      <c r="A190" s="4" t="s">
        <v>54</v>
      </c>
      <c r="B190" s="3">
        <v>45930</v>
      </c>
      <c r="C190" s="6">
        <v>2339135066.7288542</v>
      </c>
      <c r="D190" s="6">
        <v>-338095531.3808915</v>
      </c>
    </row>
    <row r="191" spans="1:4">
      <c r="A191" s="4" t="s">
        <v>54</v>
      </c>
      <c r="B191" s="3">
        <v>46022</v>
      </c>
      <c r="C191" s="6">
        <v>2339135066.7288542</v>
      </c>
      <c r="D191" s="6">
        <v>-338095531.3808915</v>
      </c>
    </row>
    <row r="192" spans="1:4">
      <c r="A192" s="4" t="s">
        <v>54</v>
      </c>
      <c r="B192" s="3">
        <v>46112</v>
      </c>
      <c r="C192" s="6">
        <v>2305234558.5153923</v>
      </c>
      <c r="D192" s="6">
        <v>-333195596.14348727</v>
      </c>
    </row>
    <row r="193" spans="1:4">
      <c r="A193" s="4" t="s">
        <v>54</v>
      </c>
      <c r="B193" s="3">
        <v>46203</v>
      </c>
      <c r="C193" s="6">
        <v>2271334050.3019304</v>
      </c>
      <c r="D193" s="6">
        <v>-328295660.90608299</v>
      </c>
    </row>
    <row r="194" spans="1:4">
      <c r="A194" s="4" t="s">
        <v>54</v>
      </c>
      <c r="B194" s="3">
        <v>46295</v>
      </c>
      <c r="C194" s="6">
        <v>2237433542.088469</v>
      </c>
      <c r="D194" s="6">
        <v>-323395725.66867882</v>
      </c>
    </row>
    <row r="195" spans="1:4">
      <c r="A195" s="4" t="s">
        <v>54</v>
      </c>
      <c r="B195" s="3">
        <v>46387</v>
      </c>
      <c r="C195" s="6">
        <v>2237433542.088469</v>
      </c>
      <c r="D195" s="6">
        <v>-323395725.66867882</v>
      </c>
    </row>
    <row r="196" spans="1:4">
      <c r="A196" s="4" t="s">
        <v>54</v>
      </c>
      <c r="B196" s="3">
        <v>46477</v>
      </c>
      <c r="C196" s="6">
        <v>2203533033.8750072</v>
      </c>
      <c r="D196" s="6">
        <v>-318495790.43127453</v>
      </c>
    </row>
    <row r="197" spans="1:4">
      <c r="A197" s="4" t="s">
        <v>54</v>
      </c>
      <c r="B197" s="3">
        <v>46568</v>
      </c>
      <c r="C197" s="6">
        <v>2169632525.6615462</v>
      </c>
      <c r="D197" s="6">
        <v>-313595855.19387043</v>
      </c>
    </row>
    <row r="198" spans="1:4">
      <c r="A198" s="4" t="s">
        <v>54</v>
      </c>
      <c r="B198" s="3">
        <v>46660</v>
      </c>
      <c r="C198" s="6">
        <v>2135732017.4480841</v>
      </c>
      <c r="D198" s="6">
        <v>-308695919.95646614</v>
      </c>
    </row>
    <row r="199" spans="1:4">
      <c r="A199" s="4" t="s">
        <v>54</v>
      </c>
      <c r="B199" s="3">
        <v>46752</v>
      </c>
      <c r="C199" s="6">
        <v>2135732017.4480841</v>
      </c>
      <c r="D199" s="6">
        <v>-308695919.95646614</v>
      </c>
    </row>
    <row r="200" spans="1:4">
      <c r="A200" s="4" t="s">
        <v>54</v>
      </c>
      <c r="B200" s="3">
        <v>46843</v>
      </c>
      <c r="C200" s="6">
        <v>2101831509.2346227</v>
      </c>
      <c r="D200" s="6">
        <v>-303795984.71906191</v>
      </c>
    </row>
    <row r="201" spans="1:4">
      <c r="A201" s="4" t="s">
        <v>54</v>
      </c>
      <c r="B201" s="3">
        <v>46934</v>
      </c>
      <c r="C201" s="6">
        <v>2067931001.0211608</v>
      </c>
      <c r="D201" s="6">
        <v>-298896049.48165768</v>
      </c>
    </row>
    <row r="202" spans="1:4">
      <c r="A202" s="4" t="s">
        <v>54</v>
      </c>
      <c r="B202" s="3">
        <v>47026</v>
      </c>
      <c r="C202" s="6">
        <v>2034030492.8076992</v>
      </c>
      <c r="D202" s="6">
        <v>-293996114.24425346</v>
      </c>
    </row>
    <row r="203" spans="1:4">
      <c r="A203" s="4" t="s">
        <v>54</v>
      </c>
      <c r="B203" s="3">
        <v>47118</v>
      </c>
      <c r="C203" s="6">
        <v>2034030492.8076992</v>
      </c>
      <c r="D203" s="6">
        <v>-293996114.24425346</v>
      </c>
    </row>
    <row r="204" spans="1:4">
      <c r="A204" s="4" t="s">
        <v>54</v>
      </c>
      <c r="B204" s="3">
        <v>47208</v>
      </c>
      <c r="C204" s="6">
        <v>2000129984.5942373</v>
      </c>
      <c r="D204" s="6">
        <v>-289096179.00684923</v>
      </c>
    </row>
    <row r="205" spans="1:4">
      <c r="A205" s="4" t="s">
        <v>54</v>
      </c>
      <c r="B205" s="3">
        <v>47299</v>
      </c>
      <c r="C205" s="6">
        <v>1966229476.3807762</v>
      </c>
      <c r="D205" s="6">
        <v>-284196243.76944506</v>
      </c>
    </row>
    <row r="206" spans="1:4">
      <c r="A206" s="4" t="s">
        <v>54</v>
      </c>
      <c r="B206" s="3">
        <v>47391</v>
      </c>
      <c r="C206" s="6">
        <v>1932328968.1673143</v>
      </c>
      <c r="D206" s="6">
        <v>-279296308.53204077</v>
      </c>
    </row>
    <row r="207" spans="1:4">
      <c r="A207" s="4" t="s">
        <v>54</v>
      </c>
      <c r="B207" s="3">
        <v>47483</v>
      </c>
      <c r="C207" s="6">
        <v>1932328968.1673143</v>
      </c>
      <c r="D207" s="6">
        <v>-279296308.53204077</v>
      </c>
    </row>
    <row r="208" spans="1:4">
      <c r="A208" s="4" t="s">
        <v>54</v>
      </c>
      <c r="B208" s="3">
        <v>47573</v>
      </c>
      <c r="C208" s="6">
        <v>1898428459.9538527</v>
      </c>
      <c r="D208" s="6">
        <v>-274396373.29463661</v>
      </c>
    </row>
    <row r="209" spans="1:4">
      <c r="A209" s="4" t="s">
        <v>54</v>
      </c>
      <c r="B209" s="3">
        <v>47664</v>
      </c>
      <c r="C209" s="6">
        <v>1864527951.7403908</v>
      </c>
      <c r="D209" s="6">
        <v>-269496438.05723232</v>
      </c>
    </row>
    <row r="210" spans="1:4">
      <c r="A210" s="4" t="s">
        <v>54</v>
      </c>
      <c r="B210" s="3">
        <v>47756</v>
      </c>
      <c r="C210" s="6">
        <v>1830627443.5269294</v>
      </c>
      <c r="D210" s="6">
        <v>-264596502.81982812</v>
      </c>
    </row>
    <row r="211" spans="1:4">
      <c r="A211" s="4" t="s">
        <v>54</v>
      </c>
      <c r="B211" s="3">
        <v>47848</v>
      </c>
      <c r="C211" s="6">
        <v>1830627443.5269294</v>
      </c>
      <c r="D211" s="6">
        <v>-264596502.81982812</v>
      </c>
    </row>
    <row r="212" spans="1:4">
      <c r="A212" s="4" t="s">
        <v>54</v>
      </c>
      <c r="B212" s="3">
        <v>47938</v>
      </c>
      <c r="C212" s="6">
        <v>1796726935.3134675</v>
      </c>
      <c r="D212" s="6">
        <v>-259696567.58242387</v>
      </c>
    </row>
    <row r="213" spans="1:4">
      <c r="A213" s="4" t="s">
        <v>54</v>
      </c>
      <c r="B213" s="3">
        <v>48029</v>
      </c>
      <c r="C213" s="6">
        <v>1762826427.1000059</v>
      </c>
      <c r="D213" s="6">
        <v>-254796632.34501967</v>
      </c>
    </row>
    <row r="214" spans="1:4">
      <c r="A214" s="4" t="s">
        <v>54</v>
      </c>
      <c r="B214" s="3">
        <v>48121</v>
      </c>
      <c r="C214" s="6">
        <v>1728925918.8865442</v>
      </c>
      <c r="D214" s="6">
        <v>-249896697.10761544</v>
      </c>
    </row>
    <row r="215" spans="1:4">
      <c r="A215" s="4" t="s">
        <v>54</v>
      </c>
      <c r="B215" s="3">
        <v>48213</v>
      </c>
      <c r="C215" s="6">
        <v>1728925918.8865442</v>
      </c>
      <c r="D215" s="6">
        <v>-249896697.10761544</v>
      </c>
    </row>
    <row r="216" spans="1:4">
      <c r="A216" s="4" t="s">
        <v>54</v>
      </c>
      <c r="B216" s="3">
        <v>48304</v>
      </c>
      <c r="C216" s="6">
        <v>1695025410.6730826</v>
      </c>
      <c r="D216" s="6">
        <v>-244996761.87021121</v>
      </c>
    </row>
    <row r="217" spans="1:4">
      <c r="A217" s="4" t="s">
        <v>54</v>
      </c>
      <c r="B217" s="3">
        <v>48395</v>
      </c>
      <c r="C217" s="6">
        <v>1661124902.459621</v>
      </c>
      <c r="D217" s="6">
        <v>-240096826.63280699</v>
      </c>
    </row>
    <row r="218" spans="1:4">
      <c r="A218" s="4" t="s">
        <v>54</v>
      </c>
      <c r="B218" s="3">
        <v>48487</v>
      </c>
      <c r="C218" s="6">
        <v>1627224394.2461593</v>
      </c>
      <c r="D218" s="6">
        <v>-235196891.39540276</v>
      </c>
    </row>
    <row r="219" spans="1:4">
      <c r="A219" s="4" t="s">
        <v>54</v>
      </c>
      <c r="B219" s="3">
        <v>48579</v>
      </c>
      <c r="C219" s="6">
        <v>1627224394.2461593</v>
      </c>
      <c r="D219" s="6">
        <v>-235196891.39540276</v>
      </c>
    </row>
    <row r="220" spans="1:4">
      <c r="A220" s="4" t="s">
        <v>54</v>
      </c>
      <c r="B220" s="3">
        <v>48669</v>
      </c>
      <c r="C220" s="6">
        <v>1593323886.0326977</v>
      </c>
      <c r="D220" s="6">
        <v>-230296956.15799856</v>
      </c>
    </row>
    <row r="221" spans="1:4">
      <c r="A221" s="4" t="s">
        <v>54</v>
      </c>
      <c r="B221" s="3">
        <v>48760</v>
      </c>
      <c r="C221" s="6">
        <v>1559423377.819236</v>
      </c>
      <c r="D221" s="6">
        <v>-225397020.92059433</v>
      </c>
    </row>
    <row r="222" spans="1:4">
      <c r="A222" s="4" t="s">
        <v>54</v>
      </c>
      <c r="B222" s="3">
        <v>48852</v>
      </c>
      <c r="C222" s="6">
        <v>1525522869.6057744</v>
      </c>
      <c r="D222" s="6">
        <v>-220497085.68319008</v>
      </c>
    </row>
    <row r="223" spans="1:4">
      <c r="A223" s="4" t="s">
        <v>54</v>
      </c>
      <c r="B223" s="3">
        <v>48944</v>
      </c>
      <c r="C223" s="6">
        <v>1525522869.6057744</v>
      </c>
      <c r="D223" s="6">
        <v>-220497085.68319008</v>
      </c>
    </row>
    <row r="224" spans="1:4">
      <c r="A224" s="4" t="s">
        <v>54</v>
      </c>
      <c r="B224" s="3">
        <v>49034</v>
      </c>
      <c r="C224" s="6">
        <v>1491622361.3923128</v>
      </c>
      <c r="D224" s="6">
        <v>-215597150.44578588</v>
      </c>
    </row>
    <row r="225" spans="1:4">
      <c r="A225" s="4" t="s">
        <v>54</v>
      </c>
      <c r="B225" s="3">
        <v>49125</v>
      </c>
      <c r="C225" s="6">
        <v>1457721853.1788511</v>
      </c>
      <c r="D225" s="6">
        <v>-210697215.20838165</v>
      </c>
    </row>
    <row r="226" spans="1:4">
      <c r="A226" s="4" t="s">
        <v>54</v>
      </c>
      <c r="B226" s="3">
        <v>49217</v>
      </c>
      <c r="C226" s="6">
        <v>1423821344.9653893</v>
      </c>
      <c r="D226" s="6">
        <v>-205797279.97097743</v>
      </c>
    </row>
    <row r="227" spans="1:4">
      <c r="A227" s="4" t="s">
        <v>54</v>
      </c>
      <c r="B227" s="3">
        <v>49309</v>
      </c>
      <c r="C227" s="6">
        <v>1423821344.9653893</v>
      </c>
      <c r="D227" s="6">
        <v>-205797279.97097743</v>
      </c>
    </row>
    <row r="228" spans="1:4">
      <c r="A228" s="4" t="s">
        <v>54</v>
      </c>
      <c r="B228" s="3">
        <v>49399</v>
      </c>
      <c r="C228" s="6">
        <v>1389920836.7519279</v>
      </c>
      <c r="D228" s="6">
        <v>-200897344.73357323</v>
      </c>
    </row>
    <row r="229" spans="1:4">
      <c r="A229" s="4" t="s">
        <v>54</v>
      </c>
      <c r="B229" s="3">
        <v>49490</v>
      </c>
      <c r="C229" s="6">
        <v>1356020328.5384662</v>
      </c>
      <c r="D229" s="6">
        <v>-195997409.49616897</v>
      </c>
    </row>
    <row r="230" spans="1:4">
      <c r="A230" s="4" t="s">
        <v>54</v>
      </c>
      <c r="B230" s="3">
        <v>49582</v>
      </c>
      <c r="C230" s="6">
        <v>1322119820.3250043</v>
      </c>
      <c r="D230" s="6">
        <v>-191097474.25876474</v>
      </c>
    </row>
    <row r="231" spans="1:4">
      <c r="A231" s="4" t="s">
        <v>54</v>
      </c>
      <c r="B231" s="3">
        <v>49674</v>
      </c>
      <c r="C231" s="6">
        <v>1322119820.3250043</v>
      </c>
      <c r="D231" s="6">
        <v>-191097474.25876474</v>
      </c>
    </row>
    <row r="232" spans="1:4">
      <c r="A232" s="4" t="s">
        <v>54</v>
      </c>
      <c r="B232" s="3">
        <v>49765</v>
      </c>
      <c r="C232" s="6">
        <v>1288219312.1115429</v>
      </c>
      <c r="D232" s="6">
        <v>-186197539.02136055</v>
      </c>
    </row>
    <row r="233" spans="1:4">
      <c r="A233" s="4" t="s">
        <v>54</v>
      </c>
      <c r="B233" s="3">
        <v>49856</v>
      </c>
      <c r="C233" s="6">
        <v>1254318803.8980813</v>
      </c>
      <c r="D233" s="6">
        <v>-181297603.78395632</v>
      </c>
    </row>
    <row r="234" spans="1:4">
      <c r="A234" s="4" t="s">
        <v>54</v>
      </c>
      <c r="B234" s="3">
        <v>49948</v>
      </c>
      <c r="C234" s="6">
        <v>1220418295.6846194</v>
      </c>
      <c r="D234" s="6">
        <v>-176397668.54655206</v>
      </c>
    </row>
    <row r="235" spans="1:4">
      <c r="A235" s="4" t="s">
        <v>54</v>
      </c>
      <c r="B235" s="3">
        <v>50040</v>
      </c>
      <c r="C235" s="6">
        <v>1220418295.6846194</v>
      </c>
      <c r="D235" s="6">
        <v>-176397668.54655206</v>
      </c>
    </row>
    <row r="236" spans="1:4">
      <c r="A236" s="4" t="s">
        <v>54</v>
      </c>
      <c r="B236" s="3">
        <v>50130</v>
      </c>
      <c r="C236" s="6">
        <v>1186517787.471158</v>
      </c>
      <c r="D236" s="6">
        <v>-171497733.30914786</v>
      </c>
    </row>
    <row r="237" spans="1:4">
      <c r="A237" s="4" t="s">
        <v>54</v>
      </c>
      <c r="B237" s="3">
        <v>50221</v>
      </c>
      <c r="C237" s="6">
        <v>1152617279.2576962</v>
      </c>
      <c r="D237" s="6">
        <v>-166597798.07174364</v>
      </c>
    </row>
    <row r="238" spans="1:4">
      <c r="A238" s="4" t="s">
        <v>54</v>
      </c>
      <c r="B238" s="3">
        <v>50313</v>
      </c>
      <c r="C238" s="6">
        <v>1118716771.0442345</v>
      </c>
      <c r="D238" s="6">
        <v>-161697862.83433941</v>
      </c>
    </row>
    <row r="239" spans="1:4">
      <c r="A239" s="4" t="s">
        <v>54</v>
      </c>
      <c r="B239" s="3">
        <v>50405</v>
      </c>
      <c r="C239" s="6">
        <v>1118716771.0442345</v>
      </c>
      <c r="D239" s="6">
        <v>-161697862.83433941</v>
      </c>
    </row>
    <row r="240" spans="1:4">
      <c r="A240" s="4" t="s">
        <v>54</v>
      </c>
      <c r="B240" s="3">
        <v>50495</v>
      </c>
      <c r="C240" s="6">
        <v>1084816262.8307731</v>
      </c>
      <c r="D240" s="6">
        <v>-156797927.59693521</v>
      </c>
    </row>
    <row r="241" spans="1:4">
      <c r="A241" s="4" t="s">
        <v>54</v>
      </c>
      <c r="B241" s="3">
        <v>50586</v>
      </c>
      <c r="C241" s="6">
        <v>1050915754.6173114</v>
      </c>
      <c r="D241" s="6">
        <v>-151897992.35953096</v>
      </c>
    </row>
    <row r="242" spans="1:4">
      <c r="A242" s="4" t="s">
        <v>54</v>
      </c>
      <c r="B242" s="3">
        <v>50678</v>
      </c>
      <c r="C242" s="6">
        <v>1017015246.4038496</v>
      </c>
      <c r="D242" s="6">
        <v>-146998057.12212673</v>
      </c>
    </row>
    <row r="243" spans="1:4">
      <c r="A243" s="4" t="s">
        <v>54</v>
      </c>
      <c r="B243" s="3">
        <v>50770</v>
      </c>
      <c r="C243" s="6">
        <v>1017015246.4038496</v>
      </c>
      <c r="D243" s="6">
        <v>-146998057.12212673</v>
      </c>
    </row>
    <row r="244" spans="1:4">
      <c r="A244" s="4" t="s">
        <v>54</v>
      </c>
      <c r="B244" s="3">
        <v>50860</v>
      </c>
      <c r="C244" s="6">
        <v>983114738.19038808</v>
      </c>
      <c r="D244" s="6">
        <v>-142098121.88472253</v>
      </c>
    </row>
    <row r="245" spans="1:4">
      <c r="A245" s="4" t="s">
        <v>54</v>
      </c>
      <c r="B245" s="3">
        <v>50951</v>
      </c>
      <c r="C245" s="6">
        <v>949214229.97692633</v>
      </c>
      <c r="D245" s="6">
        <v>-137198186.6473183</v>
      </c>
    </row>
    <row r="246" spans="1:4">
      <c r="A246" s="4" t="s">
        <v>54</v>
      </c>
      <c r="B246" s="3">
        <v>51043</v>
      </c>
      <c r="C246" s="6">
        <v>915313721.76346469</v>
      </c>
      <c r="D246" s="6">
        <v>-132298251.40991406</v>
      </c>
    </row>
    <row r="247" spans="1:4">
      <c r="A247" s="4" t="s">
        <v>54</v>
      </c>
      <c r="B247" s="3">
        <v>51135</v>
      </c>
      <c r="C247" s="6">
        <v>915313721.76346469</v>
      </c>
      <c r="D247" s="6">
        <v>-132298251.40991406</v>
      </c>
    </row>
    <row r="248" spans="1:4">
      <c r="A248" s="4" t="s">
        <v>54</v>
      </c>
      <c r="B248" s="3">
        <v>51226</v>
      </c>
      <c r="C248" s="6">
        <v>881413213.55000317</v>
      </c>
      <c r="D248" s="6">
        <v>-127398316.17250986</v>
      </c>
    </row>
    <row r="249" spans="1:4">
      <c r="A249" s="4" t="s">
        <v>54</v>
      </c>
      <c r="B249" s="3">
        <v>51317</v>
      </c>
      <c r="C249" s="6">
        <v>847512705.3365413</v>
      </c>
      <c r="D249" s="6">
        <v>-122498380.93510561</v>
      </c>
    </row>
    <row r="250" spans="1:4">
      <c r="A250" s="4" t="s">
        <v>54</v>
      </c>
      <c r="B250" s="3">
        <v>51409</v>
      </c>
      <c r="C250" s="6">
        <v>813612197.12307966</v>
      </c>
      <c r="D250" s="6">
        <v>-117598445.69770138</v>
      </c>
    </row>
    <row r="251" spans="1:4">
      <c r="A251" s="4" t="s">
        <v>54</v>
      </c>
      <c r="B251" s="3">
        <v>51501</v>
      </c>
      <c r="C251" s="6">
        <v>813612197.12307966</v>
      </c>
      <c r="D251" s="6">
        <v>-117598445.69770138</v>
      </c>
    </row>
    <row r="252" spans="1:4">
      <c r="A252" s="4" t="s">
        <v>54</v>
      </c>
      <c r="B252" s="3">
        <v>51591</v>
      </c>
      <c r="C252" s="6">
        <v>779711688.90961802</v>
      </c>
      <c r="D252" s="6">
        <v>-112698510.46029717</v>
      </c>
    </row>
    <row r="253" spans="1:4">
      <c r="A253" s="4" t="s">
        <v>54</v>
      </c>
      <c r="B253" s="3">
        <v>51682</v>
      </c>
      <c r="C253" s="6">
        <v>745811180.69615638</v>
      </c>
      <c r="D253" s="6">
        <v>-107798575.22289294</v>
      </c>
    </row>
    <row r="254" spans="1:4">
      <c r="A254" s="4" t="s">
        <v>54</v>
      </c>
      <c r="B254" s="3">
        <v>51774</v>
      </c>
      <c r="C254" s="6">
        <v>711910672.48269463</v>
      </c>
      <c r="D254" s="6">
        <v>-102898639.98548871</v>
      </c>
    </row>
    <row r="255" spans="1:4">
      <c r="A255" s="4" t="s">
        <v>54</v>
      </c>
      <c r="B255" s="3">
        <v>51866</v>
      </c>
      <c r="C255" s="6">
        <v>711910672.48269463</v>
      </c>
      <c r="D255" s="6">
        <v>-102898639.98548871</v>
      </c>
    </row>
    <row r="256" spans="1:4">
      <c r="A256" s="4" t="s">
        <v>54</v>
      </c>
      <c r="B256" s="3">
        <v>51956</v>
      </c>
      <c r="C256" s="6">
        <v>678010164.26923311</v>
      </c>
      <c r="D256" s="6">
        <v>-97998704.748084486</v>
      </c>
    </row>
    <row r="257" spans="1:4">
      <c r="A257" s="4" t="s">
        <v>54</v>
      </c>
      <c r="B257" s="3">
        <v>52047</v>
      </c>
      <c r="C257" s="6">
        <v>644109656.05577147</v>
      </c>
      <c r="D257" s="6">
        <v>-93098769.510680273</v>
      </c>
    </row>
    <row r="258" spans="1:4">
      <c r="A258" s="4" t="s">
        <v>54</v>
      </c>
      <c r="B258" s="3">
        <v>52139</v>
      </c>
      <c r="C258" s="6">
        <v>610209147.84230971</v>
      </c>
      <c r="D258" s="6">
        <v>-88198834.273276031</v>
      </c>
    </row>
    <row r="259" spans="1:4">
      <c r="A259" s="4" t="s">
        <v>54</v>
      </c>
      <c r="B259" s="3">
        <v>52231</v>
      </c>
      <c r="C259" s="6">
        <v>610209147.84230971</v>
      </c>
      <c r="D259" s="6">
        <v>-88198834.273276031</v>
      </c>
    </row>
    <row r="260" spans="1:4">
      <c r="A260" s="4" t="s">
        <v>54</v>
      </c>
      <c r="B260" s="3">
        <v>52321</v>
      </c>
      <c r="C260" s="6">
        <v>576308639.62884808</v>
      </c>
      <c r="D260" s="6">
        <v>-83298899.035871819</v>
      </c>
    </row>
    <row r="261" spans="1:4">
      <c r="A261" s="4" t="s">
        <v>54</v>
      </c>
      <c r="B261" s="3">
        <v>52412</v>
      </c>
      <c r="C261" s="6">
        <v>542408131.41538656</v>
      </c>
      <c r="D261" s="6">
        <v>-78398963.798467606</v>
      </c>
    </row>
    <row r="262" spans="1:4">
      <c r="A262" s="4" t="s">
        <v>54</v>
      </c>
      <c r="B262" s="3">
        <v>52504</v>
      </c>
      <c r="C262" s="6">
        <v>508507623.2019248</v>
      </c>
      <c r="D262" s="6">
        <v>-73499028.561063364</v>
      </c>
    </row>
    <row r="263" spans="1:4">
      <c r="A263" s="4" t="s">
        <v>54</v>
      </c>
      <c r="B263" s="3">
        <v>52596</v>
      </c>
      <c r="C263" s="6">
        <v>508507623.2019248</v>
      </c>
      <c r="D263" s="6">
        <v>-73499028.561063364</v>
      </c>
    </row>
    <row r="264" spans="1:4">
      <c r="A264" s="4" t="s">
        <v>54</v>
      </c>
      <c r="B264" s="3">
        <v>52687</v>
      </c>
      <c r="C264" s="6">
        <v>474607114.98846316</v>
      </c>
      <c r="D264" s="6">
        <v>-68599093.323659152</v>
      </c>
    </row>
    <row r="265" spans="1:4">
      <c r="A265" s="4" t="s">
        <v>54</v>
      </c>
      <c r="B265" s="3">
        <v>52778</v>
      </c>
      <c r="C265" s="6">
        <v>440706606.77500159</v>
      </c>
      <c r="D265" s="6">
        <v>-63699158.086254932</v>
      </c>
    </row>
    <row r="266" spans="1:4">
      <c r="A266" s="4" t="s">
        <v>54</v>
      </c>
      <c r="B266" s="3">
        <v>52870</v>
      </c>
      <c r="C266" s="6">
        <v>406806098.56153989</v>
      </c>
      <c r="D266" s="6">
        <v>-58799222.848850705</v>
      </c>
    </row>
    <row r="267" spans="1:4">
      <c r="A267" s="4" t="s">
        <v>54</v>
      </c>
      <c r="B267" s="3">
        <v>52962</v>
      </c>
      <c r="C267" s="6">
        <v>406806098.56153989</v>
      </c>
      <c r="D267" s="6">
        <v>-58799222.848850705</v>
      </c>
    </row>
    <row r="268" spans="1:4">
      <c r="A268" s="4" t="s">
        <v>54</v>
      </c>
      <c r="B268" s="3">
        <v>53052</v>
      </c>
      <c r="C268" s="6">
        <v>372905590.34807825</v>
      </c>
      <c r="D268" s="6">
        <v>-53899287.611446477</v>
      </c>
    </row>
    <row r="269" spans="1:4">
      <c r="A269" s="4" t="s">
        <v>54</v>
      </c>
      <c r="B269" s="3">
        <v>53143</v>
      </c>
      <c r="C269" s="6">
        <v>339005082.13461655</v>
      </c>
      <c r="D269" s="6">
        <v>-48999352.37404225</v>
      </c>
    </row>
    <row r="270" spans="1:4">
      <c r="A270" s="4" t="s">
        <v>54</v>
      </c>
      <c r="B270" s="3">
        <v>53235</v>
      </c>
      <c r="C270" s="6">
        <v>305104573.92115498</v>
      </c>
      <c r="D270" s="6">
        <v>-44099417.13663803</v>
      </c>
    </row>
    <row r="271" spans="1:4">
      <c r="A271" s="4" t="s">
        <v>54</v>
      </c>
      <c r="B271" s="3">
        <v>53327</v>
      </c>
      <c r="C271" s="6">
        <v>305104573.92115498</v>
      </c>
      <c r="D271" s="6">
        <v>-44099417.13663803</v>
      </c>
    </row>
    <row r="272" spans="1:4">
      <c r="A272" s="4" t="s">
        <v>54</v>
      </c>
      <c r="B272" s="3">
        <v>53417</v>
      </c>
      <c r="C272" s="6">
        <v>271204065.70769328</v>
      </c>
      <c r="D272" s="6">
        <v>-39199481.899233803</v>
      </c>
    </row>
    <row r="273" spans="1:4">
      <c r="A273" s="4" t="s">
        <v>54</v>
      </c>
      <c r="B273" s="3">
        <v>53508</v>
      </c>
      <c r="C273" s="6">
        <v>237303557.49423158</v>
      </c>
      <c r="D273" s="6">
        <v>-34299546.661829576</v>
      </c>
    </row>
    <row r="274" spans="1:4">
      <c r="A274" s="4" t="s">
        <v>54</v>
      </c>
      <c r="B274" s="3">
        <v>53600</v>
      </c>
      <c r="C274" s="6">
        <v>203403049.28076994</v>
      </c>
      <c r="D274" s="6">
        <v>-29399611.424425352</v>
      </c>
    </row>
    <row r="275" spans="1:4">
      <c r="A275" s="4" t="s">
        <v>54</v>
      </c>
      <c r="B275" s="3">
        <v>53692</v>
      </c>
      <c r="C275" s="6">
        <v>203403049.28076994</v>
      </c>
      <c r="D275" s="6">
        <v>-29399611.424425352</v>
      </c>
    </row>
    <row r="276" spans="1:4">
      <c r="A276" s="4" t="s">
        <v>54</v>
      </c>
      <c r="B276" s="3">
        <v>53782</v>
      </c>
      <c r="C276" s="6">
        <v>169502541.06730828</v>
      </c>
      <c r="D276" s="6">
        <v>-24499676.187021125</v>
      </c>
    </row>
    <row r="277" spans="1:4">
      <c r="A277" s="4" t="s">
        <v>54</v>
      </c>
      <c r="B277" s="3">
        <v>53873</v>
      </c>
      <c r="C277" s="6">
        <v>135602032.85384664</v>
      </c>
      <c r="D277" s="6">
        <v>-19599740.949616902</v>
      </c>
    </row>
    <row r="278" spans="1:4">
      <c r="A278" s="4" t="s">
        <v>54</v>
      </c>
      <c r="B278" s="3">
        <v>53965</v>
      </c>
      <c r="C278" s="6">
        <v>101701524.64038497</v>
      </c>
      <c r="D278" s="6">
        <v>-14699805.712212676</v>
      </c>
    </row>
    <row r="279" spans="1:4">
      <c r="A279" s="4" t="s">
        <v>54</v>
      </c>
      <c r="B279" s="3">
        <v>54057</v>
      </c>
      <c r="C279" s="6">
        <v>101701524.64038497</v>
      </c>
      <c r="D279" s="6">
        <v>-14699805.712212676</v>
      </c>
    </row>
    <row r="280" spans="1:4">
      <c r="A280" s="4" t="s">
        <v>54</v>
      </c>
      <c r="B280" s="3">
        <v>54148</v>
      </c>
      <c r="C280" s="6">
        <v>67801016.42692332</v>
      </c>
      <c r="D280" s="6">
        <v>-9799870.4748084508</v>
      </c>
    </row>
    <row r="281" spans="1:4">
      <c r="A281" s="4" t="s">
        <v>54</v>
      </c>
      <c r="B281" s="3">
        <v>54239</v>
      </c>
      <c r="C281" s="6">
        <v>33900508.21346166</v>
      </c>
      <c r="D281" s="6">
        <v>-4899935.2374042254</v>
      </c>
    </row>
    <row r="282" spans="1:4">
      <c r="A282" s="4" t="s">
        <v>54</v>
      </c>
      <c r="B282" s="3">
        <v>54331</v>
      </c>
      <c r="C282" s="6">
        <v>0</v>
      </c>
      <c r="D282" s="6">
        <v>0</v>
      </c>
    </row>
    <row r="283" spans="1:4">
      <c r="A283" s="4" t="s">
        <v>54</v>
      </c>
      <c r="B283" s="3">
        <v>54423</v>
      </c>
      <c r="C283" s="6">
        <v>0</v>
      </c>
      <c r="D283" s="6">
        <v>0</v>
      </c>
    </row>
    <row r="284" spans="1:4">
      <c r="A284" s="4" t="s">
        <v>54</v>
      </c>
      <c r="B284" s="3">
        <v>54513</v>
      </c>
      <c r="C284" s="6">
        <v>0</v>
      </c>
      <c r="D284" s="6">
        <v>0</v>
      </c>
    </row>
    <row r="285" spans="1:4">
      <c r="A285" s="4" t="s">
        <v>54</v>
      </c>
      <c r="B285" s="3">
        <v>54604</v>
      </c>
      <c r="C285" s="6">
        <v>0</v>
      </c>
      <c r="D285" s="6">
        <v>0</v>
      </c>
    </row>
    <row r="286" spans="1:4">
      <c r="A286" s="4" t="s">
        <v>54</v>
      </c>
      <c r="B286" s="3">
        <v>54696</v>
      </c>
      <c r="C286" s="6">
        <v>0</v>
      </c>
      <c r="D286" s="6">
        <v>0</v>
      </c>
    </row>
    <row r="287" spans="1:4">
      <c r="A287" s="4" t="s">
        <v>54</v>
      </c>
      <c r="B287" s="3">
        <v>54788</v>
      </c>
      <c r="C287" s="6">
        <v>0</v>
      </c>
      <c r="D287" s="6">
        <v>0</v>
      </c>
    </row>
    <row r="288" spans="1:4">
      <c r="A288" s="4" t="s">
        <v>55</v>
      </c>
      <c r="B288" s="3">
        <v>45747</v>
      </c>
      <c r="C288" s="6">
        <v>-350870260.00932807</v>
      </c>
      <c r="D288" s="6">
        <v>114032834.50303164</v>
      </c>
    </row>
    <row r="289" spans="1:4">
      <c r="A289" s="4" t="s">
        <v>55</v>
      </c>
      <c r="B289" s="3">
        <v>45838</v>
      </c>
      <c r="C289" s="6">
        <v>-701740520.01865613</v>
      </c>
      <c r="D289" s="6">
        <v>228065669.00606328</v>
      </c>
    </row>
    <row r="290" spans="1:4">
      <c r="A290" s="4" t="s">
        <v>55</v>
      </c>
      <c r="B290" s="3">
        <v>45930</v>
      </c>
      <c r="C290" s="6">
        <v>-1052610780.0279843</v>
      </c>
      <c r="D290" s="6">
        <v>342098503.50909495</v>
      </c>
    </row>
    <row r="291" spans="1:4">
      <c r="A291" s="4" t="s">
        <v>55</v>
      </c>
      <c r="B291" s="3">
        <v>46022</v>
      </c>
      <c r="C291" s="6">
        <v>-1052610780.0279843</v>
      </c>
      <c r="D291" s="6">
        <v>342098503.50909495</v>
      </c>
    </row>
    <row r="292" spans="1:4">
      <c r="A292" s="4" t="s">
        <v>55</v>
      </c>
      <c r="B292" s="3">
        <v>46112</v>
      </c>
      <c r="C292" s="6">
        <v>-1037355551.3319266</v>
      </c>
      <c r="D292" s="6">
        <v>337140554.18287617</v>
      </c>
    </row>
    <row r="293" spans="1:4">
      <c r="A293" s="4" t="s">
        <v>55</v>
      </c>
      <c r="B293" s="3">
        <v>46203</v>
      </c>
      <c r="C293" s="6">
        <v>-1022100322.6358687</v>
      </c>
      <c r="D293" s="6">
        <v>332182604.85665739</v>
      </c>
    </row>
    <row r="294" spans="1:4">
      <c r="A294" s="4" t="s">
        <v>55</v>
      </c>
      <c r="B294" s="3">
        <v>46295</v>
      </c>
      <c r="C294" s="6">
        <v>-1006845093.939811</v>
      </c>
      <c r="D294" s="6">
        <v>327224655.53043866</v>
      </c>
    </row>
    <row r="295" spans="1:4">
      <c r="A295" s="4" t="s">
        <v>55</v>
      </c>
      <c r="B295" s="3">
        <v>46387</v>
      </c>
      <c r="C295" s="6">
        <v>-1006845093.939811</v>
      </c>
      <c r="D295" s="6">
        <v>327224655.53043866</v>
      </c>
    </row>
    <row r="296" spans="1:4">
      <c r="A296" s="4" t="s">
        <v>55</v>
      </c>
      <c r="B296" s="3">
        <v>46477</v>
      </c>
      <c r="C296" s="6">
        <v>-991589865.24375319</v>
      </c>
      <c r="D296" s="6">
        <v>322266706.20421982</v>
      </c>
    </row>
    <row r="297" spans="1:4">
      <c r="A297" s="4" t="s">
        <v>55</v>
      </c>
      <c r="B297" s="3">
        <v>46568</v>
      </c>
      <c r="C297" s="6">
        <v>-976334636.54769564</v>
      </c>
      <c r="D297" s="6">
        <v>317308756.87800115</v>
      </c>
    </row>
    <row r="298" spans="1:4">
      <c r="A298" s="4" t="s">
        <v>55</v>
      </c>
      <c r="B298" s="3">
        <v>46660</v>
      </c>
      <c r="C298" s="6">
        <v>-961079407.85163784</v>
      </c>
      <c r="D298" s="6">
        <v>312350807.55178237</v>
      </c>
    </row>
    <row r="299" spans="1:4">
      <c r="A299" s="4" t="s">
        <v>55</v>
      </c>
      <c r="B299" s="3">
        <v>46752</v>
      </c>
      <c r="C299" s="6">
        <v>-961079407.85163784</v>
      </c>
      <c r="D299" s="6">
        <v>312350807.55178237</v>
      </c>
    </row>
    <row r="300" spans="1:4">
      <c r="A300" s="4" t="s">
        <v>55</v>
      </c>
      <c r="B300" s="3">
        <v>46843</v>
      </c>
      <c r="C300" s="6">
        <v>-945824179.15558016</v>
      </c>
      <c r="D300" s="6">
        <v>307392858.22556359</v>
      </c>
    </row>
    <row r="301" spans="1:4">
      <c r="A301" s="4" t="s">
        <v>55</v>
      </c>
      <c r="B301" s="3">
        <v>46934</v>
      </c>
      <c r="C301" s="6">
        <v>-930568950.45952225</v>
      </c>
      <c r="D301" s="6">
        <v>302434908.8993448</v>
      </c>
    </row>
    <row r="302" spans="1:4">
      <c r="A302" s="4" t="s">
        <v>55</v>
      </c>
      <c r="B302" s="3">
        <v>47026</v>
      </c>
      <c r="C302" s="6">
        <v>-915313721.76346457</v>
      </c>
      <c r="D302" s="6">
        <v>297476959.57312602</v>
      </c>
    </row>
    <row r="303" spans="1:4">
      <c r="A303" s="4" t="s">
        <v>55</v>
      </c>
      <c r="B303" s="3">
        <v>47118</v>
      </c>
      <c r="C303" s="6">
        <v>-915313721.76346457</v>
      </c>
      <c r="D303" s="6">
        <v>297476959.57312602</v>
      </c>
    </row>
    <row r="304" spans="1:4">
      <c r="A304" s="4" t="s">
        <v>55</v>
      </c>
      <c r="B304" s="3">
        <v>47208</v>
      </c>
      <c r="C304" s="6">
        <v>-900058493.06740677</v>
      </c>
      <c r="D304" s="6">
        <v>292519010.24690723</v>
      </c>
    </row>
    <row r="305" spans="1:4">
      <c r="A305" s="4" t="s">
        <v>55</v>
      </c>
      <c r="B305" s="3">
        <v>47299</v>
      </c>
      <c r="C305" s="6">
        <v>-884803264.37134922</v>
      </c>
      <c r="D305" s="6">
        <v>287561060.92068857</v>
      </c>
    </row>
    <row r="306" spans="1:4">
      <c r="A306" s="4" t="s">
        <v>55</v>
      </c>
      <c r="B306" s="3">
        <v>47391</v>
      </c>
      <c r="C306" s="6">
        <v>-869548035.67529142</v>
      </c>
      <c r="D306" s="6">
        <v>282603111.59446973</v>
      </c>
    </row>
    <row r="307" spans="1:4">
      <c r="A307" s="4" t="s">
        <v>55</v>
      </c>
      <c r="B307" s="3">
        <v>47483</v>
      </c>
      <c r="C307" s="6">
        <v>-869548035.67529142</v>
      </c>
      <c r="D307" s="6">
        <v>282603111.59446973</v>
      </c>
    </row>
    <row r="308" spans="1:4">
      <c r="A308" s="4" t="s">
        <v>55</v>
      </c>
      <c r="B308" s="3">
        <v>47573</v>
      </c>
      <c r="C308" s="6">
        <v>-854292806.97923374</v>
      </c>
      <c r="D308" s="6">
        <v>277645162.268251</v>
      </c>
    </row>
    <row r="309" spans="1:4">
      <c r="A309" s="4" t="s">
        <v>55</v>
      </c>
      <c r="B309" s="3">
        <v>47664</v>
      </c>
      <c r="C309" s="6">
        <v>-839037578.28317583</v>
      </c>
      <c r="D309" s="6">
        <v>272687212.94203222</v>
      </c>
    </row>
    <row r="310" spans="1:4">
      <c r="A310" s="4" t="s">
        <v>55</v>
      </c>
      <c r="B310" s="3">
        <v>47756</v>
      </c>
      <c r="C310" s="6">
        <v>-823782349.58711815</v>
      </c>
      <c r="D310" s="6">
        <v>267729263.61581343</v>
      </c>
    </row>
    <row r="311" spans="1:4">
      <c r="A311" s="4" t="s">
        <v>55</v>
      </c>
      <c r="B311" s="3">
        <v>47848</v>
      </c>
      <c r="C311" s="6">
        <v>-823782349.58711815</v>
      </c>
      <c r="D311" s="6">
        <v>267729263.61581343</v>
      </c>
    </row>
    <row r="312" spans="1:4">
      <c r="A312" s="4" t="s">
        <v>55</v>
      </c>
      <c r="B312" s="3">
        <v>47938</v>
      </c>
      <c r="C312" s="6">
        <v>-808527120.89106035</v>
      </c>
      <c r="D312" s="6">
        <v>262771314.28959465</v>
      </c>
    </row>
    <row r="313" spans="1:4">
      <c r="A313" s="4" t="s">
        <v>55</v>
      </c>
      <c r="B313" s="3">
        <v>48029</v>
      </c>
      <c r="C313" s="6">
        <v>-793271892.19500268</v>
      </c>
      <c r="D313" s="6">
        <v>257813364.9633759</v>
      </c>
    </row>
    <row r="314" spans="1:4">
      <c r="A314" s="4" t="s">
        <v>55</v>
      </c>
      <c r="B314" s="3">
        <v>48121</v>
      </c>
      <c r="C314" s="6">
        <v>-778016663.49894488</v>
      </c>
      <c r="D314" s="6">
        <v>252855415.63715711</v>
      </c>
    </row>
    <row r="315" spans="1:4">
      <c r="A315" s="4" t="s">
        <v>55</v>
      </c>
      <c r="B315" s="3">
        <v>48213</v>
      </c>
      <c r="C315" s="6">
        <v>-778016663.49894488</v>
      </c>
      <c r="D315" s="6">
        <v>252855415.63715711</v>
      </c>
    </row>
    <row r="316" spans="1:4">
      <c r="A316" s="4" t="s">
        <v>55</v>
      </c>
      <c r="B316" s="3">
        <v>48304</v>
      </c>
      <c r="C316" s="6">
        <v>-762761434.8028872</v>
      </c>
      <c r="D316" s="6">
        <v>247897466.31093836</v>
      </c>
    </row>
    <row r="317" spans="1:4">
      <c r="A317" s="4" t="s">
        <v>55</v>
      </c>
      <c r="B317" s="3">
        <v>48395</v>
      </c>
      <c r="C317" s="6">
        <v>-747506206.1068294</v>
      </c>
      <c r="D317" s="6">
        <v>242939516.9847196</v>
      </c>
    </row>
    <row r="318" spans="1:4">
      <c r="A318" s="4" t="s">
        <v>55</v>
      </c>
      <c r="B318" s="3">
        <v>48487</v>
      </c>
      <c r="C318" s="6">
        <v>-732250977.41077161</v>
      </c>
      <c r="D318" s="6">
        <v>237981567.65850082</v>
      </c>
    </row>
    <row r="319" spans="1:4">
      <c r="A319" s="4" t="s">
        <v>55</v>
      </c>
      <c r="B319" s="3">
        <v>48579</v>
      </c>
      <c r="C319" s="6">
        <v>-732250977.41077161</v>
      </c>
      <c r="D319" s="6">
        <v>237981567.65850082</v>
      </c>
    </row>
    <row r="320" spans="1:4">
      <c r="A320" s="4" t="s">
        <v>55</v>
      </c>
      <c r="B320" s="3">
        <v>48669</v>
      </c>
      <c r="C320" s="6">
        <v>-716995748.71471393</v>
      </c>
      <c r="D320" s="6">
        <v>233023618.33228207</v>
      </c>
    </row>
    <row r="321" spans="1:4">
      <c r="A321" s="4" t="s">
        <v>55</v>
      </c>
      <c r="B321" s="3">
        <v>48760</v>
      </c>
      <c r="C321" s="6">
        <v>-701740520.01865613</v>
      </c>
      <c r="D321" s="6">
        <v>228065669.00606328</v>
      </c>
    </row>
    <row r="322" spans="1:4">
      <c r="A322" s="4" t="s">
        <v>55</v>
      </c>
      <c r="B322" s="3">
        <v>48852</v>
      </c>
      <c r="C322" s="6">
        <v>-686485291.32259846</v>
      </c>
      <c r="D322" s="6">
        <v>223107719.67984453</v>
      </c>
    </row>
    <row r="323" spans="1:4">
      <c r="A323" s="4" t="s">
        <v>55</v>
      </c>
      <c r="B323" s="3">
        <v>48944</v>
      </c>
      <c r="C323" s="6">
        <v>-686485291.32259846</v>
      </c>
      <c r="D323" s="6">
        <v>223107719.67984453</v>
      </c>
    </row>
    <row r="324" spans="1:4">
      <c r="A324" s="4" t="s">
        <v>55</v>
      </c>
      <c r="B324" s="3">
        <v>49034</v>
      </c>
      <c r="C324" s="6">
        <v>-671230062.62654078</v>
      </c>
      <c r="D324" s="6">
        <v>218149770.35362577</v>
      </c>
    </row>
    <row r="325" spans="1:4">
      <c r="A325" s="4" t="s">
        <v>55</v>
      </c>
      <c r="B325" s="3">
        <v>49125</v>
      </c>
      <c r="C325" s="6">
        <v>-655974833.93048298</v>
      </c>
      <c r="D325" s="6">
        <v>213191821.02740699</v>
      </c>
    </row>
    <row r="326" spans="1:4">
      <c r="A326" s="4" t="s">
        <v>55</v>
      </c>
      <c r="B326" s="3">
        <v>49217</v>
      </c>
      <c r="C326" s="6">
        <v>-640719605.23442519</v>
      </c>
      <c r="D326" s="6">
        <v>208233871.70118821</v>
      </c>
    </row>
    <row r="327" spans="1:4">
      <c r="A327" s="4" t="s">
        <v>55</v>
      </c>
      <c r="B327" s="3">
        <v>49309</v>
      </c>
      <c r="C327" s="6">
        <v>-640719605.23442519</v>
      </c>
      <c r="D327" s="6">
        <v>208233871.70118821</v>
      </c>
    </row>
    <row r="328" spans="1:4">
      <c r="A328" s="4" t="s">
        <v>55</v>
      </c>
      <c r="B328" s="3">
        <v>49399</v>
      </c>
      <c r="C328" s="6">
        <v>-625464376.53836751</v>
      </c>
      <c r="D328" s="6">
        <v>203275922.37496948</v>
      </c>
    </row>
    <row r="329" spans="1:4">
      <c r="A329" s="4" t="s">
        <v>55</v>
      </c>
      <c r="B329" s="3">
        <v>49490</v>
      </c>
      <c r="C329" s="6">
        <v>-610209147.84230971</v>
      </c>
      <c r="D329" s="6">
        <v>198317973.0487507</v>
      </c>
    </row>
    <row r="330" spans="1:4">
      <c r="A330" s="4" t="s">
        <v>55</v>
      </c>
      <c r="B330" s="3">
        <v>49582</v>
      </c>
      <c r="C330" s="6">
        <v>-594953919.14625192</v>
      </c>
      <c r="D330" s="6">
        <v>193360023.72253191</v>
      </c>
    </row>
    <row r="331" spans="1:4">
      <c r="A331" s="4" t="s">
        <v>55</v>
      </c>
      <c r="B331" s="3">
        <v>49674</v>
      </c>
      <c r="C331" s="6">
        <v>-594953919.14625192</v>
      </c>
      <c r="D331" s="6">
        <v>193360023.72253191</v>
      </c>
    </row>
    <row r="332" spans="1:4">
      <c r="A332" s="4" t="s">
        <v>55</v>
      </c>
      <c r="B332" s="3">
        <v>49765</v>
      </c>
      <c r="C332" s="6">
        <v>-579698690.45019424</v>
      </c>
      <c r="D332" s="6">
        <v>188402074.39631316</v>
      </c>
    </row>
    <row r="333" spans="1:4">
      <c r="A333" s="4" t="s">
        <v>55</v>
      </c>
      <c r="B333" s="3">
        <v>49856</v>
      </c>
      <c r="C333" s="6">
        <v>-564443461.75413656</v>
      </c>
      <c r="D333" s="6">
        <v>183444125.07009441</v>
      </c>
    </row>
    <row r="334" spans="1:4">
      <c r="A334" s="4" t="s">
        <v>55</v>
      </c>
      <c r="B334" s="3">
        <v>49948</v>
      </c>
      <c r="C334" s="6">
        <v>-549188233.05807877</v>
      </c>
      <c r="D334" s="6">
        <v>178486175.74387562</v>
      </c>
    </row>
    <row r="335" spans="1:4">
      <c r="A335" s="4" t="s">
        <v>55</v>
      </c>
      <c r="B335" s="3">
        <v>50040</v>
      </c>
      <c r="C335" s="6">
        <v>-549188233.05807877</v>
      </c>
      <c r="D335" s="6">
        <v>178486175.74387562</v>
      </c>
    </row>
    <row r="336" spans="1:4">
      <c r="A336" s="4" t="s">
        <v>55</v>
      </c>
      <c r="B336" s="3">
        <v>50130</v>
      </c>
      <c r="C336" s="6">
        <v>-533933004.36202109</v>
      </c>
      <c r="D336" s="6">
        <v>173528226.41765687</v>
      </c>
    </row>
    <row r="337" spans="1:4">
      <c r="A337" s="4" t="s">
        <v>55</v>
      </c>
      <c r="B337" s="3">
        <v>50221</v>
      </c>
      <c r="C337" s="6">
        <v>-518677775.66596329</v>
      </c>
      <c r="D337" s="6">
        <v>168570277.09143808</v>
      </c>
    </row>
    <row r="338" spans="1:4">
      <c r="A338" s="4" t="s">
        <v>55</v>
      </c>
      <c r="B338" s="3">
        <v>50313</v>
      </c>
      <c r="C338" s="6">
        <v>-503422546.9699055</v>
      </c>
      <c r="D338" s="6">
        <v>163612327.76521933</v>
      </c>
    </row>
    <row r="339" spans="1:4">
      <c r="A339" s="4" t="s">
        <v>55</v>
      </c>
      <c r="B339" s="3">
        <v>50405</v>
      </c>
      <c r="C339" s="6">
        <v>-503422546.9699055</v>
      </c>
      <c r="D339" s="6">
        <v>163612327.76521933</v>
      </c>
    </row>
    <row r="340" spans="1:4">
      <c r="A340" s="4" t="s">
        <v>55</v>
      </c>
      <c r="B340" s="3">
        <v>50495</v>
      </c>
      <c r="C340" s="6">
        <v>-488167318.27384782</v>
      </c>
      <c r="D340" s="6">
        <v>158654378.43900058</v>
      </c>
    </row>
    <row r="341" spans="1:4">
      <c r="A341" s="4" t="s">
        <v>55</v>
      </c>
      <c r="B341" s="3">
        <v>50586</v>
      </c>
      <c r="C341" s="6">
        <v>-472912089.57779008</v>
      </c>
      <c r="D341" s="6">
        <v>153696429.11278179</v>
      </c>
    </row>
    <row r="342" spans="1:4">
      <c r="A342" s="4" t="s">
        <v>55</v>
      </c>
      <c r="B342" s="3">
        <v>50678</v>
      </c>
      <c r="C342" s="6">
        <v>-457656860.88173229</v>
      </c>
      <c r="D342" s="6">
        <v>148738479.78656301</v>
      </c>
    </row>
    <row r="343" spans="1:4">
      <c r="A343" s="4" t="s">
        <v>55</v>
      </c>
      <c r="B343" s="3">
        <v>50770</v>
      </c>
      <c r="C343" s="6">
        <v>-457656860.88173229</v>
      </c>
      <c r="D343" s="6">
        <v>148738479.78656301</v>
      </c>
    </row>
    <row r="344" spans="1:4">
      <c r="A344" s="4" t="s">
        <v>55</v>
      </c>
      <c r="B344" s="3">
        <v>50860</v>
      </c>
      <c r="C344" s="6">
        <v>-442401632.18567461</v>
      </c>
      <c r="D344" s="6">
        <v>143780530.46034428</v>
      </c>
    </row>
    <row r="345" spans="1:4">
      <c r="A345" s="4" t="s">
        <v>55</v>
      </c>
      <c r="B345" s="3">
        <v>50951</v>
      </c>
      <c r="C345" s="6">
        <v>-427146403.48961687</v>
      </c>
      <c r="D345" s="6">
        <v>138822581.1341255</v>
      </c>
    </row>
    <row r="346" spans="1:4">
      <c r="A346" s="4" t="s">
        <v>55</v>
      </c>
      <c r="B346" s="3">
        <v>51043</v>
      </c>
      <c r="C346" s="6">
        <v>-411891174.79355907</v>
      </c>
      <c r="D346" s="6">
        <v>133864631.80790672</v>
      </c>
    </row>
    <row r="347" spans="1:4">
      <c r="A347" s="4" t="s">
        <v>55</v>
      </c>
      <c r="B347" s="3">
        <v>51135</v>
      </c>
      <c r="C347" s="6">
        <v>-411891174.79355907</v>
      </c>
      <c r="D347" s="6">
        <v>133864631.80790672</v>
      </c>
    </row>
    <row r="348" spans="1:4">
      <c r="A348" s="4" t="s">
        <v>55</v>
      </c>
      <c r="B348" s="3">
        <v>51226</v>
      </c>
      <c r="C348" s="6">
        <v>-396635946.0975014</v>
      </c>
      <c r="D348" s="6">
        <v>128906682.48168798</v>
      </c>
    </row>
    <row r="349" spans="1:4">
      <c r="A349" s="4" t="s">
        <v>55</v>
      </c>
      <c r="B349" s="3">
        <v>51317</v>
      </c>
      <c r="C349" s="6">
        <v>-381380717.4014436</v>
      </c>
      <c r="D349" s="6">
        <v>123948733.15546918</v>
      </c>
    </row>
    <row r="350" spans="1:4">
      <c r="A350" s="4" t="s">
        <v>55</v>
      </c>
      <c r="B350" s="3">
        <v>51409</v>
      </c>
      <c r="C350" s="6">
        <v>-366125488.7053858</v>
      </c>
      <c r="D350" s="6">
        <v>118990783.82925041</v>
      </c>
    </row>
    <row r="351" spans="1:4">
      <c r="A351" s="4" t="s">
        <v>55</v>
      </c>
      <c r="B351" s="3">
        <v>51501</v>
      </c>
      <c r="C351" s="6">
        <v>-366125488.7053858</v>
      </c>
      <c r="D351" s="6">
        <v>118990783.82925041</v>
      </c>
    </row>
    <row r="352" spans="1:4">
      <c r="A352" s="4" t="s">
        <v>55</v>
      </c>
      <c r="B352" s="3">
        <v>51591</v>
      </c>
      <c r="C352" s="6">
        <v>-350870260.00932807</v>
      </c>
      <c r="D352" s="6">
        <v>114032834.50303164</v>
      </c>
    </row>
    <row r="353" spans="1:4">
      <c r="A353" s="4" t="s">
        <v>55</v>
      </c>
      <c r="B353" s="3">
        <v>51682</v>
      </c>
      <c r="C353" s="6">
        <v>-335615031.31327039</v>
      </c>
      <c r="D353" s="6">
        <v>109074885.17681289</v>
      </c>
    </row>
    <row r="354" spans="1:4">
      <c r="A354" s="4" t="s">
        <v>55</v>
      </c>
      <c r="B354" s="3">
        <v>51774</v>
      </c>
      <c r="C354" s="6">
        <v>-320359802.61721259</v>
      </c>
      <c r="D354" s="6">
        <v>104116935.8505941</v>
      </c>
    </row>
    <row r="355" spans="1:4">
      <c r="A355" s="4" t="s">
        <v>55</v>
      </c>
      <c r="B355" s="3">
        <v>51866</v>
      </c>
      <c r="C355" s="6">
        <v>-320359802.61721259</v>
      </c>
      <c r="D355" s="6">
        <v>104116935.8505941</v>
      </c>
    </row>
    <row r="356" spans="1:4">
      <c r="A356" s="4" t="s">
        <v>55</v>
      </c>
      <c r="B356" s="3">
        <v>51956</v>
      </c>
      <c r="C356" s="6">
        <v>-305104573.92115486</v>
      </c>
      <c r="D356" s="6">
        <v>99158986.524375349</v>
      </c>
    </row>
    <row r="357" spans="1:4">
      <c r="A357" s="4" t="s">
        <v>55</v>
      </c>
      <c r="B357" s="3">
        <v>52047</v>
      </c>
      <c r="C357" s="6">
        <v>-289849345.22509712</v>
      </c>
      <c r="D357" s="6">
        <v>94201037.19815658</v>
      </c>
    </row>
    <row r="358" spans="1:4">
      <c r="A358" s="4" t="s">
        <v>55</v>
      </c>
      <c r="B358" s="3">
        <v>52139</v>
      </c>
      <c r="C358" s="6">
        <v>-274594116.52903938</v>
      </c>
      <c r="D358" s="6">
        <v>89243087.871937811</v>
      </c>
    </row>
    <row r="359" spans="1:4">
      <c r="A359" s="4" t="s">
        <v>55</v>
      </c>
      <c r="B359" s="3">
        <v>52231</v>
      </c>
      <c r="C359" s="6">
        <v>-274594116.52903938</v>
      </c>
      <c r="D359" s="6">
        <v>89243087.871937811</v>
      </c>
    </row>
    <row r="360" spans="1:4">
      <c r="A360" s="4" t="s">
        <v>55</v>
      </c>
      <c r="B360" s="3">
        <v>52321</v>
      </c>
      <c r="C360" s="6">
        <v>-259338887.83298165</v>
      </c>
      <c r="D360" s="6">
        <v>84285138.545719042</v>
      </c>
    </row>
    <row r="361" spans="1:4">
      <c r="A361" s="4" t="s">
        <v>55</v>
      </c>
      <c r="B361" s="3">
        <v>52412</v>
      </c>
      <c r="C361" s="6">
        <v>-244083659.13692391</v>
      </c>
      <c r="D361" s="6">
        <v>79327189.219500288</v>
      </c>
    </row>
    <row r="362" spans="1:4">
      <c r="A362" s="4" t="s">
        <v>55</v>
      </c>
      <c r="B362" s="3">
        <v>52504</v>
      </c>
      <c r="C362" s="6">
        <v>-228828430.44086614</v>
      </c>
      <c r="D362" s="6">
        <v>74369239.893281505</v>
      </c>
    </row>
    <row r="363" spans="1:4">
      <c r="A363" s="4" t="s">
        <v>55</v>
      </c>
      <c r="B363" s="3">
        <v>52596</v>
      </c>
      <c r="C363" s="6">
        <v>-228828430.44086614</v>
      </c>
      <c r="D363" s="6">
        <v>74369239.893281505</v>
      </c>
    </row>
    <row r="364" spans="1:4">
      <c r="A364" s="4" t="s">
        <v>55</v>
      </c>
      <c r="B364" s="3">
        <v>52687</v>
      </c>
      <c r="C364" s="6">
        <v>-213573201.74480844</v>
      </c>
      <c r="D364" s="6">
        <v>69411290.56706275</v>
      </c>
    </row>
    <row r="365" spans="1:4">
      <c r="A365" s="4" t="s">
        <v>55</v>
      </c>
      <c r="B365" s="3">
        <v>52778</v>
      </c>
      <c r="C365" s="6">
        <v>-198317973.0487507</v>
      </c>
      <c r="D365" s="6">
        <v>64453341.240843989</v>
      </c>
    </row>
    <row r="366" spans="1:4">
      <c r="A366" s="4" t="s">
        <v>55</v>
      </c>
      <c r="B366" s="3">
        <v>52870</v>
      </c>
      <c r="C366" s="6">
        <v>-183062744.35269296</v>
      </c>
      <c r="D366" s="6">
        <v>59495391.91462522</v>
      </c>
    </row>
    <row r="367" spans="1:4">
      <c r="A367" s="4" t="s">
        <v>55</v>
      </c>
      <c r="B367" s="3">
        <v>52962</v>
      </c>
      <c r="C367" s="6">
        <v>-183062744.35269296</v>
      </c>
      <c r="D367" s="6">
        <v>59495391.91462522</v>
      </c>
    </row>
    <row r="368" spans="1:4">
      <c r="A368" s="4" t="s">
        <v>55</v>
      </c>
      <c r="B368" s="3">
        <v>53052</v>
      </c>
      <c r="C368" s="6">
        <v>-167807515.6566352</v>
      </c>
      <c r="D368" s="6">
        <v>54537442.588406451</v>
      </c>
    </row>
    <row r="369" spans="1:4">
      <c r="A369" s="4" t="s">
        <v>55</v>
      </c>
      <c r="B369" s="3">
        <v>53143</v>
      </c>
      <c r="C369" s="6">
        <v>-152552286.96057746</v>
      </c>
      <c r="D369" s="6">
        <v>49579493.262187682</v>
      </c>
    </row>
    <row r="370" spans="1:4">
      <c r="A370" s="4" t="s">
        <v>55</v>
      </c>
      <c r="B370" s="3">
        <v>53235</v>
      </c>
      <c r="C370" s="6">
        <v>-137297058.26451972</v>
      </c>
      <c r="D370" s="6">
        <v>44621543.935968921</v>
      </c>
    </row>
    <row r="371" spans="1:4">
      <c r="A371" s="4" t="s">
        <v>55</v>
      </c>
      <c r="B371" s="3">
        <v>53327</v>
      </c>
      <c r="C371" s="6">
        <v>-137297058.26451972</v>
      </c>
      <c r="D371" s="6">
        <v>44621543.935968921</v>
      </c>
    </row>
    <row r="372" spans="1:4">
      <c r="A372" s="4" t="s">
        <v>55</v>
      </c>
      <c r="B372" s="3">
        <v>53417</v>
      </c>
      <c r="C372" s="6">
        <v>-122041829.56846195</v>
      </c>
      <c r="D372" s="6">
        <v>39663594.609750144</v>
      </c>
    </row>
    <row r="373" spans="1:4">
      <c r="A373" s="4" t="s">
        <v>55</v>
      </c>
      <c r="B373" s="3">
        <v>53508</v>
      </c>
      <c r="C373" s="6">
        <v>-106786600.87240422</v>
      </c>
      <c r="D373" s="6">
        <v>34705645.283531375</v>
      </c>
    </row>
    <row r="374" spans="1:4">
      <c r="A374" s="4" t="s">
        <v>55</v>
      </c>
      <c r="B374" s="3">
        <v>53600</v>
      </c>
      <c r="C374" s="6">
        <v>-91531372.176346481</v>
      </c>
      <c r="D374" s="6">
        <v>29747695.95731261</v>
      </c>
    </row>
    <row r="375" spans="1:4">
      <c r="A375" s="4" t="s">
        <v>55</v>
      </c>
      <c r="B375" s="3">
        <v>53692</v>
      </c>
      <c r="C375" s="6">
        <v>-91531372.176346481</v>
      </c>
      <c r="D375" s="6">
        <v>29747695.95731261</v>
      </c>
    </row>
    <row r="376" spans="1:4">
      <c r="A376" s="4" t="s">
        <v>55</v>
      </c>
      <c r="B376" s="3">
        <v>53782</v>
      </c>
      <c r="C376" s="6">
        <v>-76276143.480288729</v>
      </c>
      <c r="D376" s="6">
        <v>24789746.631093841</v>
      </c>
    </row>
    <row r="377" spans="1:4">
      <c r="A377" s="4" t="s">
        <v>55</v>
      </c>
      <c r="B377" s="3">
        <v>53873</v>
      </c>
      <c r="C377" s="6">
        <v>-61020914.784230977</v>
      </c>
      <c r="D377" s="6">
        <v>19831797.304875072</v>
      </c>
    </row>
    <row r="378" spans="1:4">
      <c r="A378" s="4" t="s">
        <v>55</v>
      </c>
      <c r="B378" s="3">
        <v>53965</v>
      </c>
      <c r="C378" s="6">
        <v>-45765686.08817324</v>
      </c>
      <c r="D378" s="6">
        <v>14873847.978656305</v>
      </c>
    </row>
    <row r="379" spans="1:4">
      <c r="A379" s="4" t="s">
        <v>55</v>
      </c>
      <c r="B379" s="3">
        <v>54057</v>
      </c>
      <c r="C379" s="6">
        <v>-45765686.08817324</v>
      </c>
      <c r="D379" s="6">
        <v>14873847.978656305</v>
      </c>
    </row>
    <row r="380" spans="1:4">
      <c r="A380" s="4" t="s">
        <v>55</v>
      </c>
      <c r="B380" s="3">
        <v>54148</v>
      </c>
      <c r="C380" s="6">
        <v>-30510457.392115489</v>
      </c>
      <c r="D380" s="6">
        <v>9915898.652437536</v>
      </c>
    </row>
    <row r="381" spans="1:4">
      <c r="A381" s="4" t="s">
        <v>55</v>
      </c>
      <c r="B381" s="3">
        <v>54239</v>
      </c>
      <c r="C381" s="6">
        <v>-15255228.696057744</v>
      </c>
      <c r="D381" s="6">
        <v>4957949.326218768</v>
      </c>
    </row>
    <row r="382" spans="1:4">
      <c r="A382" s="4" t="s">
        <v>55</v>
      </c>
      <c r="B382" s="3">
        <v>54331</v>
      </c>
      <c r="C382" s="6">
        <v>0</v>
      </c>
      <c r="D382" s="6">
        <v>0</v>
      </c>
    </row>
    <row r="383" spans="1:4">
      <c r="A383" s="4" t="s">
        <v>55</v>
      </c>
      <c r="B383" s="3">
        <v>54423</v>
      </c>
      <c r="C383" s="6">
        <v>0</v>
      </c>
      <c r="D383" s="6">
        <v>0</v>
      </c>
    </row>
    <row r="384" spans="1:4">
      <c r="A384" s="4" t="s">
        <v>55</v>
      </c>
      <c r="B384" s="3">
        <v>54513</v>
      </c>
      <c r="C384" s="6">
        <v>0</v>
      </c>
      <c r="D384" s="6">
        <v>0</v>
      </c>
    </row>
    <row r="385" spans="1:4">
      <c r="A385" s="4" t="s">
        <v>55</v>
      </c>
      <c r="B385" s="3">
        <v>54604</v>
      </c>
      <c r="C385" s="6">
        <v>0</v>
      </c>
      <c r="D385" s="6">
        <v>0</v>
      </c>
    </row>
    <row r="386" spans="1:4">
      <c r="A386" s="4" t="s">
        <v>55</v>
      </c>
      <c r="B386" s="3">
        <v>54696</v>
      </c>
      <c r="C386" s="6">
        <v>0</v>
      </c>
      <c r="D386" s="6">
        <v>0</v>
      </c>
    </row>
    <row r="387" spans="1:4">
      <c r="A387" s="4" t="s">
        <v>55</v>
      </c>
      <c r="B387" s="3">
        <v>54788</v>
      </c>
      <c r="C387" s="6">
        <v>0</v>
      </c>
      <c r="D387" s="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8670-9A86-4AFE-9D3B-A3839942F47A}">
  <dimension ref="A1:E7"/>
  <sheetViews>
    <sheetView showGridLines="0" workbookViewId="0">
      <selection activeCell="E5" sqref="E5:E7"/>
    </sheetView>
  </sheetViews>
  <sheetFormatPr defaultRowHeight="14.5"/>
  <cols>
    <col min="1" max="1" width="18" bestFit="1" customWidth="1"/>
    <col min="2" max="2" width="11.81640625" bestFit="1" customWidth="1"/>
    <col min="3" max="3" width="20.81640625" bestFit="1" customWidth="1"/>
    <col min="4" max="4" width="23.7265625" bestFit="1" customWidth="1"/>
    <col min="5" max="5" width="22.7265625" bestFit="1" customWidth="1"/>
  </cols>
  <sheetData>
    <row r="1" spans="1:5">
      <c r="A1" t="s">
        <v>8</v>
      </c>
      <c r="B1" t="s">
        <v>15</v>
      </c>
      <c r="C1" t="s">
        <v>26</v>
      </c>
      <c r="D1" t="s">
        <v>27</v>
      </c>
      <c r="E1" t="s">
        <v>31</v>
      </c>
    </row>
    <row r="2" spans="1:5">
      <c r="A2" s="4" t="s">
        <v>54</v>
      </c>
      <c r="B2" s="3">
        <v>45747</v>
      </c>
      <c r="C2" s="5">
        <v>25082464610.223362</v>
      </c>
      <c r="D2" s="5">
        <v>-3762369691.5335045</v>
      </c>
      <c r="E2" s="5">
        <v>-1254123230.5111682</v>
      </c>
    </row>
    <row r="3" spans="1:5">
      <c r="A3" s="4" t="s">
        <v>54</v>
      </c>
      <c r="B3" s="3">
        <v>45838</v>
      </c>
      <c r="C3" s="5">
        <v>35441376240.230103</v>
      </c>
      <c r="D3" s="5">
        <v>-4961792673.6322145</v>
      </c>
      <c r="E3" s="5">
        <v>-1594861930.8103545</v>
      </c>
    </row>
    <row r="4" spans="1:5">
      <c r="A4" s="4" t="s">
        <v>54</v>
      </c>
      <c r="B4" s="3">
        <v>45930</v>
      </c>
      <c r="C4" s="6">
        <v>51754642352.531876</v>
      </c>
      <c r="D4" s="6">
        <v>-7504423141.1171217</v>
      </c>
      <c r="E4" s="6">
        <v>-2070185694.101275</v>
      </c>
    </row>
    <row r="5" spans="1:5">
      <c r="A5" s="4" t="s">
        <v>55</v>
      </c>
      <c r="B5" s="3">
        <v>45747</v>
      </c>
      <c r="C5" s="6">
        <v>-11287109074.600513</v>
      </c>
      <c r="D5" s="6">
        <v>3668310449.2451673</v>
      </c>
      <c r="E5" s="6">
        <v>0</v>
      </c>
    </row>
    <row r="6" spans="1:5">
      <c r="A6" s="4" t="s">
        <v>55</v>
      </c>
      <c r="B6" s="3">
        <v>45838</v>
      </c>
      <c r="C6" s="6">
        <v>-15948619308.103546</v>
      </c>
      <c r="D6" s="6">
        <v>5183301275.1336536</v>
      </c>
      <c r="E6" s="6">
        <v>0</v>
      </c>
    </row>
    <row r="7" spans="1:5">
      <c r="A7" s="4" t="s">
        <v>55</v>
      </c>
      <c r="B7" s="3">
        <v>45930</v>
      </c>
      <c r="C7" s="6">
        <v>-23289589058.639343</v>
      </c>
      <c r="D7" s="6">
        <v>7569116444.0577869</v>
      </c>
      <c r="E7" s="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DC02-0188-43BC-BE18-9487FA62CF10}">
  <dimension ref="A1:E13"/>
  <sheetViews>
    <sheetView showGridLines="0" workbookViewId="0">
      <selection activeCell="C5" sqref="C5"/>
    </sheetView>
  </sheetViews>
  <sheetFormatPr defaultRowHeight="14.5"/>
  <cols>
    <col min="1" max="1" width="18" bestFit="1" customWidth="1"/>
    <col min="2" max="2" width="11.81640625" bestFit="1" customWidth="1"/>
    <col min="3" max="3" width="20.81640625" bestFit="1" customWidth="1"/>
    <col min="4" max="4" width="23.7265625" bestFit="1" customWidth="1"/>
    <col min="5" max="5" width="22.7265625" bestFit="1" customWidth="1"/>
  </cols>
  <sheetData>
    <row r="1" spans="1:5">
      <c r="A1" t="s">
        <v>8</v>
      </c>
      <c r="B1" t="s">
        <v>15</v>
      </c>
      <c r="C1" t="s">
        <v>29</v>
      </c>
      <c r="D1" t="s">
        <v>30</v>
      </c>
      <c r="E1" t="s">
        <v>32</v>
      </c>
    </row>
    <row r="2" spans="1:5">
      <c r="A2" s="4" t="s">
        <v>54</v>
      </c>
      <c r="B2" s="3">
        <v>45747</v>
      </c>
      <c r="C2" s="5">
        <v>25082464610.223362</v>
      </c>
      <c r="D2" s="5">
        <v>-3762369691.5335045</v>
      </c>
      <c r="E2" s="5">
        <v>-1254123230.5111682</v>
      </c>
    </row>
    <row r="3" spans="1:5">
      <c r="A3" s="4" t="s">
        <v>54</v>
      </c>
      <c r="B3" s="3">
        <v>45838</v>
      </c>
      <c r="C3" s="5">
        <v>35441376240.230103</v>
      </c>
      <c r="D3" s="5">
        <v>-4961792673.6322145</v>
      </c>
      <c r="E3" s="5">
        <v>-1594861930.8103545</v>
      </c>
    </row>
    <row r="4" spans="1:5">
      <c r="A4" s="4" t="s">
        <v>54</v>
      </c>
      <c r="B4" s="3">
        <v>45930</v>
      </c>
      <c r="C4" s="6">
        <v>51754642352.531876</v>
      </c>
      <c r="D4" s="6">
        <v>-7504423141.1171217</v>
      </c>
      <c r="E4" s="6">
        <v>-2070185694.101275</v>
      </c>
    </row>
    <row r="5" spans="1:5">
      <c r="A5" s="4" t="s">
        <v>55</v>
      </c>
      <c r="B5" s="3">
        <v>45747</v>
      </c>
      <c r="C5" s="6">
        <v>-11287109074.600513</v>
      </c>
      <c r="D5" s="6">
        <v>3668310449.2451673</v>
      </c>
      <c r="E5" s="6">
        <v>0</v>
      </c>
    </row>
    <row r="6" spans="1:5">
      <c r="A6" s="4" t="s">
        <v>55</v>
      </c>
      <c r="B6" s="3">
        <v>45838</v>
      </c>
      <c r="C6" s="6">
        <v>-15948619308.103546</v>
      </c>
      <c r="D6" s="6">
        <v>5183301275.1336536</v>
      </c>
      <c r="E6" s="6">
        <v>0</v>
      </c>
    </row>
    <row r="7" spans="1:5">
      <c r="A7" s="4" t="s">
        <v>55</v>
      </c>
      <c r="B7" s="3">
        <v>45930</v>
      </c>
      <c r="C7" s="6">
        <v>-23289589058.639343</v>
      </c>
      <c r="D7" s="6">
        <v>7569116444.0577869</v>
      </c>
      <c r="E7" s="6">
        <v>0</v>
      </c>
    </row>
    <row r="8" spans="1:5">
      <c r="A8" s="4" t="s">
        <v>50</v>
      </c>
      <c r="B8" s="3">
        <v>45747</v>
      </c>
      <c r="C8" s="5">
        <v>1150571771.1111634</v>
      </c>
      <c r="D8" s="5">
        <v>-172585765.66667449</v>
      </c>
      <c r="E8" s="5">
        <v>0</v>
      </c>
    </row>
    <row r="9" spans="1:5">
      <c r="A9" s="4" t="s">
        <v>50</v>
      </c>
      <c r="B9" s="3">
        <v>45838</v>
      </c>
      <c r="C9" s="5">
        <v>325150240.73605597</v>
      </c>
      <c r="D9" s="5">
        <v>-45521033.703047842</v>
      </c>
      <c r="E9" s="5">
        <v>0</v>
      </c>
    </row>
    <row r="10" spans="1:5">
      <c r="A10" s="4" t="s">
        <v>50</v>
      </c>
      <c r="B10" s="3">
        <v>45930</v>
      </c>
      <c r="C10" s="6">
        <v>-949626465.18407106</v>
      </c>
      <c r="D10" s="6">
        <v>137695837.45169029</v>
      </c>
      <c r="E10" s="5">
        <v>0</v>
      </c>
    </row>
    <row r="11" spans="1:5">
      <c r="A11" s="4" t="s">
        <v>51</v>
      </c>
      <c r="B11" s="3">
        <v>45747</v>
      </c>
      <c r="C11" s="6">
        <v>-517757297.0000236</v>
      </c>
      <c r="D11" s="6">
        <v>168271121.52500767</v>
      </c>
      <c r="E11" s="6">
        <v>0</v>
      </c>
    </row>
    <row r="12" spans="1:5">
      <c r="A12" s="4" t="s">
        <v>51</v>
      </c>
      <c r="B12" s="3">
        <v>45838</v>
      </c>
      <c r="C12" s="6">
        <v>-146317608.33122519</v>
      </c>
      <c r="D12" s="6">
        <v>47553222.707648195</v>
      </c>
      <c r="E12" s="6">
        <v>0</v>
      </c>
    </row>
    <row r="13" spans="1:5">
      <c r="A13" s="4" t="s">
        <v>51</v>
      </c>
      <c r="B13" s="3">
        <v>45930</v>
      </c>
      <c r="C13" s="6">
        <v>427331909.33283198</v>
      </c>
      <c r="D13" s="6">
        <v>-138882870.5331704</v>
      </c>
      <c r="E13" s="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DED4-2762-4279-A44C-C9C229910AF6}">
  <dimension ref="A1:B5"/>
  <sheetViews>
    <sheetView showGridLines="0" workbookViewId="0"/>
  </sheetViews>
  <sheetFormatPr defaultRowHeight="14.5"/>
  <cols>
    <col min="1" max="1" width="18" bestFit="1" customWidth="1"/>
    <col min="2" max="2" width="18.1796875" bestFit="1" customWidth="1"/>
  </cols>
  <sheetData>
    <row r="1" spans="1:2">
      <c r="A1" t="s">
        <v>8</v>
      </c>
      <c r="B1" t="s">
        <v>40</v>
      </c>
    </row>
    <row r="2" spans="1:2">
      <c r="A2" s="4" t="s">
        <v>50</v>
      </c>
      <c r="B2" s="11">
        <v>6.3730499999999995E-2</v>
      </c>
    </row>
    <row r="3" spans="1:2">
      <c r="A3" s="4" t="s">
        <v>51</v>
      </c>
      <c r="B3" s="12">
        <v>6.3730499999999995E-2</v>
      </c>
    </row>
    <row r="4" spans="1:2">
      <c r="A4" s="4" t="s">
        <v>54</v>
      </c>
      <c r="B4" s="11">
        <v>5.9441333333333318E-2</v>
      </c>
    </row>
    <row r="5" spans="1:2">
      <c r="A5" s="4" t="s">
        <v>55</v>
      </c>
      <c r="B5" s="11">
        <v>5.9441333333333318E-2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17BF-6782-4C99-913C-0B83515FEFA1}">
  <dimension ref="A1:B5"/>
  <sheetViews>
    <sheetView showGridLines="0" workbookViewId="0"/>
  </sheetViews>
  <sheetFormatPr defaultRowHeight="14.5"/>
  <cols>
    <col min="1" max="1" width="18" bestFit="1" customWidth="1"/>
    <col min="2" max="2" width="18.1796875" bestFit="1" customWidth="1"/>
  </cols>
  <sheetData>
    <row r="1" spans="1:2">
      <c r="A1" t="s">
        <v>8</v>
      </c>
      <c r="B1" t="s">
        <v>40</v>
      </c>
    </row>
    <row r="2" spans="1:2">
      <c r="A2" s="4" t="s">
        <v>50</v>
      </c>
      <c r="B2" s="11">
        <v>4.8974000000000004E-2</v>
      </c>
    </row>
    <row r="3" spans="1:2">
      <c r="A3" s="4" t="s">
        <v>51</v>
      </c>
      <c r="B3" s="12">
        <v>4.8974000000000004E-2</v>
      </c>
    </row>
    <row r="4" spans="1:2">
      <c r="A4" s="4" t="s">
        <v>54</v>
      </c>
      <c r="B4" s="11">
        <v>4.8974000000000004E-2</v>
      </c>
    </row>
    <row r="5" spans="1:2">
      <c r="A5" s="4" t="s">
        <v>55</v>
      </c>
      <c r="B5" s="12">
        <v>4.8974000000000004E-2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B0D7-E86B-4549-BE98-0CD55B70F25E}">
  <sheetPr>
    <tabColor rgb="FFFF0000"/>
  </sheetPr>
  <dimension ref="A1:H5"/>
  <sheetViews>
    <sheetView showGridLines="0" workbookViewId="0">
      <selection activeCell="D10" sqref="D10"/>
    </sheetView>
  </sheetViews>
  <sheetFormatPr defaultRowHeight="14.5"/>
  <cols>
    <col min="1" max="1" width="18" bestFit="1" customWidth="1"/>
    <col min="2" max="2" width="12.54296875" bestFit="1" customWidth="1"/>
    <col min="3" max="3" width="24.26953125" bestFit="1" customWidth="1"/>
    <col min="4" max="4" width="12.7265625" bestFit="1" customWidth="1"/>
    <col min="5" max="5" width="13.26953125" bestFit="1" customWidth="1"/>
    <col min="6" max="6" width="20.1796875" bestFit="1" customWidth="1"/>
    <col min="7" max="7" width="24.81640625" bestFit="1" customWidth="1"/>
    <col min="8" max="8" width="12.54296875" bestFit="1" customWidth="1"/>
  </cols>
  <sheetData>
    <row r="1" spans="1:8">
      <c r="A1" t="s">
        <v>8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>
      <c r="A2" s="4" t="s">
        <v>50</v>
      </c>
      <c r="B2" s="7">
        <v>0.4</v>
      </c>
      <c r="C2" s="7">
        <v>0.14000000000000001</v>
      </c>
      <c r="D2" s="8">
        <v>4.4999999999999998E-2</v>
      </c>
      <c r="E2" s="8">
        <v>0.11</v>
      </c>
      <c r="F2" s="9">
        <v>7.0000000000000007E-2</v>
      </c>
      <c r="G2" s="9">
        <v>0.5</v>
      </c>
      <c r="H2" s="9">
        <v>0</v>
      </c>
    </row>
    <row r="3" spans="1:8">
      <c r="A3" s="4" t="s">
        <v>51</v>
      </c>
      <c r="B3" s="10">
        <v>0.38</v>
      </c>
      <c r="C3" s="10">
        <v>0.13</v>
      </c>
      <c r="D3" s="9">
        <v>0</v>
      </c>
      <c r="E3" s="9">
        <v>0</v>
      </c>
      <c r="F3" s="9">
        <v>7.0000000000000007E-2</v>
      </c>
      <c r="G3" s="9">
        <v>0.5</v>
      </c>
      <c r="H3" s="9">
        <v>2.8000000000000001E-2</v>
      </c>
    </row>
    <row r="4" spans="1:8">
      <c r="A4" s="4" t="s">
        <v>54</v>
      </c>
      <c r="B4" s="7">
        <v>0.4</v>
      </c>
      <c r="C4" s="7">
        <v>0.14000000000000001</v>
      </c>
      <c r="D4" s="8">
        <v>4.4999999999999998E-2</v>
      </c>
      <c r="E4" s="8">
        <v>0.11</v>
      </c>
      <c r="F4" s="9">
        <v>7.0000000000000007E-2</v>
      </c>
      <c r="G4" s="9">
        <v>0.5</v>
      </c>
      <c r="H4" s="9">
        <v>0</v>
      </c>
    </row>
    <row r="5" spans="1:8">
      <c r="A5" s="4" t="s">
        <v>55</v>
      </c>
      <c r="B5" s="10">
        <v>0.38</v>
      </c>
      <c r="C5" s="10">
        <v>0.13</v>
      </c>
      <c r="D5" s="9">
        <v>0</v>
      </c>
      <c r="E5" s="9">
        <v>0</v>
      </c>
      <c r="F5" s="9">
        <v>7.0000000000000007E-2</v>
      </c>
      <c r="G5" s="9">
        <v>0.5</v>
      </c>
      <c r="H5" s="9">
        <v>2.8000000000000001E-2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985B-14A4-45B3-B297-083FAA454589}">
  <sheetPr>
    <tabColor theme="1" tint="0.499984740745262"/>
  </sheetPr>
  <dimension ref="A1"/>
  <sheetViews>
    <sheetView showGridLines="0" workbookViewId="0"/>
  </sheetViews>
  <sheetFormatPr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A56E-7146-40C8-9A9E-5F8432FFC0F9}">
  <dimension ref="A1:AD105"/>
  <sheetViews>
    <sheetView showGridLines="0" zoomScale="80" zoomScaleNormal="80" workbookViewId="0">
      <selection activeCell="B2" sqref="B2"/>
    </sheetView>
  </sheetViews>
  <sheetFormatPr defaultRowHeight="14.5"/>
  <cols>
    <col min="1" max="1" width="18.7265625" bestFit="1" customWidth="1"/>
    <col min="2" max="2" width="10.26953125" bestFit="1" customWidth="1"/>
    <col min="3" max="4" width="12" bestFit="1" customWidth="1"/>
    <col min="5" max="5" width="13.7265625" bestFit="1" customWidth="1"/>
    <col min="6" max="6" width="13.1796875" bestFit="1" customWidth="1"/>
    <col min="7" max="7" width="12.81640625" bestFit="1" customWidth="1"/>
    <col min="8" max="8" width="22.7265625" bestFit="1" customWidth="1"/>
    <col min="9" max="9" width="26.26953125" bestFit="1" customWidth="1"/>
    <col min="10" max="10" width="25.1796875" bestFit="1" customWidth="1"/>
    <col min="11" max="11" width="20.7265625" bestFit="1" customWidth="1"/>
    <col min="12" max="12" width="24.26953125" bestFit="1" customWidth="1"/>
    <col min="13" max="13" width="14.54296875" bestFit="1" customWidth="1"/>
    <col min="14" max="14" width="27.1796875" bestFit="1" customWidth="1"/>
    <col min="15" max="15" width="14.26953125" bestFit="1" customWidth="1"/>
    <col min="16" max="16" width="15" bestFit="1" customWidth="1"/>
    <col min="17" max="17" width="23" bestFit="1" customWidth="1"/>
    <col min="18" max="18" width="27.453125" bestFit="1" customWidth="1"/>
    <col min="19" max="19" width="14.1796875" bestFit="1" customWidth="1"/>
    <col min="20" max="20" width="26" bestFit="1" customWidth="1"/>
    <col min="21" max="21" width="20.26953125" bestFit="1" customWidth="1"/>
    <col min="22" max="22" width="23.81640625" bestFit="1" customWidth="1"/>
    <col min="23" max="23" width="23" bestFit="1" customWidth="1"/>
    <col min="24" max="24" width="19.81640625" bestFit="1" customWidth="1"/>
    <col min="25" max="25" width="17.26953125" bestFit="1" customWidth="1"/>
    <col min="26" max="26" width="15.1796875" bestFit="1" customWidth="1"/>
    <col min="27" max="27" width="15.26953125" bestFit="1" customWidth="1"/>
    <col min="28" max="28" width="20" bestFit="1" customWidth="1"/>
    <col min="29" max="29" width="23.54296875" bestFit="1" customWidth="1"/>
    <col min="30" max="30" width="22.7265625" bestFit="1" customWidth="1"/>
  </cols>
  <sheetData>
    <row r="1" spans="1:30">
      <c r="A1" t="s">
        <v>8</v>
      </c>
      <c r="B1" t="s">
        <v>5</v>
      </c>
      <c r="C1" t="s">
        <v>56</v>
      </c>
      <c r="D1" t="s">
        <v>21</v>
      </c>
      <c r="E1" t="s">
        <v>16</v>
      </c>
      <c r="F1" t="s">
        <v>41</v>
      </c>
      <c r="G1" t="s">
        <v>15</v>
      </c>
      <c r="H1" s="15" t="s">
        <v>26</v>
      </c>
      <c r="I1" s="15" t="s">
        <v>27</v>
      </c>
      <c r="J1" s="15" t="s">
        <v>31</v>
      </c>
      <c r="K1" s="16" t="s">
        <v>24</v>
      </c>
      <c r="L1" s="16" t="s">
        <v>25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  <c r="R1" s="15" t="s">
        <v>38</v>
      </c>
      <c r="S1" s="15" t="s">
        <v>39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29</v>
      </c>
      <c r="AC1" t="s">
        <v>30</v>
      </c>
      <c r="AD1" t="s">
        <v>32</v>
      </c>
    </row>
    <row r="2" spans="1:30">
      <c r="A2" s="4" t="str">
        <f>ICG!$A$2</f>
        <v>#2024#IC-Property</v>
      </c>
      <c r="B2">
        <f>_xlfn.XLOOKUP(CF_Gen_1[[#This Row],[ICG]],ICG[ICG],ICG[Cohort])</f>
        <v>2024</v>
      </c>
      <c r="C2" t="str">
        <f>_xlfn.XLOOKUP(CF_Gen_1[[#This Row],[ICG]],ICG[ICG],ICG[Portfolio])</f>
        <v>IC-Property</v>
      </c>
      <c r="D2" t="str">
        <f>_xlfn.XLOOKUP(CF_Gen_1[[#This Row],[ICG]],ICG[ICG],ICG[Contract])</f>
        <v>IC</v>
      </c>
      <c r="E2" s="2">
        <f t="shared" ref="E2:E33" si="0">ValuationDate</f>
        <v>45930</v>
      </c>
      <c r="F2">
        <v>1</v>
      </c>
      <c r="G2" s="2">
        <f>EOMONTH(DATE(YEAR(CF_Gen_1[[#This Row],[Valuation]])-1,12,31),CF_Gen_1[[#This Row],['#Incurred]]*3)</f>
        <v>45747</v>
      </c>
      <c r="H2" s="13">
        <f>SUMIFS(Expected_CF[Expected_Premium],Expected_CF[ICG],CF_Gen_1[[#This Row],[ICG]],Expected_CF[Incurred],CF_Gen_1[[#This Row],[Incurred]])</f>
        <v>0</v>
      </c>
      <c r="I2" s="13">
        <f>SUMIFS(Expected_CF[Expected_Commission],Expected_CF[ICG],CF_Gen_1[[#This Row],[ICG]],Expected_CF[Incurred],CF_Gen_1[[#This Row],[Incurred]])</f>
        <v>0</v>
      </c>
      <c r="J2" s="13">
        <f>IF(CF_Gen_1[[#This Row],[Contract]]="IC",SUMIFS(Expected_CF[Expected_Acquisition],Expected_CF[ICG],CF_Gen_1[[#This Row],[ICG]],Expected_CF[Incurred],CF_Gen_1[[#This Row],[Incurred]]),0)</f>
        <v>0</v>
      </c>
      <c r="K2" s="13">
        <f>SUMIFS(Earned[Earned_Premium],Earned[ICG],CF_Gen_1[[#This Row],[ICG]],Earned[Incurred],CF_Gen_1[[#This Row],[Incurred]])</f>
        <v>0</v>
      </c>
      <c r="L2" s="13">
        <f>SUMIFS(Earned[Earned_Commission],Earned[ICG],CF_Gen_1[[#This Row],[ICG]],Earned[Incurred],CF_Gen_1[[#This Row],[Incurred]])</f>
        <v>0</v>
      </c>
      <c r="M2" s="17">
        <f>_xlfn.XLOOKUP(CF_Gen_1[[#This Row],[ICG]],Assumptions[ICG],Assumptions[Loss_Ratio])</f>
        <v>0.4</v>
      </c>
      <c r="N2" s="17">
        <f>_xlfn.XLOOKUP(CF_Gen_1[[#This Row],[ICG]],Assumptions[ICG],Assumptions[Risk_Adjustment_Ratio])</f>
        <v>0.14000000000000001</v>
      </c>
      <c r="O2" s="17">
        <f>_xlfn.XLOOKUP(CF_Gen_1[[#This Row],[ICG]],Assumptions[ICG],Assumptions[PME_Ratio])</f>
        <v>4.4999999999999998E-2</v>
      </c>
      <c r="P2" s="17">
        <f>_xlfn.XLOOKUP(CF_Gen_1[[#This Row],[ICG]],Assumptions[ICG],Assumptions[ULAE_Ratio])</f>
        <v>0.11</v>
      </c>
      <c r="Q2" s="17">
        <f>_xlfn.XLOOKUP(CF_Gen_1[[#This Row],[ICG]],Assumptions[ICG],Assumptions[Cancellation_Ratio])</f>
        <v>7.0000000000000007E-2</v>
      </c>
      <c r="R2" s="17">
        <f>_xlfn.XLOOKUP(CF_Gen_1[[#This Row],[ICG]],Assumptions[ICG],Assumptions[Premium_Refund_Ratio])</f>
        <v>0.5</v>
      </c>
      <c r="S2" s="17">
        <f>IF(CF_Gen_1[[#This Row],[Contract]]="RC",_xlfn.XLOOKUP(CF_Gen_1[[#This Row],[ICG]],Assumptions[ICG],Assumptions[NPR_Ratio]),0)</f>
        <v>0</v>
      </c>
      <c r="T2" s="17">
        <v>1</v>
      </c>
      <c r="U2" s="19">
        <f>IF(CF_Gen_1[[#This Row],[Incurred]]&lt;=CF_Gen_1[[#This Row],[Valuation]],CF_Gen_1[[#This Row],[Expected_Premium]],-CF_Gen_1[[#This Row],[Probability_of_Inforce]]*CF_Gen_1[[#This Row],[Premium_Refund_Ratio]]*CF_Gen_1[[#This Row],[Cancellation_Ratio]]*SUM(K2:K$105))</f>
        <v>0</v>
      </c>
      <c r="V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Row],[Cancellation_Ratio]]*SUM(L2:L$105))</f>
        <v>0</v>
      </c>
      <c r="W2" s="19">
        <f>CF_Gen_1[[#This Row],[Expected_Acquisition]]</f>
        <v>0</v>
      </c>
      <c r="X2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2" s="19">
        <f>-CF_Gen_1[[#This Row],[Probability_of_Inforce]]*CF_Gen_1[[#This Row],[Earned_Premium]]*(1-CF_Gen_1[[#This Row],[Cancellation_Ratio]])*CF_Gen_1[[#This Row],[Loss_Ratio]]</f>
        <v>0</v>
      </c>
      <c r="Z2" s="19">
        <f>CF_Gen_1[[#This Row],[Exp_Claim]]*CF_Gen_1[[#This Row],[Risk_Adjustment_Ratio]]</f>
        <v>0</v>
      </c>
      <c r="AA2" s="19">
        <f>IF(CF_Gen_1[[#This Row],[Contract]]="RC",-CF_Gen_1[[#This Row],[NPR_Ratio]]*CF_Gen_1[[#This Row],[Exp_Claim]],0)</f>
        <v>0</v>
      </c>
      <c r="AB2" s="19">
        <f>SUMIFS(Actual_CF[Actual_Premium],Actual_CF[ICG],CF_Gen_1[[#This Row],[ICG]],Actual_CF[Incurred],CF_Gen_1[[#This Row],[Incurred]])</f>
        <v>1150571771.1111634</v>
      </c>
      <c r="AC2" s="19">
        <f>SUMIFS(Actual_CF[Actual_Commission],Actual_CF[ICG],CF_Gen_1[[#This Row],[ICG]],Actual_CF[Incurred],CF_Gen_1[[#This Row],[Incurred]])</f>
        <v>-172585765.66667449</v>
      </c>
      <c r="AD2" s="19">
        <f>SUMIFS(Actual_CF[Actual_Acquisition],Actual_CF[ICG],CF_Gen_1[[#This Row],[ICG]],Actual_CF[Incurred],CF_Gen_1[[#This Row],[Incurred]])</f>
        <v>0</v>
      </c>
    </row>
    <row r="3" spans="1:30">
      <c r="A3" t="str">
        <f>A2</f>
        <v>#2024#IC-Property</v>
      </c>
      <c r="B3">
        <f>_xlfn.XLOOKUP(CF_Gen_1[[#This Row],[ICG]],ICG[ICG],ICG[Cohort])</f>
        <v>2024</v>
      </c>
      <c r="C3" t="str">
        <f>_xlfn.XLOOKUP(CF_Gen_1[[#This Row],[ICG]],ICG[ICG],ICG[Portfolio])</f>
        <v>IC-Property</v>
      </c>
      <c r="D3" t="str">
        <f>_xlfn.XLOOKUP(CF_Gen_1[[#This Row],[ICG]],ICG[ICG],ICG[Contract])</f>
        <v>IC</v>
      </c>
      <c r="E3" s="2">
        <f t="shared" si="0"/>
        <v>45930</v>
      </c>
      <c r="F3">
        <v>2</v>
      </c>
      <c r="G3" s="2">
        <f>EOMONTH(DATE(YEAR(CF_Gen_1[[#This Row],[Valuation]])-1,12,31),CF_Gen_1[[#This Row],['#Incurred]]*3)</f>
        <v>45838</v>
      </c>
      <c r="H3" s="13">
        <f>SUMIFS(Expected_CF[Expected_Premium],Expected_CF[ICG],CF_Gen_1[[#This Row],[ICG]],Expected_CF[Incurred],CF_Gen_1[[#This Row],[Incurred]])</f>
        <v>0</v>
      </c>
      <c r="I3" s="13">
        <f>SUMIFS(Expected_CF[Expected_Commission],Expected_CF[ICG],CF_Gen_1[[#This Row],[ICG]],Expected_CF[Incurred],CF_Gen_1[[#This Row],[Incurred]])</f>
        <v>0</v>
      </c>
      <c r="J3" s="13">
        <f>IF(CF_Gen_1[[#This Row],[Contract]]="IC",SUMIFS(Expected_CF[Expected_Acquisition],Expected_CF[ICG],CF_Gen_1[[#This Row],[ICG]],Expected_CF[Incurred],CF_Gen_1[[#This Row],[Incurred]]),0)</f>
        <v>0</v>
      </c>
      <c r="K3" s="13">
        <f>SUMIFS(Earned[Earned_Premium],Earned[ICG],CF_Gen_1[[#This Row],[ICG]],Earned[Incurred],CF_Gen_1[[#This Row],[Incurred]])</f>
        <v>0</v>
      </c>
      <c r="L3" s="13">
        <f>SUMIFS(Earned[Earned_Commission],Earned[ICG],CF_Gen_1[[#This Row],[ICG]],Earned[Incurred],CF_Gen_1[[#This Row],[Incurred]])</f>
        <v>0</v>
      </c>
      <c r="M3" s="17">
        <f>_xlfn.XLOOKUP(CF_Gen_1[[#This Row],[ICG]],Assumptions[ICG],Assumptions[Loss_Ratio])</f>
        <v>0.4</v>
      </c>
      <c r="N3" s="17">
        <f>_xlfn.XLOOKUP(CF_Gen_1[[#This Row],[ICG]],Assumptions[ICG],Assumptions[Risk_Adjustment_Ratio])</f>
        <v>0.14000000000000001</v>
      </c>
      <c r="O3" s="17">
        <f>_xlfn.XLOOKUP(CF_Gen_1[[#This Row],[ICG]],Assumptions[ICG],Assumptions[PME_Ratio])</f>
        <v>4.4999999999999998E-2</v>
      </c>
      <c r="P3" s="17">
        <f>_xlfn.XLOOKUP(CF_Gen_1[[#This Row],[ICG]],Assumptions[ICG],Assumptions[ULAE_Ratio])</f>
        <v>0.11</v>
      </c>
      <c r="Q3" s="17">
        <f>_xlfn.XLOOKUP(CF_Gen_1[[#This Row],[ICG]],Assumptions[ICG],Assumptions[Cancellation_Ratio])</f>
        <v>7.0000000000000007E-2</v>
      </c>
      <c r="R3" s="17">
        <f>_xlfn.XLOOKUP(CF_Gen_1[[#This Row],[ICG]],Assumptions[ICG],Assumptions[Premium_Refund_Ratio])</f>
        <v>0.5</v>
      </c>
      <c r="S3" s="17">
        <f>IF(CF_Gen_1[[#This Row],[Contract]]="RC",_xlfn.XLOOKUP(CF_Gen_1[[#This Row],[ICG]],Assumptions[ICG],Assumptions[NPR_Ratio]),0)</f>
        <v>0</v>
      </c>
      <c r="T3" s="17">
        <f>T2*(1-CF_Gen_1[[#This Row],[Cancellation_Ratio]])</f>
        <v>0.92999999999999994</v>
      </c>
      <c r="U3" s="19">
        <f>IF(CF_Gen_1[[#This Row],[Incurred]]&lt;=CF_Gen_1[[#This Row],[Valuation]],CF_Gen_1[[#This Row],[Expected_Premium]],-CF_Gen_1[[#This Row],[Probability_of_Inforce]]*CF_Gen_1[[#This Row],[Premium_Refund_Ratio]]*CF_Gen_1[[#This Row],[Cancellation_Ratio]]*SUM(K3:K$105))</f>
        <v>0</v>
      </c>
      <c r="V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Row],[Cancellation_Ratio]]*SUM(L3:L$105))</f>
        <v>0</v>
      </c>
      <c r="W3" s="19">
        <f>CF_Gen_1[[#This Row],[Expected_Acquisition]]</f>
        <v>0</v>
      </c>
      <c r="X3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3" s="19">
        <f>-CF_Gen_1[[#This Row],[Probability_of_Inforce]]*CF_Gen_1[[#This Row],[Earned_Premium]]*(1-CF_Gen_1[[#This Row],[Cancellation_Ratio]])*CF_Gen_1[[#This Row],[Loss_Ratio]]</f>
        <v>0</v>
      </c>
      <c r="Z3" s="19">
        <f>CF_Gen_1[[#This Row],[Exp_Claim]]*CF_Gen_1[[#This Row],[Risk_Adjustment_Ratio]]</f>
        <v>0</v>
      </c>
      <c r="AA3" s="19">
        <f>IF(CF_Gen_1[[#This Row],[Contract]]="RC",-CF_Gen_1[[#This Row],[NPR_Ratio]]*CF_Gen_1[[#This Row],[Exp_Claim]],0)</f>
        <v>0</v>
      </c>
      <c r="AB3" s="19">
        <f>SUMIFS(Actual_CF[Actual_Premium],Actual_CF[ICG],CF_Gen_1[[#This Row],[ICG]],Actual_CF[Incurred],CF_Gen_1[[#This Row],[Incurred]])</f>
        <v>325150240.73605597</v>
      </c>
      <c r="AC3" s="19">
        <f>SUMIFS(Actual_CF[Actual_Commission],Actual_CF[ICG],CF_Gen_1[[#This Row],[ICG]],Actual_CF[Incurred],CF_Gen_1[[#This Row],[Incurred]])</f>
        <v>-45521033.703047842</v>
      </c>
      <c r="AD3" s="19">
        <f>SUMIFS(Actual_CF[Actual_Acquisition],Actual_CF[ICG],CF_Gen_1[[#This Row],[ICG]],Actual_CF[Incurred],CF_Gen_1[[#This Row],[Incurred]])</f>
        <v>0</v>
      </c>
    </row>
    <row r="4" spans="1:30">
      <c r="A4" t="str">
        <f t="shared" ref="A4:A67" si="1">A3</f>
        <v>#2024#IC-Property</v>
      </c>
      <c r="B4">
        <f>_xlfn.XLOOKUP(CF_Gen_1[[#This Row],[ICG]],ICG[ICG],ICG[Cohort])</f>
        <v>2024</v>
      </c>
      <c r="C4" t="str">
        <f>_xlfn.XLOOKUP(CF_Gen_1[[#This Row],[ICG]],ICG[ICG],ICG[Portfolio])</f>
        <v>IC-Property</v>
      </c>
      <c r="D4" t="str">
        <f>_xlfn.XLOOKUP(CF_Gen_1[[#This Row],[ICG]],ICG[ICG],ICG[Contract])</f>
        <v>IC</v>
      </c>
      <c r="E4" s="2">
        <f t="shared" si="0"/>
        <v>45930</v>
      </c>
      <c r="F4">
        <v>3</v>
      </c>
      <c r="G4" s="2">
        <f>EOMONTH(DATE(YEAR(CF_Gen_1[[#This Row],[Valuation]])-1,12,31),CF_Gen_1[[#This Row],['#Incurred]]*3)</f>
        <v>45930</v>
      </c>
      <c r="H4" s="14">
        <f>SUMIFS(Expected_CF[Expected_Premium],Expected_CF[ICG],CF_Gen_1[[#This Row],[ICG]],Expected_CF[Incurred],CF_Gen_1[[#This Row],[Incurred]])</f>
        <v>0</v>
      </c>
      <c r="I4" s="14">
        <f>SUMIFS(Expected_CF[Expected_Commission],Expected_CF[ICG],CF_Gen_1[[#This Row],[ICG]],Expected_CF[Incurred],CF_Gen_1[[#This Row],[Incurred]])</f>
        <v>0</v>
      </c>
      <c r="J4" s="14">
        <f>IF(CF_Gen_1[[#This Row],[Contract]]="IC",SUMIFS(Expected_CF[Expected_Acquisition],Expected_CF[ICG],CF_Gen_1[[#This Row],[ICG]],Expected_CF[Incurred],CF_Gen_1[[#This Row],[Incurred]]),0)</f>
        <v>0</v>
      </c>
      <c r="K4" s="14">
        <f>SUMIFS(Earned[Earned_Premium],Earned[ICG],CF_Gen_1[[#This Row],[ICG]],Earned[Incurred],CF_Gen_1[[#This Row],[Incurred]])</f>
        <v>0</v>
      </c>
      <c r="L4" s="14">
        <f>SUMIFS(Earned[Earned_Commission],Earned[ICG],CF_Gen_1[[#This Row],[ICG]],Earned[Incurred],CF_Gen_1[[#This Row],[Incurred]])</f>
        <v>0</v>
      </c>
      <c r="M4" s="18">
        <f>_xlfn.XLOOKUP(CF_Gen_1[[#This Row],[ICG]],Assumptions[ICG],Assumptions[Loss_Ratio])</f>
        <v>0.4</v>
      </c>
      <c r="N4" s="18">
        <f>_xlfn.XLOOKUP(CF_Gen_1[[#This Row],[ICG]],Assumptions[ICG],Assumptions[Risk_Adjustment_Ratio])</f>
        <v>0.14000000000000001</v>
      </c>
      <c r="O4" s="18">
        <f>_xlfn.XLOOKUP(CF_Gen_1[[#This Row],[ICG]],Assumptions[ICG],Assumptions[PME_Ratio])</f>
        <v>4.4999999999999998E-2</v>
      </c>
      <c r="P4" s="18">
        <f>_xlfn.XLOOKUP(CF_Gen_1[[#This Row],[ICG]],Assumptions[ICG],Assumptions[ULAE_Ratio])</f>
        <v>0.11</v>
      </c>
      <c r="Q4" s="18">
        <f>_xlfn.XLOOKUP(CF_Gen_1[[#This Row],[ICG]],Assumptions[ICG],Assumptions[Cancellation_Ratio])</f>
        <v>7.0000000000000007E-2</v>
      </c>
      <c r="R4" s="18">
        <f>_xlfn.XLOOKUP(CF_Gen_1[[#This Row],[ICG]],Assumptions[ICG],Assumptions[Premium_Refund_Ratio])</f>
        <v>0.5</v>
      </c>
      <c r="S4" s="18">
        <f>IF(CF_Gen_1[[#This Row],[Contract]]="RC",_xlfn.XLOOKUP(CF_Gen_1[[#This Row],[ICG]],Assumptions[ICG],Assumptions[NPR_Ratio]),0)</f>
        <v>0</v>
      </c>
      <c r="T4" s="17">
        <f>T3*(1-CF_Gen_1[[#This Row],[Cancellation_Ratio]])</f>
        <v>0.86489999999999989</v>
      </c>
      <c r="U4" s="19">
        <f>IF(CF_Gen_1[[#This Row],[Incurred]]&lt;=CF_Gen_1[[#This Row],[Valuation]],CF_Gen_1[[#This Row],[Expected_Premium]],-CF_Gen_1[[#This Row],[Probability_of_Inforce]]*CF_Gen_1[[#This Row],[Premium_Refund_Ratio]]*CF_Gen_1[[#This Row],[Cancellation_Ratio]]*SUM(K4:K$105))</f>
        <v>0</v>
      </c>
      <c r="V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Row],[Cancellation_Ratio]]*SUM(L4:L$105))</f>
        <v>0</v>
      </c>
      <c r="W4" s="19">
        <f>CF_Gen_1[[#This Row],[Expected_Acquisition]]</f>
        <v>0</v>
      </c>
      <c r="X4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4" s="19">
        <f>-CF_Gen_1[[#This Row],[Probability_of_Inforce]]*CF_Gen_1[[#This Row],[Earned_Premium]]*(1-CF_Gen_1[[#This Row],[Cancellation_Ratio]])*CF_Gen_1[[#This Row],[Loss_Ratio]]</f>
        <v>0</v>
      </c>
      <c r="Z4" s="19">
        <f>CF_Gen_1[[#This Row],[Exp_Claim]]*CF_Gen_1[[#This Row],[Risk_Adjustment_Ratio]]</f>
        <v>0</v>
      </c>
      <c r="AA4" s="19">
        <f>IF(CF_Gen_1[[#This Row],[Contract]]="RC",-CF_Gen_1[[#This Row],[NPR_Ratio]]*CF_Gen_1[[#This Row],[Exp_Claim]],0)</f>
        <v>0</v>
      </c>
      <c r="AB4" s="19">
        <f>SUMIFS(Actual_CF[Actual_Premium],Actual_CF[ICG],CF_Gen_1[[#This Row],[ICG]],Actual_CF[Incurred],CF_Gen_1[[#This Row],[Incurred]])</f>
        <v>-949626465.18407106</v>
      </c>
      <c r="AC4" s="19">
        <f>SUMIFS(Actual_CF[Actual_Commission],Actual_CF[ICG],CF_Gen_1[[#This Row],[ICG]],Actual_CF[Incurred],CF_Gen_1[[#This Row],[Incurred]])</f>
        <v>137695837.45169029</v>
      </c>
      <c r="AD4" s="19">
        <f>SUMIFS(Actual_CF[Actual_Acquisition],Actual_CF[ICG],CF_Gen_1[[#This Row],[ICG]],Actual_CF[Incurred],CF_Gen_1[[#This Row],[Incurred]])</f>
        <v>0</v>
      </c>
    </row>
    <row r="5" spans="1:30">
      <c r="A5" t="str">
        <f t="shared" si="1"/>
        <v>#2024#IC-Property</v>
      </c>
      <c r="B5">
        <f>_xlfn.XLOOKUP(CF_Gen_1[[#This Row],[ICG]],ICG[ICG],ICG[Cohort])</f>
        <v>2024</v>
      </c>
      <c r="C5" t="str">
        <f>_xlfn.XLOOKUP(CF_Gen_1[[#This Row],[ICG]],ICG[ICG],ICG[Portfolio])</f>
        <v>IC-Property</v>
      </c>
      <c r="D5" t="str">
        <f>_xlfn.XLOOKUP(CF_Gen_1[[#This Row],[ICG]],ICG[ICG],ICG[Contract])</f>
        <v>IC</v>
      </c>
      <c r="E5" s="2">
        <f t="shared" si="0"/>
        <v>45930</v>
      </c>
      <c r="F5">
        <v>4</v>
      </c>
      <c r="G5" s="2">
        <f>EOMONTH(DATE(YEAR(CF_Gen_1[[#This Row],[Valuation]])-1,12,31),CF_Gen_1[[#This Row],['#Incurred]]*3)</f>
        <v>46022</v>
      </c>
      <c r="H5" s="14">
        <f>SUMIFS(Expected_CF[Expected_Premium],Expected_CF[ICG],CF_Gen_1[[#This Row],[ICG]],Expected_CF[Incurred],CF_Gen_1[[#This Row],[Incurred]])</f>
        <v>0</v>
      </c>
      <c r="I5" s="14">
        <f>SUMIFS(Expected_CF[Expected_Commission],Expected_CF[ICG],CF_Gen_1[[#This Row],[ICG]],Expected_CF[Incurred],CF_Gen_1[[#This Row],[Incurred]])</f>
        <v>0</v>
      </c>
      <c r="J5" s="14">
        <f>IF(CF_Gen_1[[#This Row],[Contract]]="IC",SUMIFS(Expected_CF[Expected_Acquisition],Expected_CF[ICG],CF_Gen_1[[#This Row],[ICG]],Expected_CF[Incurred],CF_Gen_1[[#This Row],[Incurred]]),0)</f>
        <v>0</v>
      </c>
      <c r="K5" s="14">
        <f>SUMIFS(Earned[Earned_Premium],Earned[ICG],CF_Gen_1[[#This Row],[ICG]],Earned[Incurred],CF_Gen_1[[#This Row],[Incurred]])</f>
        <v>2704893948.5841141</v>
      </c>
      <c r="L5" s="14">
        <f>SUMIFS(Earned[Earned_Commission],Earned[ICG],CF_Gen_1[[#This Row],[ICG]],Earned[Incurred],CF_Gen_1[[#This Row],[Incurred]])</f>
        <v>-840712954.7696532</v>
      </c>
      <c r="M5" s="18">
        <f>_xlfn.XLOOKUP(CF_Gen_1[[#This Row],[ICG]],Assumptions[ICG],Assumptions[Loss_Ratio])</f>
        <v>0.4</v>
      </c>
      <c r="N5" s="18">
        <f>_xlfn.XLOOKUP(CF_Gen_1[[#This Row],[ICG]],Assumptions[ICG],Assumptions[Risk_Adjustment_Ratio])</f>
        <v>0.14000000000000001</v>
      </c>
      <c r="O5" s="18">
        <f>_xlfn.XLOOKUP(CF_Gen_1[[#This Row],[ICG]],Assumptions[ICG],Assumptions[PME_Ratio])</f>
        <v>4.4999999999999998E-2</v>
      </c>
      <c r="P5" s="18">
        <f>_xlfn.XLOOKUP(CF_Gen_1[[#This Row],[ICG]],Assumptions[ICG],Assumptions[ULAE_Ratio])</f>
        <v>0.11</v>
      </c>
      <c r="Q5" s="18">
        <f>_xlfn.XLOOKUP(CF_Gen_1[[#This Row],[ICG]],Assumptions[ICG],Assumptions[Cancellation_Ratio])</f>
        <v>7.0000000000000007E-2</v>
      </c>
      <c r="R5" s="18">
        <f>_xlfn.XLOOKUP(CF_Gen_1[[#This Row],[ICG]],Assumptions[ICG],Assumptions[Premium_Refund_Ratio])</f>
        <v>0.5</v>
      </c>
      <c r="S5" s="18">
        <f>IF(CF_Gen_1[[#This Row],[Contract]]="RC",_xlfn.XLOOKUP(CF_Gen_1[[#This Row],[ICG]],Assumptions[ICG],Assumptions[NPR_Ratio]),0)</f>
        <v>0</v>
      </c>
      <c r="T5" s="17">
        <f>T4*(1-CF_Gen_1[[#This Row],[Cancellation_Ratio]])</f>
        <v>0.80435699999999988</v>
      </c>
      <c r="U5" s="19">
        <f>IF(CF_Gen_1[[#This Row],[Incurred]]&lt;=CF_Gen_1[[#This Row],[Valuation]],CF_Gen_1[[#This Row],[Expected_Premium]],-CF_Gen_1[[#This Row],[Probability_of_Inforce]]*CF_Gen_1[[#This Row],[Premium_Refund_Ratio]]*CF_Gen_1[[#This Row],[Cancellation_Ratio]]*SUM(K5:K$105))</f>
        <v>-3484366130.7885933</v>
      </c>
      <c r="V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Row],[Cancellation_Ratio]]*SUM(L5:L$105))</f>
        <v>1059852506.5976828</v>
      </c>
      <c r="W5" s="19">
        <f>CF_Gen_1[[#This Row],[Expected_Acquisition]]</f>
        <v>0</v>
      </c>
      <c r="X5" s="19">
        <f>-CF_Gen_1[[#This Row],[Probability_of_Inforce]]*CF_Gen_1[[#This Row],[Earned_Premium]]*(1-CF_Gen_1[[#This Row],[Cancellation_Ratio]])*CF_Gen_1[[#This Row],[PME_Ratio]]+CF_Gen_1[[#This Row],[ULAE_Ratio]]*CF_Gen_1[[#This Row],[Exp_Claim]]</f>
        <v>-180082720.60169125</v>
      </c>
      <c r="Y5" s="19">
        <f>-CF_Gen_1[[#This Row],[Probability_of_Inforce]]*CF_Gen_1[[#This Row],[Earned_Premium]]*(1-CF_Gen_1[[#This Row],[Cancellation_Ratio]])*CF_Gen_1[[#This Row],[Loss_Ratio]]</f>
        <v>-809360542.03007317</v>
      </c>
      <c r="Z5" s="19">
        <f>CF_Gen_1[[#This Row],[Exp_Claim]]*CF_Gen_1[[#This Row],[Risk_Adjustment_Ratio]]</f>
        <v>-113310475.88421026</v>
      </c>
      <c r="AA5" s="19">
        <f>IF(CF_Gen_1[[#This Row],[Contract]]="RC",-CF_Gen_1[[#This Row],[NPR_Ratio]]*CF_Gen_1[[#This Row],[Exp_Claim]],0)</f>
        <v>0</v>
      </c>
      <c r="AB5" s="19">
        <f>SUMIFS(Actual_CF[Actual_Premium],Actual_CF[ICG],CF_Gen_1[[#This Row],[ICG]],Actual_CF[Incurred],CF_Gen_1[[#This Row],[Incurred]])</f>
        <v>0</v>
      </c>
      <c r="AC5" s="19">
        <f>SUMIFS(Actual_CF[Actual_Commission],Actual_CF[ICG],CF_Gen_1[[#This Row],[ICG]],Actual_CF[Incurred],CF_Gen_1[[#This Row],[Incurred]])</f>
        <v>0</v>
      </c>
      <c r="AD5" s="19">
        <f>SUMIFS(Actual_CF[Actual_Acquisition],Actual_CF[ICG],CF_Gen_1[[#This Row],[ICG]],Actual_CF[Incurred],CF_Gen_1[[#This Row],[Incurred]])</f>
        <v>0</v>
      </c>
    </row>
    <row r="6" spans="1:30">
      <c r="A6" t="str">
        <f t="shared" si="1"/>
        <v>#2024#IC-Property</v>
      </c>
      <c r="B6">
        <f>_xlfn.XLOOKUP(CF_Gen_1[[#This Row],[ICG]],ICG[ICG],ICG[Cohort])</f>
        <v>2024</v>
      </c>
      <c r="C6" t="str">
        <f>_xlfn.XLOOKUP(CF_Gen_1[[#This Row],[ICG]],ICG[ICG],ICG[Portfolio])</f>
        <v>IC-Property</v>
      </c>
      <c r="D6" t="str">
        <f>_xlfn.XLOOKUP(CF_Gen_1[[#This Row],[ICG]],ICG[ICG],ICG[Contract])</f>
        <v>IC</v>
      </c>
      <c r="E6" s="2">
        <f t="shared" si="0"/>
        <v>45930</v>
      </c>
      <c r="F6">
        <v>5</v>
      </c>
      <c r="G6" s="2">
        <f>EOMONTH(DATE(YEAR(CF_Gen_1[[#This Row],[Valuation]])-1,12,31),CF_Gen_1[[#This Row],['#Incurred]]*3)</f>
        <v>46112</v>
      </c>
      <c r="H6" s="14">
        <f>SUMIFS(Expected_CF[Expected_Premium],Expected_CF[ICG],CF_Gen_1[[#This Row],[ICG]],Expected_CF[Incurred],CF_Gen_1[[#This Row],[Incurred]])</f>
        <v>0</v>
      </c>
      <c r="I6" s="14">
        <f>SUMIFS(Expected_CF[Expected_Commission],Expected_CF[ICG],CF_Gen_1[[#This Row],[ICG]],Expected_CF[Incurred],CF_Gen_1[[#This Row],[Incurred]])</f>
        <v>0</v>
      </c>
      <c r="J6" s="14">
        <f>IF(CF_Gen_1[[#This Row],[Contract]]="IC",SUMIFS(Expected_CF[Expected_Acquisition],Expected_CF[ICG],CF_Gen_1[[#This Row],[ICG]],Expected_CF[Incurred],CF_Gen_1[[#This Row],[Incurred]]),0)</f>
        <v>0</v>
      </c>
      <c r="K6" s="14">
        <f>SUMIFS(Earned[Earned_Premium],Earned[ICG],CF_Gen_1[[#This Row],[ICG]],Earned[Incurred],CF_Gen_1[[#This Row],[Incurred]])</f>
        <v>2675005617.660533</v>
      </c>
      <c r="L6" s="14">
        <f>SUMIFS(Earned[Earned_Commission],Earned[ICG],CF_Gen_1[[#This Row],[ICG]],Earned[Incurred],CF_Gen_1[[#This Row],[Incurred]])</f>
        <v>-831213373.35982656</v>
      </c>
      <c r="M6" s="18">
        <f>_xlfn.XLOOKUP(CF_Gen_1[[#This Row],[ICG]],Assumptions[ICG],Assumptions[Loss_Ratio])</f>
        <v>0.4</v>
      </c>
      <c r="N6" s="18">
        <f>_xlfn.XLOOKUP(CF_Gen_1[[#This Row],[ICG]],Assumptions[ICG],Assumptions[Risk_Adjustment_Ratio])</f>
        <v>0.14000000000000001</v>
      </c>
      <c r="O6" s="18">
        <f>_xlfn.XLOOKUP(CF_Gen_1[[#This Row],[ICG]],Assumptions[ICG],Assumptions[PME_Ratio])</f>
        <v>4.4999999999999998E-2</v>
      </c>
      <c r="P6" s="18">
        <f>_xlfn.XLOOKUP(CF_Gen_1[[#This Row],[ICG]],Assumptions[ICG],Assumptions[ULAE_Ratio])</f>
        <v>0.11</v>
      </c>
      <c r="Q6" s="18">
        <f>_xlfn.XLOOKUP(CF_Gen_1[[#This Row],[ICG]],Assumptions[ICG],Assumptions[Cancellation_Ratio])</f>
        <v>7.0000000000000007E-2</v>
      </c>
      <c r="R6" s="18">
        <f>_xlfn.XLOOKUP(CF_Gen_1[[#This Row],[ICG]],Assumptions[ICG],Assumptions[Premium_Refund_Ratio])</f>
        <v>0.5</v>
      </c>
      <c r="S6" s="18">
        <f>IF(CF_Gen_1[[#This Row],[Contract]]="RC",_xlfn.XLOOKUP(CF_Gen_1[[#This Row],[ICG]],Assumptions[ICG],Assumptions[NPR_Ratio]),0)</f>
        <v>0</v>
      </c>
      <c r="T6" s="17">
        <f>T5*(1-CF_Gen_1[[#This Row],[Cancellation_Ratio]])</f>
        <v>0.74805200999999988</v>
      </c>
      <c r="U6" s="19">
        <f>IF(CF_Gen_1[[#This Row],[Incurred]]&lt;=CF_Gen_1[[#This Row],[Valuation]],CF_Gen_1[[#This Row],[Expected_Premium]],-CF_Gen_1[[#This Row],[Probability_of_Inforce]]*CF_Gen_1[[#This Row],[Premium_Refund_Ratio]]*CF_Gen_1[[#This Row],[Cancellation_Ratio]]*SUM(K6:K$105))</f>
        <v>-3169641454.2057605</v>
      </c>
      <c r="V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Row],[Cancellation_Ratio]]*SUM(L6:L$105))</f>
        <v>963651435.58814836</v>
      </c>
      <c r="W6" s="19">
        <f>CF_Gen_1[[#This Row],[Expected_Acquisition]]</f>
        <v>0</v>
      </c>
      <c r="X6" s="19">
        <f>-CF_Gen_1[[#This Row],[Probability_of_Inforce]]*CF_Gen_1[[#This Row],[Earned_Premium]]*(1-CF_Gen_1[[#This Row],[Cancellation_Ratio]])*CF_Gen_1[[#This Row],[PME_Ratio]]+CF_Gen_1[[#This Row],[ULAE_Ratio]]*CF_Gen_1[[#This Row],[Exp_Claim]]</f>
        <v>-165626356.34565496</v>
      </c>
      <c r="Y6" s="19">
        <f>-CF_Gen_1[[#This Row],[Probability_of_Inforce]]*CF_Gen_1[[#This Row],[Earned_Premium]]*(1-CF_Gen_1[[#This Row],[Cancellation_Ratio]])*CF_Gen_1[[#This Row],[Loss_Ratio]]</f>
        <v>-744388118.40743804</v>
      </c>
      <c r="Z6" s="19">
        <f>CF_Gen_1[[#This Row],[Exp_Claim]]*CF_Gen_1[[#This Row],[Risk_Adjustment_Ratio]]</f>
        <v>-104214336.57704134</v>
      </c>
      <c r="AA6" s="19">
        <f>IF(CF_Gen_1[[#This Row],[Contract]]="RC",-CF_Gen_1[[#This Row],[NPR_Ratio]]*CF_Gen_1[[#This Row],[Exp_Claim]],0)</f>
        <v>0</v>
      </c>
      <c r="AB6" s="19">
        <f>SUMIFS(Actual_CF[Actual_Premium],Actual_CF[ICG],CF_Gen_1[[#This Row],[ICG]],Actual_CF[Incurred],CF_Gen_1[[#This Row],[Incurred]])</f>
        <v>0</v>
      </c>
      <c r="AC6" s="19">
        <f>SUMIFS(Actual_CF[Actual_Commission],Actual_CF[ICG],CF_Gen_1[[#This Row],[ICG]],Actual_CF[Incurred],CF_Gen_1[[#This Row],[Incurred]])</f>
        <v>0</v>
      </c>
      <c r="AD6" s="19">
        <f>SUMIFS(Actual_CF[Actual_Acquisition],Actual_CF[ICG],CF_Gen_1[[#This Row],[ICG]],Actual_CF[Incurred],CF_Gen_1[[#This Row],[Incurred]])</f>
        <v>0</v>
      </c>
    </row>
    <row r="7" spans="1:30">
      <c r="A7" t="str">
        <f t="shared" si="1"/>
        <v>#2024#IC-Property</v>
      </c>
      <c r="B7">
        <f>_xlfn.XLOOKUP(CF_Gen_1[[#This Row],[ICG]],ICG[ICG],ICG[Cohort])</f>
        <v>2024</v>
      </c>
      <c r="C7" t="str">
        <f>_xlfn.XLOOKUP(CF_Gen_1[[#This Row],[ICG]],ICG[ICG],ICG[Portfolio])</f>
        <v>IC-Property</v>
      </c>
      <c r="D7" t="str">
        <f>_xlfn.XLOOKUP(CF_Gen_1[[#This Row],[ICG]],ICG[ICG],ICG[Contract])</f>
        <v>IC</v>
      </c>
      <c r="E7" s="2">
        <f t="shared" si="0"/>
        <v>45930</v>
      </c>
      <c r="F7">
        <v>6</v>
      </c>
      <c r="G7" s="2">
        <f>EOMONTH(DATE(YEAR(CF_Gen_1[[#This Row],[Valuation]])-1,12,31),CF_Gen_1[[#This Row],['#Incurred]]*3)</f>
        <v>46203</v>
      </c>
      <c r="H7" s="14">
        <f>SUMIFS(Expected_CF[Expected_Premium],Expected_CF[ICG],CF_Gen_1[[#This Row],[ICG]],Expected_CF[Incurred],CF_Gen_1[[#This Row],[Incurred]])</f>
        <v>0</v>
      </c>
      <c r="I7" s="14">
        <f>SUMIFS(Expected_CF[Expected_Commission],Expected_CF[ICG],CF_Gen_1[[#This Row],[ICG]],Expected_CF[Incurred],CF_Gen_1[[#This Row],[Incurred]])</f>
        <v>0</v>
      </c>
      <c r="J7" s="14">
        <f>IF(CF_Gen_1[[#This Row],[Contract]]="IC",SUMIFS(Expected_CF[Expected_Acquisition],Expected_CF[ICG],CF_Gen_1[[#This Row],[ICG]],Expected_CF[Incurred],CF_Gen_1[[#This Row],[Incurred]]),0)</f>
        <v>0</v>
      </c>
      <c r="K7" s="14">
        <f>SUMIFS(Earned[Earned_Premium],Earned[ICG],CF_Gen_1[[#This Row],[ICG]],Earned[Incurred],CF_Gen_1[[#This Row],[Incurred]])</f>
        <v>2645117286.7369514</v>
      </c>
      <c r="L7" s="14">
        <f>SUMIFS(Earned[Earned_Commission],Earned[ICG],CF_Gen_1[[#This Row],[ICG]],Earned[Incurred],CF_Gen_1[[#This Row],[Incurred]])</f>
        <v>-821713791.95000005</v>
      </c>
      <c r="M7" s="18">
        <f>_xlfn.XLOOKUP(CF_Gen_1[[#This Row],[ICG]],Assumptions[ICG],Assumptions[Loss_Ratio])</f>
        <v>0.4</v>
      </c>
      <c r="N7" s="18">
        <f>_xlfn.XLOOKUP(CF_Gen_1[[#This Row],[ICG]],Assumptions[ICG],Assumptions[Risk_Adjustment_Ratio])</f>
        <v>0.14000000000000001</v>
      </c>
      <c r="O7" s="18">
        <f>_xlfn.XLOOKUP(CF_Gen_1[[#This Row],[ICG]],Assumptions[ICG],Assumptions[PME_Ratio])</f>
        <v>4.4999999999999998E-2</v>
      </c>
      <c r="P7" s="18">
        <f>_xlfn.XLOOKUP(CF_Gen_1[[#This Row],[ICG]],Assumptions[ICG],Assumptions[ULAE_Ratio])</f>
        <v>0.11</v>
      </c>
      <c r="Q7" s="18">
        <f>_xlfn.XLOOKUP(CF_Gen_1[[#This Row],[ICG]],Assumptions[ICG],Assumptions[Cancellation_Ratio])</f>
        <v>7.0000000000000007E-2</v>
      </c>
      <c r="R7" s="18">
        <f>_xlfn.XLOOKUP(CF_Gen_1[[#This Row],[ICG]],Assumptions[ICG],Assumptions[Premium_Refund_Ratio])</f>
        <v>0.5</v>
      </c>
      <c r="S7" s="18">
        <f>IF(CF_Gen_1[[#This Row],[Contract]]="RC",_xlfn.XLOOKUP(CF_Gen_1[[#This Row],[ICG]],Assumptions[ICG],Assumptions[NPR_Ratio]),0)</f>
        <v>0</v>
      </c>
      <c r="T7" s="17">
        <f>T6*(1-CF_Gen_1[[#This Row],[Cancellation_Ratio]])</f>
        <v>0.69568836929999989</v>
      </c>
      <c r="U7" s="19">
        <f>IF(CF_Gen_1[[#This Row],[Incurred]]&lt;=CF_Gen_1[[#This Row],[Valuation]],CF_Gen_1[[#This Row],[Expected_Premium]],-CF_Gen_1[[#This Row],[Probability_of_Inforce]]*CF_Gen_1[[#This Row],[Premium_Refund_Ratio]]*CF_Gen_1[[#This Row],[Cancellation_Ratio]]*SUM(K7:K$105))</f>
        <v>-2882632592.0507064</v>
      </c>
      <c r="V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Row],[Cancellation_Ratio]]*SUM(L7:L$105))</f>
        <v>875956543.42812145</v>
      </c>
      <c r="W7" s="19">
        <f>CF_Gen_1[[#This Row],[Expected_Acquisition]]</f>
        <v>0</v>
      </c>
      <c r="X7" s="19">
        <f>-CF_Gen_1[[#This Row],[Probability_of_Inforce]]*CF_Gen_1[[#This Row],[Earned_Premium]]*(1-CF_Gen_1[[#This Row],[Cancellation_Ratio]])*CF_Gen_1[[#This Row],[PME_Ratio]]+CF_Gen_1[[#This Row],[ULAE_Ratio]]*CF_Gen_1[[#This Row],[Exp_Claim]]</f>
        <v>-152311477.75451541</v>
      </c>
      <c r="Y7" s="19">
        <f>-CF_Gen_1[[#This Row],[Probability_of_Inforce]]*CF_Gen_1[[#This Row],[Earned_Premium]]*(1-CF_Gen_1[[#This Row],[Cancellation_Ratio]])*CF_Gen_1[[#This Row],[Loss_Ratio]]</f>
        <v>-684545967.43602431</v>
      </c>
      <c r="Z7" s="19">
        <f>CF_Gen_1[[#This Row],[Exp_Claim]]*CF_Gen_1[[#This Row],[Risk_Adjustment_Ratio]]</f>
        <v>-95836435.441043407</v>
      </c>
      <c r="AA7" s="19">
        <f>IF(CF_Gen_1[[#This Row],[Contract]]="RC",-CF_Gen_1[[#This Row],[NPR_Ratio]]*CF_Gen_1[[#This Row],[Exp_Claim]],0)</f>
        <v>0</v>
      </c>
      <c r="AB7" s="19">
        <f>SUMIFS(Actual_CF[Actual_Premium],Actual_CF[ICG],CF_Gen_1[[#This Row],[ICG]],Actual_CF[Incurred],CF_Gen_1[[#This Row],[Incurred]])</f>
        <v>0</v>
      </c>
      <c r="AC7" s="19">
        <f>SUMIFS(Actual_CF[Actual_Commission],Actual_CF[ICG],CF_Gen_1[[#This Row],[ICG]],Actual_CF[Incurred],CF_Gen_1[[#This Row],[Incurred]])</f>
        <v>0</v>
      </c>
      <c r="AD7" s="19">
        <f>SUMIFS(Actual_CF[Actual_Acquisition],Actual_CF[ICG],CF_Gen_1[[#This Row],[ICG]],Actual_CF[Incurred],CF_Gen_1[[#This Row],[Incurred]])</f>
        <v>0</v>
      </c>
    </row>
    <row r="8" spans="1:30">
      <c r="A8" t="str">
        <f t="shared" si="1"/>
        <v>#2024#IC-Property</v>
      </c>
      <c r="B8">
        <f>_xlfn.XLOOKUP(CF_Gen_1[[#This Row],[ICG]],ICG[ICG],ICG[Cohort])</f>
        <v>2024</v>
      </c>
      <c r="C8" t="str">
        <f>_xlfn.XLOOKUP(CF_Gen_1[[#This Row],[ICG]],ICG[ICG],ICG[Portfolio])</f>
        <v>IC-Property</v>
      </c>
      <c r="D8" t="str">
        <f>_xlfn.XLOOKUP(CF_Gen_1[[#This Row],[ICG]],ICG[ICG],ICG[Contract])</f>
        <v>IC</v>
      </c>
      <c r="E8" s="2">
        <f t="shared" si="0"/>
        <v>45930</v>
      </c>
      <c r="F8">
        <v>7</v>
      </c>
      <c r="G8" s="2">
        <f>EOMONTH(DATE(YEAR(CF_Gen_1[[#This Row],[Valuation]])-1,12,31),CF_Gen_1[[#This Row],['#Incurred]]*3)</f>
        <v>46295</v>
      </c>
      <c r="H8" s="14">
        <f>SUMIFS(Expected_CF[Expected_Premium],Expected_CF[ICG],CF_Gen_1[[#This Row],[ICG]],Expected_CF[Incurred],CF_Gen_1[[#This Row],[Incurred]])</f>
        <v>0</v>
      </c>
      <c r="I8" s="14">
        <f>SUMIFS(Expected_CF[Expected_Commission],Expected_CF[ICG],CF_Gen_1[[#This Row],[ICG]],Expected_CF[Incurred],CF_Gen_1[[#This Row],[Incurred]])</f>
        <v>0</v>
      </c>
      <c r="J8" s="14">
        <f>IF(CF_Gen_1[[#This Row],[Contract]]="IC",SUMIFS(Expected_CF[Expected_Acquisition],Expected_CF[ICG],CF_Gen_1[[#This Row],[ICG]],Expected_CF[Incurred],CF_Gen_1[[#This Row],[Incurred]]),0)</f>
        <v>0</v>
      </c>
      <c r="K8" s="14">
        <f>SUMIFS(Earned[Earned_Premium],Earned[ICG],CF_Gen_1[[#This Row],[ICG]],Earned[Incurred],CF_Gen_1[[#This Row],[Incurred]])</f>
        <v>2615228955.8133702</v>
      </c>
      <c r="L8" s="14">
        <f>SUMIFS(Earned[Earned_Commission],Earned[ICG],CF_Gen_1[[#This Row],[ICG]],Earned[Incurred],CF_Gen_1[[#This Row],[Incurred]])</f>
        <v>-812214210.54017353</v>
      </c>
      <c r="M8" s="18">
        <f>_xlfn.XLOOKUP(CF_Gen_1[[#This Row],[ICG]],Assumptions[ICG],Assumptions[Loss_Ratio])</f>
        <v>0.4</v>
      </c>
      <c r="N8" s="18">
        <f>_xlfn.XLOOKUP(CF_Gen_1[[#This Row],[ICG]],Assumptions[ICG],Assumptions[Risk_Adjustment_Ratio])</f>
        <v>0.14000000000000001</v>
      </c>
      <c r="O8" s="18">
        <f>_xlfn.XLOOKUP(CF_Gen_1[[#This Row],[ICG]],Assumptions[ICG],Assumptions[PME_Ratio])</f>
        <v>4.4999999999999998E-2</v>
      </c>
      <c r="P8" s="18">
        <f>_xlfn.XLOOKUP(CF_Gen_1[[#This Row],[ICG]],Assumptions[ICG],Assumptions[ULAE_Ratio])</f>
        <v>0.11</v>
      </c>
      <c r="Q8" s="18">
        <f>_xlfn.XLOOKUP(CF_Gen_1[[#This Row],[ICG]],Assumptions[ICG],Assumptions[Cancellation_Ratio])</f>
        <v>7.0000000000000007E-2</v>
      </c>
      <c r="R8" s="18">
        <f>_xlfn.XLOOKUP(CF_Gen_1[[#This Row],[ICG]],Assumptions[ICG],Assumptions[Premium_Refund_Ratio])</f>
        <v>0.5</v>
      </c>
      <c r="S8" s="18">
        <f>IF(CF_Gen_1[[#This Row],[Contract]]="RC",_xlfn.XLOOKUP(CF_Gen_1[[#This Row],[ICG]],Assumptions[ICG],Assumptions[NPR_Ratio]),0)</f>
        <v>0</v>
      </c>
      <c r="T8" s="17">
        <f>T7*(1-CF_Gen_1[[#This Row],[Cancellation_Ratio]])</f>
        <v>0.64699018344899983</v>
      </c>
      <c r="U8" s="19">
        <f>IF(CF_Gen_1[[#This Row],[Incurred]]&lt;=CF_Gen_1[[#This Row],[Valuation]],CF_Gen_1[[#This Row],[Expected_Premium]],-CF_Gen_1[[#This Row],[Probability_of_Inforce]]*CF_Gen_1[[#This Row],[Premium_Refund_Ratio]]*CF_Gen_1[[#This Row],[Cancellation_Ratio]]*SUM(K8:K$105))</f>
        <v>-2620950538.4565043</v>
      </c>
      <c r="V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Row],[Cancellation_Ratio]]*SUM(L8:L$105))</f>
        <v>796032158.89328206</v>
      </c>
      <c r="W8" s="19">
        <f>CF_Gen_1[[#This Row],[Expected_Acquisition]]</f>
        <v>0</v>
      </c>
      <c r="X8" s="19">
        <f>-CF_Gen_1[[#This Row],[Probability_of_Inforce]]*CF_Gen_1[[#This Row],[Earned_Premium]]*(1-CF_Gen_1[[#This Row],[Cancellation_Ratio]])*CF_Gen_1[[#This Row],[PME_Ratio]]+CF_Gen_1[[#This Row],[ULAE_Ratio]]*CF_Gen_1[[#This Row],[Exp_Claim]]</f>
        <v>-140049113.02004173</v>
      </c>
      <c r="Y8" s="19">
        <f>-CF_Gen_1[[#This Row],[Probability_of_Inforce]]*CF_Gen_1[[#This Row],[Earned_Premium]]*(1-CF_Gen_1[[#This Row],[Cancellation_Ratio]])*CF_Gen_1[[#This Row],[Loss_Ratio]]</f>
        <v>-629434215.82041228</v>
      </c>
      <c r="Z8" s="19">
        <f>CF_Gen_1[[#This Row],[Exp_Claim]]*CF_Gen_1[[#This Row],[Risk_Adjustment_Ratio]]</f>
        <v>-88120790.214857727</v>
      </c>
      <c r="AA8" s="19">
        <f>IF(CF_Gen_1[[#This Row],[Contract]]="RC",-CF_Gen_1[[#This Row],[NPR_Ratio]]*CF_Gen_1[[#This Row],[Exp_Claim]],0)</f>
        <v>0</v>
      </c>
      <c r="AB8" s="19">
        <f>SUMIFS(Actual_CF[Actual_Premium],Actual_CF[ICG],CF_Gen_1[[#This Row],[ICG]],Actual_CF[Incurred],CF_Gen_1[[#This Row],[Incurred]])</f>
        <v>0</v>
      </c>
      <c r="AC8" s="19">
        <f>SUMIFS(Actual_CF[Actual_Commission],Actual_CF[ICG],CF_Gen_1[[#This Row],[ICG]],Actual_CF[Incurred],CF_Gen_1[[#This Row],[Incurred]])</f>
        <v>0</v>
      </c>
      <c r="AD8" s="19">
        <f>SUMIFS(Actual_CF[Actual_Acquisition],Actual_CF[ICG],CF_Gen_1[[#This Row],[ICG]],Actual_CF[Incurred],CF_Gen_1[[#This Row],[Incurred]])</f>
        <v>0</v>
      </c>
    </row>
    <row r="9" spans="1:30">
      <c r="A9" t="str">
        <f t="shared" si="1"/>
        <v>#2024#IC-Property</v>
      </c>
      <c r="B9">
        <f>_xlfn.XLOOKUP(CF_Gen_1[[#This Row],[ICG]],ICG[ICG],ICG[Cohort])</f>
        <v>2024</v>
      </c>
      <c r="C9" t="str">
        <f>_xlfn.XLOOKUP(CF_Gen_1[[#This Row],[ICG]],ICG[ICG],ICG[Portfolio])</f>
        <v>IC-Property</v>
      </c>
      <c r="D9" t="str">
        <f>_xlfn.XLOOKUP(CF_Gen_1[[#This Row],[ICG]],ICG[ICG],ICG[Contract])</f>
        <v>IC</v>
      </c>
      <c r="E9" s="2">
        <f t="shared" si="0"/>
        <v>45930</v>
      </c>
      <c r="F9">
        <v>8</v>
      </c>
      <c r="G9" s="2">
        <f>EOMONTH(DATE(YEAR(CF_Gen_1[[#This Row],[Valuation]])-1,12,31),CF_Gen_1[[#This Row],['#Incurred]]*3)</f>
        <v>46387</v>
      </c>
      <c r="H9" s="14">
        <f>SUMIFS(Expected_CF[Expected_Premium],Expected_CF[ICG],CF_Gen_1[[#This Row],[ICG]],Expected_CF[Incurred],CF_Gen_1[[#This Row],[Incurred]])</f>
        <v>0</v>
      </c>
      <c r="I9" s="14">
        <f>SUMIFS(Expected_CF[Expected_Commission],Expected_CF[ICG],CF_Gen_1[[#This Row],[ICG]],Expected_CF[Incurred],CF_Gen_1[[#This Row],[Incurred]])</f>
        <v>0</v>
      </c>
      <c r="J9" s="14">
        <f>IF(CF_Gen_1[[#This Row],[Contract]]="IC",SUMIFS(Expected_CF[Expected_Acquisition],Expected_CF[ICG],CF_Gen_1[[#This Row],[ICG]],Expected_CF[Incurred],CF_Gen_1[[#This Row],[Incurred]]),0)</f>
        <v>0</v>
      </c>
      <c r="K9" s="14">
        <f>SUMIFS(Earned[Earned_Premium],Earned[ICG],CF_Gen_1[[#This Row],[ICG]],Earned[Incurred],CF_Gen_1[[#This Row],[Incurred]])</f>
        <v>2585340624.8897891</v>
      </c>
      <c r="L9" s="14">
        <f>SUMIFS(Earned[Earned_Commission],Earned[ICG],CF_Gen_1[[#This Row],[ICG]],Earned[Incurred],CF_Gen_1[[#This Row],[Incurred]])</f>
        <v>-802714629.13034701</v>
      </c>
      <c r="M9" s="18">
        <f>_xlfn.XLOOKUP(CF_Gen_1[[#This Row],[ICG]],Assumptions[ICG],Assumptions[Loss_Ratio])</f>
        <v>0.4</v>
      </c>
      <c r="N9" s="18">
        <f>_xlfn.XLOOKUP(CF_Gen_1[[#This Row],[ICG]],Assumptions[ICG],Assumptions[Risk_Adjustment_Ratio])</f>
        <v>0.14000000000000001</v>
      </c>
      <c r="O9" s="18">
        <f>_xlfn.XLOOKUP(CF_Gen_1[[#This Row],[ICG]],Assumptions[ICG],Assumptions[PME_Ratio])</f>
        <v>4.4999999999999998E-2</v>
      </c>
      <c r="P9" s="18">
        <f>_xlfn.XLOOKUP(CF_Gen_1[[#This Row],[ICG]],Assumptions[ICG],Assumptions[ULAE_Ratio])</f>
        <v>0.11</v>
      </c>
      <c r="Q9" s="18">
        <f>_xlfn.XLOOKUP(CF_Gen_1[[#This Row],[ICG]],Assumptions[ICG],Assumptions[Cancellation_Ratio])</f>
        <v>7.0000000000000007E-2</v>
      </c>
      <c r="R9" s="18">
        <f>_xlfn.XLOOKUP(CF_Gen_1[[#This Row],[ICG]],Assumptions[ICG],Assumptions[Premium_Refund_Ratio])</f>
        <v>0.5</v>
      </c>
      <c r="S9" s="18">
        <f>IF(CF_Gen_1[[#This Row],[Contract]]="RC",_xlfn.XLOOKUP(CF_Gen_1[[#This Row],[ICG]],Assumptions[ICG],Assumptions[NPR_Ratio]),0)</f>
        <v>0</v>
      </c>
      <c r="T9" s="17">
        <f>T8*(1-CF_Gen_1[[#This Row],[Cancellation_Ratio]])</f>
        <v>0.60170087060756983</v>
      </c>
      <c r="U9" s="19">
        <f>IF(CF_Gen_1[[#This Row],[Incurred]]&lt;=CF_Gen_1[[#This Row],[Valuation]],CF_Gen_1[[#This Row],[Expected_Premium]],-CF_Gen_1[[#This Row],[Probability_of_Inforce]]*CF_Gen_1[[#This Row],[Premium_Refund_Ratio]]*CF_Gen_1[[#This Row],[Cancellation_Ratio]]*SUM(K9:K$105))</f>
        <v>-2382408506.8802633</v>
      </c>
      <c r="V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Row],[Cancellation_Ratio]]*SUM(L9:L$105))</f>
        <v>723205057.85468686</v>
      </c>
      <c r="W9" s="19">
        <f>CF_Gen_1[[#This Row],[Expected_Acquisition]]</f>
        <v>0</v>
      </c>
      <c r="X9" s="19">
        <f>-CF_Gen_1[[#This Row],[Probability_of_Inforce]]*CF_Gen_1[[#This Row],[Earned_Premium]]*(1-CF_Gen_1[[#This Row],[Cancellation_Ratio]])*CF_Gen_1[[#This Row],[PME_Ratio]]+CF_Gen_1[[#This Row],[ULAE_Ratio]]*CF_Gen_1[[#This Row],[Exp_Claim]]</f>
        <v>-128757153.1073972</v>
      </c>
      <c r="Y9" s="19">
        <f>-CF_Gen_1[[#This Row],[Probability_of_Inforce]]*CF_Gen_1[[#This Row],[Earned_Premium]]*(1-CF_Gen_1[[#This Row],[Cancellation_Ratio]])*CF_Gen_1[[#This Row],[Loss_Ratio]]</f>
        <v>-578683834.19054925</v>
      </c>
      <c r="Z9" s="19">
        <f>CF_Gen_1[[#This Row],[Exp_Claim]]*CF_Gen_1[[#This Row],[Risk_Adjustment_Ratio]]</f>
        <v>-81015736.786676899</v>
      </c>
      <c r="AA9" s="19">
        <f>IF(CF_Gen_1[[#This Row],[Contract]]="RC",-CF_Gen_1[[#This Row],[NPR_Ratio]]*CF_Gen_1[[#This Row],[Exp_Claim]],0)</f>
        <v>0</v>
      </c>
      <c r="AB9" s="19">
        <f>SUMIFS(Actual_CF[Actual_Premium],Actual_CF[ICG],CF_Gen_1[[#This Row],[ICG]],Actual_CF[Incurred],CF_Gen_1[[#This Row],[Incurred]])</f>
        <v>0</v>
      </c>
      <c r="AC9" s="19">
        <f>SUMIFS(Actual_CF[Actual_Commission],Actual_CF[ICG],CF_Gen_1[[#This Row],[ICG]],Actual_CF[Incurred],CF_Gen_1[[#This Row],[Incurred]])</f>
        <v>0</v>
      </c>
      <c r="AD9" s="19">
        <f>SUMIFS(Actual_CF[Actual_Acquisition],Actual_CF[ICG],CF_Gen_1[[#This Row],[ICG]],Actual_CF[Incurred],CF_Gen_1[[#This Row],[Incurred]])</f>
        <v>0</v>
      </c>
    </row>
    <row r="10" spans="1:30">
      <c r="A10" t="str">
        <f t="shared" si="1"/>
        <v>#2024#IC-Property</v>
      </c>
      <c r="B10">
        <f>_xlfn.XLOOKUP(CF_Gen_1[[#This Row],[ICG]],ICG[ICG],ICG[Cohort])</f>
        <v>2024</v>
      </c>
      <c r="C10" t="str">
        <f>_xlfn.XLOOKUP(CF_Gen_1[[#This Row],[ICG]],ICG[ICG],ICG[Portfolio])</f>
        <v>IC-Property</v>
      </c>
      <c r="D10" t="str">
        <f>_xlfn.XLOOKUP(CF_Gen_1[[#This Row],[ICG]],ICG[ICG],ICG[Contract])</f>
        <v>IC</v>
      </c>
      <c r="E10" s="2">
        <f t="shared" si="0"/>
        <v>45930</v>
      </c>
      <c r="F10">
        <v>9</v>
      </c>
      <c r="G10" s="2">
        <f>EOMONTH(DATE(YEAR(CF_Gen_1[[#This Row],[Valuation]])-1,12,31),CF_Gen_1[[#This Row],['#Incurred]]*3)</f>
        <v>46477</v>
      </c>
      <c r="H10" s="14">
        <f>SUMIFS(Expected_CF[Expected_Premium],Expected_CF[ICG],CF_Gen_1[[#This Row],[ICG]],Expected_CF[Incurred],CF_Gen_1[[#This Row],[Incurred]])</f>
        <v>0</v>
      </c>
      <c r="I10" s="14">
        <f>SUMIFS(Expected_CF[Expected_Commission],Expected_CF[ICG],CF_Gen_1[[#This Row],[ICG]],Expected_CF[Incurred],CF_Gen_1[[#This Row],[Incurred]])</f>
        <v>0</v>
      </c>
      <c r="J10" s="14">
        <f>IF(CF_Gen_1[[#This Row],[Contract]]="IC",SUMIFS(Expected_CF[Expected_Acquisition],Expected_CF[ICG],CF_Gen_1[[#This Row],[ICG]],Expected_CF[Incurred],CF_Gen_1[[#This Row],[Incurred]]),0)</f>
        <v>0</v>
      </c>
      <c r="K10" s="14">
        <f>SUMIFS(Earned[Earned_Premium],Earned[ICG],CF_Gen_1[[#This Row],[ICG]],Earned[Incurred],CF_Gen_1[[#This Row],[Incurred]])</f>
        <v>2555452293.966208</v>
      </c>
      <c r="L10" s="14">
        <f>SUMIFS(Earned[Earned_Commission],Earned[ICG],CF_Gen_1[[#This Row],[ICG]],Earned[Incurred],CF_Gen_1[[#This Row],[Incurred]])</f>
        <v>-793215047.7205205</v>
      </c>
      <c r="M10" s="18">
        <f>_xlfn.XLOOKUP(CF_Gen_1[[#This Row],[ICG]],Assumptions[ICG],Assumptions[Loss_Ratio])</f>
        <v>0.4</v>
      </c>
      <c r="N10" s="18">
        <f>_xlfn.XLOOKUP(CF_Gen_1[[#This Row],[ICG]],Assumptions[ICG],Assumptions[Risk_Adjustment_Ratio])</f>
        <v>0.14000000000000001</v>
      </c>
      <c r="O10" s="18">
        <f>_xlfn.XLOOKUP(CF_Gen_1[[#This Row],[ICG]],Assumptions[ICG],Assumptions[PME_Ratio])</f>
        <v>4.4999999999999998E-2</v>
      </c>
      <c r="P10" s="18">
        <f>_xlfn.XLOOKUP(CF_Gen_1[[#This Row],[ICG]],Assumptions[ICG],Assumptions[ULAE_Ratio])</f>
        <v>0.11</v>
      </c>
      <c r="Q10" s="18">
        <f>_xlfn.XLOOKUP(CF_Gen_1[[#This Row],[ICG]],Assumptions[ICG],Assumptions[Cancellation_Ratio])</f>
        <v>7.0000000000000007E-2</v>
      </c>
      <c r="R10" s="18">
        <f>_xlfn.XLOOKUP(CF_Gen_1[[#This Row],[ICG]],Assumptions[ICG],Assumptions[Premium_Refund_Ratio])</f>
        <v>0.5</v>
      </c>
      <c r="S10" s="18">
        <f>IF(CF_Gen_1[[#This Row],[Contract]]="RC",_xlfn.XLOOKUP(CF_Gen_1[[#This Row],[ICG]],Assumptions[ICG],Assumptions[NPR_Ratio]),0)</f>
        <v>0</v>
      </c>
      <c r="T10" s="17">
        <f>T9*(1-CF_Gen_1[[#This Row],[Cancellation_Ratio]])</f>
        <v>0.5595818096650399</v>
      </c>
      <c r="U10" s="19">
        <f>IF(CF_Gen_1[[#This Row],[Incurred]]&lt;=CF_Gen_1[[#This Row],[Valuation]],CF_Gen_1[[#This Row],[Expected_Premium]],-CF_Gen_1[[#This Row],[Probability_of_Inforce]]*CF_Gen_1[[#This Row],[Premium_Refund_Ratio]]*CF_Gen_1[[#This Row],[Cancellation_Ratio]]*SUM(K10:K$105))</f>
        <v>-2165005075.9069715</v>
      </c>
      <c r="V1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Row],[Cancellation_Ratio]]*SUM(L10:L$105))</f>
        <v>656859246.13639104</v>
      </c>
      <c r="W10" s="19">
        <f>CF_Gen_1[[#This Row],[Expected_Acquisition]]</f>
        <v>0</v>
      </c>
      <c r="X10" s="19">
        <f>-CF_Gen_1[[#This Row],[Probability_of_Inforce]]*CF_Gen_1[[#This Row],[Earned_Premium]]*(1-CF_Gen_1[[#This Row],[Cancellation_Ratio]])*CF_Gen_1[[#This Row],[PME_Ratio]]+CF_Gen_1[[#This Row],[ULAE_Ratio]]*CF_Gen_1[[#This Row],[Exp_Claim]]</f>
        <v>-118359826.92872475</v>
      </c>
      <c r="Y10" s="19">
        <f>-CF_Gen_1[[#This Row],[Probability_of_Inforce]]*CF_Gen_1[[#This Row],[Earned_Premium]]*(1-CF_Gen_1[[#This Row],[Cancellation_Ratio]])*CF_Gen_1[[#This Row],[Loss_Ratio]]</f>
        <v>-531954278.33134723</v>
      </c>
      <c r="Z10" s="19">
        <f>CF_Gen_1[[#This Row],[Exp_Claim]]*CF_Gen_1[[#This Row],[Risk_Adjustment_Ratio]]</f>
        <v>-74473598.966388613</v>
      </c>
      <c r="AA10" s="19">
        <f>IF(CF_Gen_1[[#This Row],[Contract]]="RC",-CF_Gen_1[[#This Row],[NPR_Ratio]]*CF_Gen_1[[#This Row],[Exp_Claim]],0)</f>
        <v>0</v>
      </c>
      <c r="AB10" s="19">
        <f>SUMIFS(Actual_CF[Actual_Premium],Actual_CF[ICG],CF_Gen_1[[#This Row],[ICG]],Actual_CF[Incurred],CF_Gen_1[[#This Row],[Incurred]])</f>
        <v>0</v>
      </c>
      <c r="AC10" s="19">
        <f>SUMIFS(Actual_CF[Actual_Commission],Actual_CF[ICG],CF_Gen_1[[#This Row],[ICG]],Actual_CF[Incurred],CF_Gen_1[[#This Row],[Incurred]])</f>
        <v>0</v>
      </c>
      <c r="AD10" s="19">
        <f>SUMIFS(Actual_CF[Actual_Acquisition],Actual_CF[ICG],CF_Gen_1[[#This Row],[ICG]],Actual_CF[Incurred],CF_Gen_1[[#This Row],[Incurred]])</f>
        <v>0</v>
      </c>
    </row>
    <row r="11" spans="1:30">
      <c r="A11" t="str">
        <f t="shared" si="1"/>
        <v>#2024#IC-Property</v>
      </c>
      <c r="B11">
        <f>_xlfn.XLOOKUP(CF_Gen_1[[#This Row],[ICG]],ICG[ICG],ICG[Cohort])</f>
        <v>2024</v>
      </c>
      <c r="C11" t="str">
        <f>_xlfn.XLOOKUP(CF_Gen_1[[#This Row],[ICG]],ICG[ICG],ICG[Portfolio])</f>
        <v>IC-Property</v>
      </c>
      <c r="D11" t="str">
        <f>_xlfn.XLOOKUP(CF_Gen_1[[#This Row],[ICG]],ICG[ICG],ICG[Contract])</f>
        <v>IC</v>
      </c>
      <c r="E11" s="2">
        <f t="shared" si="0"/>
        <v>45930</v>
      </c>
      <c r="F11">
        <v>10</v>
      </c>
      <c r="G11" s="2">
        <f>EOMONTH(DATE(YEAR(CF_Gen_1[[#This Row],[Valuation]])-1,12,31),CF_Gen_1[[#This Row],['#Incurred]]*3)</f>
        <v>46568</v>
      </c>
      <c r="H11" s="14">
        <f>SUMIFS(Expected_CF[Expected_Premium],Expected_CF[ICG],CF_Gen_1[[#This Row],[ICG]],Expected_CF[Incurred],CF_Gen_1[[#This Row],[Incurred]])</f>
        <v>0</v>
      </c>
      <c r="I11" s="14">
        <f>SUMIFS(Expected_CF[Expected_Commission],Expected_CF[ICG],CF_Gen_1[[#This Row],[ICG]],Expected_CF[Incurred],CF_Gen_1[[#This Row],[Incurred]])</f>
        <v>0</v>
      </c>
      <c r="J11" s="14">
        <f>IF(CF_Gen_1[[#This Row],[Contract]]="IC",SUMIFS(Expected_CF[Expected_Acquisition],Expected_CF[ICG],CF_Gen_1[[#This Row],[ICG]],Expected_CF[Incurred],CF_Gen_1[[#This Row],[Incurred]]),0)</f>
        <v>0</v>
      </c>
      <c r="K11" s="14">
        <f>SUMIFS(Earned[Earned_Premium],Earned[ICG],CF_Gen_1[[#This Row],[ICG]],Earned[Incurred],CF_Gen_1[[#This Row],[Incurred]])</f>
        <v>2525563963.0426264</v>
      </c>
      <c r="L11" s="14">
        <f>SUMIFS(Earned[Earned_Commission],Earned[ICG],CF_Gen_1[[#This Row],[ICG]],Earned[Incurred],CF_Gen_1[[#This Row],[Incurred]])</f>
        <v>-783715466.31069398</v>
      </c>
      <c r="M11" s="18">
        <f>_xlfn.XLOOKUP(CF_Gen_1[[#This Row],[ICG]],Assumptions[ICG],Assumptions[Loss_Ratio])</f>
        <v>0.4</v>
      </c>
      <c r="N11" s="18">
        <f>_xlfn.XLOOKUP(CF_Gen_1[[#This Row],[ICG]],Assumptions[ICG],Assumptions[Risk_Adjustment_Ratio])</f>
        <v>0.14000000000000001</v>
      </c>
      <c r="O11" s="18">
        <f>_xlfn.XLOOKUP(CF_Gen_1[[#This Row],[ICG]],Assumptions[ICG],Assumptions[PME_Ratio])</f>
        <v>4.4999999999999998E-2</v>
      </c>
      <c r="P11" s="18">
        <f>_xlfn.XLOOKUP(CF_Gen_1[[#This Row],[ICG]],Assumptions[ICG],Assumptions[ULAE_Ratio])</f>
        <v>0.11</v>
      </c>
      <c r="Q11" s="18">
        <f>_xlfn.XLOOKUP(CF_Gen_1[[#This Row],[ICG]],Assumptions[ICG],Assumptions[Cancellation_Ratio])</f>
        <v>7.0000000000000007E-2</v>
      </c>
      <c r="R11" s="18">
        <f>_xlfn.XLOOKUP(CF_Gen_1[[#This Row],[ICG]],Assumptions[ICG],Assumptions[Premium_Refund_Ratio])</f>
        <v>0.5</v>
      </c>
      <c r="S11" s="18">
        <f>IF(CF_Gen_1[[#This Row],[Contract]]="RC",_xlfn.XLOOKUP(CF_Gen_1[[#This Row],[ICG]],Assumptions[ICG],Assumptions[NPR_Ratio]),0)</f>
        <v>0</v>
      </c>
      <c r="T11" s="17">
        <f>T10*(1-CF_Gen_1[[#This Row],[Cancellation_Ratio]])</f>
        <v>0.52041108298848704</v>
      </c>
      <c r="U11" s="19">
        <f>IF(CF_Gen_1[[#This Row],[Incurred]]&lt;=CF_Gen_1[[#This Row],[Valuation]],CF_Gen_1[[#This Row],[Expected_Premium]],-CF_Gen_1[[#This Row],[Probability_of_Inforce]]*CF_Gen_1[[#This Row],[Premium_Refund_Ratio]]*CF_Gen_1[[#This Row],[Cancellation_Ratio]]*SUM(K11:K$105))</f>
        <v>-1966908721.2394903</v>
      </c>
      <c r="V1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Row],[Cancellation_Ratio]]*SUM(L11:L$105))</f>
        <v>596431172.33589864</v>
      </c>
      <c r="W11" s="19">
        <f>CF_Gen_1[[#This Row],[Expected_Acquisition]]</f>
        <v>0</v>
      </c>
      <c r="X11" s="19">
        <f>-CF_Gen_1[[#This Row],[Probability_of_Inforce]]*CF_Gen_1[[#This Row],[Earned_Premium]]*(1-CF_Gen_1[[#This Row],[Cancellation_Ratio]])*CF_Gen_1[[#This Row],[PME_Ratio]]+CF_Gen_1[[#This Row],[ULAE_Ratio]]*CF_Gen_1[[#This Row],[Exp_Claim]]</f>
        <v>-108787216.36484015</v>
      </c>
      <c r="Y11" s="19">
        <f>-CF_Gen_1[[#This Row],[Probability_of_Inforce]]*CF_Gen_1[[#This Row],[Earned_Premium]]*(1-CF_Gen_1[[#This Row],[Cancellation_Ratio]])*CF_Gen_1[[#This Row],[Loss_Ratio]]</f>
        <v>-488931309.5048995</v>
      </c>
      <c r="Z11" s="19">
        <f>CF_Gen_1[[#This Row],[Exp_Claim]]*CF_Gen_1[[#This Row],[Risk_Adjustment_Ratio]]</f>
        <v>-68450383.330685943</v>
      </c>
      <c r="AA11" s="19">
        <f>IF(CF_Gen_1[[#This Row],[Contract]]="RC",-CF_Gen_1[[#This Row],[NPR_Ratio]]*CF_Gen_1[[#This Row],[Exp_Claim]],0)</f>
        <v>0</v>
      </c>
      <c r="AB11" s="19">
        <f>SUMIFS(Actual_CF[Actual_Premium],Actual_CF[ICG],CF_Gen_1[[#This Row],[ICG]],Actual_CF[Incurred],CF_Gen_1[[#This Row],[Incurred]])</f>
        <v>0</v>
      </c>
      <c r="AC11" s="19">
        <f>SUMIFS(Actual_CF[Actual_Commission],Actual_CF[ICG],CF_Gen_1[[#This Row],[ICG]],Actual_CF[Incurred],CF_Gen_1[[#This Row],[Incurred]])</f>
        <v>0</v>
      </c>
      <c r="AD11" s="19">
        <f>SUMIFS(Actual_CF[Actual_Acquisition],Actual_CF[ICG],CF_Gen_1[[#This Row],[ICG]],Actual_CF[Incurred],CF_Gen_1[[#This Row],[Incurred]])</f>
        <v>0</v>
      </c>
    </row>
    <row r="12" spans="1:30">
      <c r="A12" t="str">
        <f t="shared" si="1"/>
        <v>#2024#IC-Property</v>
      </c>
      <c r="B12">
        <f>_xlfn.XLOOKUP(CF_Gen_1[[#This Row],[ICG]],ICG[ICG],ICG[Cohort])</f>
        <v>2024</v>
      </c>
      <c r="C12" t="str">
        <f>_xlfn.XLOOKUP(CF_Gen_1[[#This Row],[ICG]],ICG[ICG],ICG[Portfolio])</f>
        <v>IC-Property</v>
      </c>
      <c r="D12" t="str">
        <f>_xlfn.XLOOKUP(CF_Gen_1[[#This Row],[ICG]],ICG[ICG],ICG[Contract])</f>
        <v>IC</v>
      </c>
      <c r="E12" s="2">
        <f t="shared" si="0"/>
        <v>45930</v>
      </c>
      <c r="F12">
        <v>11</v>
      </c>
      <c r="G12" s="2">
        <f>EOMONTH(DATE(YEAR(CF_Gen_1[[#This Row],[Valuation]])-1,12,31),CF_Gen_1[[#This Row],['#Incurred]]*3)</f>
        <v>46660</v>
      </c>
      <c r="H12" s="14">
        <f>SUMIFS(Expected_CF[Expected_Premium],Expected_CF[ICG],CF_Gen_1[[#This Row],[ICG]],Expected_CF[Incurred],CF_Gen_1[[#This Row],[Incurred]])</f>
        <v>0</v>
      </c>
      <c r="I12" s="14">
        <f>SUMIFS(Expected_CF[Expected_Commission],Expected_CF[ICG],CF_Gen_1[[#This Row],[ICG]],Expected_CF[Incurred],CF_Gen_1[[#This Row],[Incurred]])</f>
        <v>0</v>
      </c>
      <c r="J12" s="14">
        <f>IF(CF_Gen_1[[#This Row],[Contract]]="IC",SUMIFS(Expected_CF[Expected_Acquisition],Expected_CF[ICG],CF_Gen_1[[#This Row],[ICG]],Expected_CF[Incurred],CF_Gen_1[[#This Row],[Incurred]]),0)</f>
        <v>0</v>
      </c>
      <c r="K12" s="14">
        <f>SUMIFS(Earned[Earned_Premium],Earned[ICG],CF_Gen_1[[#This Row],[ICG]],Earned[Incurred],CF_Gen_1[[#This Row],[Incurred]])</f>
        <v>2495675632.1190448</v>
      </c>
      <c r="L12" s="14">
        <f>SUMIFS(Earned[Earned_Commission],Earned[ICG],CF_Gen_1[[#This Row],[ICG]],Earned[Incurred],CF_Gen_1[[#This Row],[Incurred]])</f>
        <v>-774215884.90086746</v>
      </c>
      <c r="M12" s="18">
        <f>_xlfn.XLOOKUP(CF_Gen_1[[#This Row],[ICG]],Assumptions[ICG],Assumptions[Loss_Ratio])</f>
        <v>0.4</v>
      </c>
      <c r="N12" s="18">
        <f>_xlfn.XLOOKUP(CF_Gen_1[[#This Row],[ICG]],Assumptions[ICG],Assumptions[Risk_Adjustment_Ratio])</f>
        <v>0.14000000000000001</v>
      </c>
      <c r="O12" s="18">
        <f>_xlfn.XLOOKUP(CF_Gen_1[[#This Row],[ICG]],Assumptions[ICG],Assumptions[PME_Ratio])</f>
        <v>4.4999999999999998E-2</v>
      </c>
      <c r="P12" s="18">
        <f>_xlfn.XLOOKUP(CF_Gen_1[[#This Row],[ICG]],Assumptions[ICG],Assumptions[ULAE_Ratio])</f>
        <v>0.11</v>
      </c>
      <c r="Q12" s="18">
        <f>_xlfn.XLOOKUP(CF_Gen_1[[#This Row],[ICG]],Assumptions[ICG],Assumptions[Cancellation_Ratio])</f>
        <v>7.0000000000000007E-2</v>
      </c>
      <c r="R12" s="18">
        <f>_xlfn.XLOOKUP(CF_Gen_1[[#This Row],[ICG]],Assumptions[ICG],Assumptions[Premium_Refund_Ratio])</f>
        <v>0.5</v>
      </c>
      <c r="S12" s="18">
        <f>IF(CF_Gen_1[[#This Row],[Contract]]="RC",_xlfn.XLOOKUP(CF_Gen_1[[#This Row],[ICG]],Assumptions[ICG],Assumptions[NPR_Ratio]),0)</f>
        <v>0</v>
      </c>
      <c r="T12" s="17">
        <f>T11*(1-CF_Gen_1[[#This Row],[Cancellation_Ratio]])</f>
        <v>0.48398230717929291</v>
      </c>
      <c r="U12" s="19">
        <f>IF(CF_Gen_1[[#This Row],[Incurred]]&lt;=CF_Gen_1[[#This Row],[Valuation]],CF_Gen_1[[#This Row],[Expected_Premium]],-CF_Gen_1[[#This Row],[Probability_of_Inforce]]*CF_Gen_1[[#This Row],[Premium_Refund_Ratio]]*CF_Gen_1[[#This Row],[Cancellation_Ratio]]*SUM(K12:K$105))</f>
        <v>-1786443621.1710474</v>
      </c>
      <c r="V1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Row],[Cancellation_Ratio]]*SUM(L12:L$105))</f>
        <v>541405335.58788562</v>
      </c>
      <c r="W12" s="19">
        <f>CF_Gen_1[[#This Row],[Expected_Acquisition]]</f>
        <v>0</v>
      </c>
      <c r="X12" s="19">
        <f>-CF_Gen_1[[#This Row],[Probability_of_Inforce]]*CF_Gen_1[[#This Row],[Earned_Premium]]*(1-CF_Gen_1[[#This Row],[Cancellation_Ratio]])*CF_Gen_1[[#This Row],[PME_Ratio]]+CF_Gen_1[[#This Row],[ULAE_Ratio]]*CF_Gen_1[[#This Row],[Exp_Claim]]</f>
        <v>-99974808.127948642</v>
      </c>
      <c r="Y12" s="19">
        <f>-CF_Gen_1[[#This Row],[Probability_of_Inforce]]*CF_Gen_1[[#This Row],[Earned_Premium]]*(1-CF_Gen_1[[#This Row],[Cancellation_Ratio]])*CF_Gen_1[[#This Row],[Loss_Ratio]]</f>
        <v>-449324980.35033095</v>
      </c>
      <c r="Z12" s="19">
        <f>CF_Gen_1[[#This Row],[Exp_Claim]]*CF_Gen_1[[#This Row],[Risk_Adjustment_Ratio]]</f>
        <v>-62905497.249046341</v>
      </c>
      <c r="AA12" s="19">
        <f>IF(CF_Gen_1[[#This Row],[Contract]]="RC",-CF_Gen_1[[#This Row],[NPR_Ratio]]*CF_Gen_1[[#This Row],[Exp_Claim]],0)</f>
        <v>0</v>
      </c>
      <c r="AB12" s="19">
        <f>SUMIFS(Actual_CF[Actual_Premium],Actual_CF[ICG],CF_Gen_1[[#This Row],[ICG]],Actual_CF[Incurred],CF_Gen_1[[#This Row],[Incurred]])</f>
        <v>0</v>
      </c>
      <c r="AC12" s="19">
        <f>SUMIFS(Actual_CF[Actual_Commission],Actual_CF[ICG],CF_Gen_1[[#This Row],[ICG]],Actual_CF[Incurred],CF_Gen_1[[#This Row],[Incurred]])</f>
        <v>0</v>
      </c>
      <c r="AD12" s="19">
        <f>SUMIFS(Actual_CF[Actual_Acquisition],Actual_CF[ICG],CF_Gen_1[[#This Row],[ICG]],Actual_CF[Incurred],CF_Gen_1[[#This Row],[Incurred]])</f>
        <v>0</v>
      </c>
    </row>
    <row r="13" spans="1:30">
      <c r="A13" t="str">
        <f t="shared" si="1"/>
        <v>#2024#IC-Property</v>
      </c>
      <c r="B13">
        <f>_xlfn.XLOOKUP(CF_Gen_1[[#This Row],[ICG]],ICG[ICG],ICG[Cohort])</f>
        <v>2024</v>
      </c>
      <c r="C13" t="str">
        <f>_xlfn.XLOOKUP(CF_Gen_1[[#This Row],[ICG]],ICG[ICG],ICG[Portfolio])</f>
        <v>IC-Property</v>
      </c>
      <c r="D13" t="str">
        <f>_xlfn.XLOOKUP(CF_Gen_1[[#This Row],[ICG]],ICG[ICG],ICG[Contract])</f>
        <v>IC</v>
      </c>
      <c r="E13" s="2">
        <f t="shared" si="0"/>
        <v>45930</v>
      </c>
      <c r="F13">
        <v>12</v>
      </c>
      <c r="G13" s="2">
        <f>EOMONTH(DATE(YEAR(CF_Gen_1[[#This Row],[Valuation]])-1,12,31),CF_Gen_1[[#This Row],['#Incurred]]*3)</f>
        <v>46752</v>
      </c>
      <c r="H13" s="14">
        <f>SUMIFS(Expected_CF[Expected_Premium],Expected_CF[ICG],CF_Gen_1[[#This Row],[ICG]],Expected_CF[Incurred],CF_Gen_1[[#This Row],[Incurred]])</f>
        <v>0</v>
      </c>
      <c r="I13" s="14">
        <f>SUMIFS(Expected_CF[Expected_Commission],Expected_CF[ICG],CF_Gen_1[[#This Row],[ICG]],Expected_CF[Incurred],CF_Gen_1[[#This Row],[Incurred]])</f>
        <v>0</v>
      </c>
      <c r="J13" s="14">
        <f>IF(CF_Gen_1[[#This Row],[Contract]]="IC",SUMIFS(Expected_CF[Expected_Acquisition],Expected_CF[ICG],CF_Gen_1[[#This Row],[ICG]],Expected_CF[Incurred],CF_Gen_1[[#This Row],[Incurred]]),0)</f>
        <v>0</v>
      </c>
      <c r="K13" s="14">
        <f>SUMIFS(Earned[Earned_Premium],Earned[ICG],CF_Gen_1[[#This Row],[ICG]],Earned[Incurred],CF_Gen_1[[#This Row],[Incurred]])</f>
        <v>2465787301.1954637</v>
      </c>
      <c r="L13" s="14">
        <f>SUMIFS(Earned[Earned_Commission],Earned[ICG],CF_Gen_1[[#This Row],[ICG]],Earned[Incurred],CF_Gen_1[[#This Row],[Incurred]])</f>
        <v>-764716303.49104083</v>
      </c>
      <c r="M13" s="18">
        <f>_xlfn.XLOOKUP(CF_Gen_1[[#This Row],[ICG]],Assumptions[ICG],Assumptions[Loss_Ratio])</f>
        <v>0.4</v>
      </c>
      <c r="N13" s="18">
        <f>_xlfn.XLOOKUP(CF_Gen_1[[#This Row],[ICG]],Assumptions[ICG],Assumptions[Risk_Adjustment_Ratio])</f>
        <v>0.14000000000000001</v>
      </c>
      <c r="O13" s="18">
        <f>_xlfn.XLOOKUP(CF_Gen_1[[#This Row],[ICG]],Assumptions[ICG],Assumptions[PME_Ratio])</f>
        <v>4.4999999999999998E-2</v>
      </c>
      <c r="P13" s="18">
        <f>_xlfn.XLOOKUP(CF_Gen_1[[#This Row],[ICG]],Assumptions[ICG],Assumptions[ULAE_Ratio])</f>
        <v>0.11</v>
      </c>
      <c r="Q13" s="18">
        <f>_xlfn.XLOOKUP(CF_Gen_1[[#This Row],[ICG]],Assumptions[ICG],Assumptions[Cancellation_Ratio])</f>
        <v>7.0000000000000007E-2</v>
      </c>
      <c r="R13" s="18">
        <f>_xlfn.XLOOKUP(CF_Gen_1[[#This Row],[ICG]],Assumptions[ICG],Assumptions[Premium_Refund_Ratio])</f>
        <v>0.5</v>
      </c>
      <c r="S13" s="18">
        <f>IF(CF_Gen_1[[#This Row],[Contract]]="RC",_xlfn.XLOOKUP(CF_Gen_1[[#This Row],[ICG]],Assumptions[ICG],Assumptions[NPR_Ratio]),0)</f>
        <v>0</v>
      </c>
      <c r="T13" s="17">
        <f>T12*(1-CF_Gen_1[[#This Row],[Cancellation_Ratio]])</f>
        <v>0.45010354567674238</v>
      </c>
      <c r="U13" s="19">
        <f>IF(CF_Gen_1[[#This Row],[Incurred]]&lt;=CF_Gen_1[[#This Row],[Valuation]],CF_Gen_1[[#This Row],[Expected_Premium]],-CF_Gen_1[[#This Row],[Probability_of_Inforce]]*CF_Gen_1[[#This Row],[Premium_Refund_Ratio]]*CF_Gen_1[[#This Row],[Cancellation_Ratio]]*SUM(K13:K$105))</f>
        <v>-1622076631.9084196</v>
      </c>
      <c r="V1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Row],[Cancellation_Ratio]]*SUM(L13:L$105))</f>
        <v>491310256.07477373</v>
      </c>
      <c r="W13" s="19">
        <f>CF_Gen_1[[#This Row],[Expected_Acquisition]]</f>
        <v>0</v>
      </c>
      <c r="X13" s="19">
        <f>-CF_Gen_1[[#This Row],[Probability_of_Inforce]]*CF_Gen_1[[#This Row],[Earned_Premium]]*(1-CF_Gen_1[[#This Row],[Cancellation_Ratio]])*CF_Gen_1[[#This Row],[PME_Ratio]]+CF_Gen_1[[#This Row],[ULAE_Ratio]]*CF_Gen_1[[#This Row],[Exp_Claim]]</f>
        <v>-91863079.684034228</v>
      </c>
      <c r="Y13" s="19">
        <f>-CF_Gen_1[[#This Row],[Probability_of_Inforce]]*CF_Gen_1[[#This Row],[Earned_Premium]]*(1-CF_Gen_1[[#This Row],[Cancellation_Ratio]])*CF_Gen_1[[#This Row],[Loss_Ratio]]</f>
        <v>-412867773.86082804</v>
      </c>
      <c r="Z13" s="19">
        <f>CF_Gen_1[[#This Row],[Exp_Claim]]*CF_Gen_1[[#This Row],[Risk_Adjustment_Ratio]]</f>
        <v>-57801488.340515934</v>
      </c>
      <c r="AA13" s="19">
        <f>IF(CF_Gen_1[[#This Row],[Contract]]="RC",-CF_Gen_1[[#This Row],[NPR_Ratio]]*CF_Gen_1[[#This Row],[Exp_Claim]],0)</f>
        <v>0</v>
      </c>
      <c r="AB13" s="19">
        <f>SUMIFS(Actual_CF[Actual_Premium],Actual_CF[ICG],CF_Gen_1[[#This Row],[ICG]],Actual_CF[Incurred],CF_Gen_1[[#This Row],[Incurred]])</f>
        <v>0</v>
      </c>
      <c r="AC13" s="19">
        <f>SUMIFS(Actual_CF[Actual_Commission],Actual_CF[ICG],CF_Gen_1[[#This Row],[ICG]],Actual_CF[Incurred],CF_Gen_1[[#This Row],[Incurred]])</f>
        <v>0</v>
      </c>
      <c r="AD13" s="19">
        <f>SUMIFS(Actual_CF[Actual_Acquisition],Actual_CF[ICG],CF_Gen_1[[#This Row],[ICG]],Actual_CF[Incurred],CF_Gen_1[[#This Row],[Incurred]])</f>
        <v>0</v>
      </c>
    </row>
    <row r="14" spans="1:30">
      <c r="A14" t="str">
        <f t="shared" si="1"/>
        <v>#2024#IC-Property</v>
      </c>
      <c r="B14">
        <f>_xlfn.XLOOKUP(CF_Gen_1[[#This Row],[ICG]],ICG[ICG],ICG[Cohort])</f>
        <v>2024</v>
      </c>
      <c r="C14" t="str">
        <f>_xlfn.XLOOKUP(CF_Gen_1[[#This Row],[ICG]],ICG[ICG],ICG[Portfolio])</f>
        <v>IC-Property</v>
      </c>
      <c r="D14" t="str">
        <f>_xlfn.XLOOKUP(CF_Gen_1[[#This Row],[ICG]],ICG[ICG],ICG[Contract])</f>
        <v>IC</v>
      </c>
      <c r="E14" s="2">
        <f t="shared" si="0"/>
        <v>45930</v>
      </c>
      <c r="F14">
        <v>13</v>
      </c>
      <c r="G14" s="2">
        <f>EOMONTH(DATE(YEAR(CF_Gen_1[[#This Row],[Valuation]])-1,12,31),CF_Gen_1[[#This Row],['#Incurred]]*3)</f>
        <v>46843</v>
      </c>
      <c r="H14" s="14">
        <f>SUMIFS(Expected_CF[Expected_Premium],Expected_CF[ICG],CF_Gen_1[[#This Row],[ICG]],Expected_CF[Incurred],CF_Gen_1[[#This Row],[Incurred]])</f>
        <v>0</v>
      </c>
      <c r="I14" s="14">
        <f>SUMIFS(Expected_CF[Expected_Commission],Expected_CF[ICG],CF_Gen_1[[#This Row],[ICG]],Expected_CF[Incurred],CF_Gen_1[[#This Row],[Incurred]])</f>
        <v>0</v>
      </c>
      <c r="J14" s="14">
        <f>IF(CF_Gen_1[[#This Row],[Contract]]="IC",SUMIFS(Expected_CF[Expected_Acquisition],Expected_CF[ICG],CF_Gen_1[[#This Row],[ICG]],Expected_CF[Incurred],CF_Gen_1[[#This Row],[Incurred]]),0)</f>
        <v>0</v>
      </c>
      <c r="K14" s="14">
        <f>SUMIFS(Earned[Earned_Premium],Earned[ICG],CF_Gen_1[[#This Row],[ICG]],Earned[Incurred],CF_Gen_1[[#This Row],[Incurred]])</f>
        <v>2435898970.2718821</v>
      </c>
      <c r="L14" s="14">
        <f>SUMIFS(Earned[Earned_Commission],Earned[ICG],CF_Gen_1[[#This Row],[ICG]],Earned[Incurred],CF_Gen_1[[#This Row],[Incurred]])</f>
        <v>-755216722.08121431</v>
      </c>
      <c r="M14" s="18">
        <f>_xlfn.XLOOKUP(CF_Gen_1[[#This Row],[ICG]],Assumptions[ICG],Assumptions[Loss_Ratio])</f>
        <v>0.4</v>
      </c>
      <c r="N14" s="18">
        <f>_xlfn.XLOOKUP(CF_Gen_1[[#This Row],[ICG]],Assumptions[ICG],Assumptions[Risk_Adjustment_Ratio])</f>
        <v>0.14000000000000001</v>
      </c>
      <c r="O14" s="18">
        <f>_xlfn.XLOOKUP(CF_Gen_1[[#This Row],[ICG]],Assumptions[ICG],Assumptions[PME_Ratio])</f>
        <v>4.4999999999999998E-2</v>
      </c>
      <c r="P14" s="18">
        <f>_xlfn.XLOOKUP(CF_Gen_1[[#This Row],[ICG]],Assumptions[ICG],Assumptions[ULAE_Ratio])</f>
        <v>0.11</v>
      </c>
      <c r="Q14" s="18">
        <f>_xlfn.XLOOKUP(CF_Gen_1[[#This Row],[ICG]],Assumptions[ICG],Assumptions[Cancellation_Ratio])</f>
        <v>7.0000000000000007E-2</v>
      </c>
      <c r="R14" s="18">
        <f>_xlfn.XLOOKUP(CF_Gen_1[[#This Row],[ICG]],Assumptions[ICG],Assumptions[Premium_Refund_Ratio])</f>
        <v>0.5</v>
      </c>
      <c r="S14" s="18">
        <f>IF(CF_Gen_1[[#This Row],[Contract]]="RC",_xlfn.XLOOKUP(CF_Gen_1[[#This Row],[ICG]],Assumptions[ICG],Assumptions[NPR_Ratio]),0)</f>
        <v>0</v>
      </c>
      <c r="T14" s="17">
        <f>T13*(1-CF_Gen_1[[#This Row],[Cancellation_Ratio]])</f>
        <v>0.41859629747937038</v>
      </c>
      <c r="U14" s="19">
        <f>IF(CF_Gen_1[[#This Row],[Incurred]]&lt;=CF_Gen_1[[#This Row],[Valuation]],CF_Gen_1[[#This Row],[Expected_Premium]],-CF_Gen_1[[#This Row],[Probability_of_Inforce]]*CF_Gen_1[[#This Row],[Premium_Refund_Ratio]]*CF_Gen_1[[#This Row],[Cancellation_Ratio]]*SUM(K14:K$105))</f>
        <v>-1472405337.4620078</v>
      </c>
      <c r="V1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Row],[Cancellation_Ratio]]*SUM(L14:L$105))</f>
        <v>445714778.68531847</v>
      </c>
      <c r="W14" s="19">
        <f>CF_Gen_1[[#This Row],[Expected_Acquisition]]</f>
        <v>0</v>
      </c>
      <c r="X14" s="19">
        <f>-CF_Gen_1[[#This Row],[Probability_of_Inforce]]*CF_Gen_1[[#This Row],[Earned_Premium]]*(1-CF_Gen_1[[#This Row],[Cancellation_Ratio]])*CF_Gen_1[[#This Row],[PME_Ratio]]+CF_Gen_1[[#This Row],[ULAE_Ratio]]*CF_Gen_1[[#This Row],[Exp_Claim]]</f>
        <v>-84397116.662440896</v>
      </c>
      <c r="Y14" s="19">
        <f>-CF_Gen_1[[#This Row],[Probability_of_Inforce]]*CF_Gen_1[[#This Row],[Earned_Premium]]*(1-CF_Gen_1[[#This Row],[Cancellation_Ratio]])*CF_Gen_1[[#This Row],[Loss_Ratio]]</f>
        <v>-379312883.87613893</v>
      </c>
      <c r="Z14" s="19">
        <f>CF_Gen_1[[#This Row],[Exp_Claim]]*CF_Gen_1[[#This Row],[Risk_Adjustment_Ratio]]</f>
        <v>-53103803.742659457</v>
      </c>
      <c r="AA14" s="19">
        <f>IF(CF_Gen_1[[#This Row],[Contract]]="RC",-CF_Gen_1[[#This Row],[NPR_Ratio]]*CF_Gen_1[[#This Row],[Exp_Claim]],0)</f>
        <v>0</v>
      </c>
      <c r="AB14" s="19">
        <f>SUMIFS(Actual_CF[Actual_Premium],Actual_CF[ICG],CF_Gen_1[[#This Row],[ICG]],Actual_CF[Incurred],CF_Gen_1[[#This Row],[Incurred]])</f>
        <v>0</v>
      </c>
      <c r="AC14" s="19">
        <f>SUMIFS(Actual_CF[Actual_Commission],Actual_CF[ICG],CF_Gen_1[[#This Row],[ICG]],Actual_CF[Incurred],CF_Gen_1[[#This Row],[Incurred]])</f>
        <v>0</v>
      </c>
      <c r="AD14" s="19">
        <f>SUMIFS(Actual_CF[Actual_Acquisition],Actual_CF[ICG],CF_Gen_1[[#This Row],[ICG]],Actual_CF[Incurred],CF_Gen_1[[#This Row],[Incurred]])</f>
        <v>0</v>
      </c>
    </row>
    <row r="15" spans="1:30">
      <c r="A15" t="str">
        <f t="shared" si="1"/>
        <v>#2024#IC-Property</v>
      </c>
      <c r="B15">
        <f>_xlfn.XLOOKUP(CF_Gen_1[[#This Row],[ICG]],ICG[ICG],ICG[Cohort])</f>
        <v>2024</v>
      </c>
      <c r="C15" t="str">
        <f>_xlfn.XLOOKUP(CF_Gen_1[[#This Row],[ICG]],ICG[ICG],ICG[Portfolio])</f>
        <v>IC-Property</v>
      </c>
      <c r="D15" t="str">
        <f>_xlfn.XLOOKUP(CF_Gen_1[[#This Row],[ICG]],ICG[ICG],ICG[Contract])</f>
        <v>IC</v>
      </c>
      <c r="E15" s="2">
        <f t="shared" si="0"/>
        <v>45930</v>
      </c>
      <c r="F15">
        <v>14</v>
      </c>
      <c r="G15" s="2">
        <f>EOMONTH(DATE(YEAR(CF_Gen_1[[#This Row],[Valuation]])-1,12,31),CF_Gen_1[[#This Row],['#Incurred]]*3)</f>
        <v>46934</v>
      </c>
      <c r="H15" s="14">
        <f>SUMIFS(Expected_CF[Expected_Premium],Expected_CF[ICG],CF_Gen_1[[#This Row],[ICG]],Expected_CF[Incurred],CF_Gen_1[[#This Row],[Incurred]])</f>
        <v>0</v>
      </c>
      <c r="I15" s="14">
        <f>SUMIFS(Expected_CF[Expected_Commission],Expected_CF[ICG],CF_Gen_1[[#This Row],[ICG]],Expected_CF[Incurred],CF_Gen_1[[#This Row],[Incurred]])</f>
        <v>0</v>
      </c>
      <c r="J15" s="14">
        <f>IF(CF_Gen_1[[#This Row],[Contract]]="IC",SUMIFS(Expected_CF[Expected_Acquisition],Expected_CF[ICG],CF_Gen_1[[#This Row],[ICG]],Expected_CF[Incurred],CF_Gen_1[[#This Row],[Incurred]]),0)</f>
        <v>0</v>
      </c>
      <c r="K15" s="14">
        <f>SUMIFS(Earned[Earned_Premium],Earned[ICG],CF_Gen_1[[#This Row],[ICG]],Earned[Incurred],CF_Gen_1[[#This Row],[Incurred]])</f>
        <v>2406010639.3483009</v>
      </c>
      <c r="L15" s="14">
        <f>SUMIFS(Earned[Earned_Commission],Earned[ICG],CF_Gen_1[[#This Row],[ICG]],Earned[Incurred],CF_Gen_1[[#This Row],[Incurred]])</f>
        <v>-745717140.67138779</v>
      </c>
      <c r="M15" s="18">
        <f>_xlfn.XLOOKUP(CF_Gen_1[[#This Row],[ICG]],Assumptions[ICG],Assumptions[Loss_Ratio])</f>
        <v>0.4</v>
      </c>
      <c r="N15" s="18">
        <f>_xlfn.XLOOKUP(CF_Gen_1[[#This Row],[ICG]],Assumptions[ICG],Assumptions[Risk_Adjustment_Ratio])</f>
        <v>0.14000000000000001</v>
      </c>
      <c r="O15" s="18">
        <f>_xlfn.XLOOKUP(CF_Gen_1[[#This Row],[ICG]],Assumptions[ICG],Assumptions[PME_Ratio])</f>
        <v>4.4999999999999998E-2</v>
      </c>
      <c r="P15" s="18">
        <f>_xlfn.XLOOKUP(CF_Gen_1[[#This Row],[ICG]],Assumptions[ICG],Assumptions[ULAE_Ratio])</f>
        <v>0.11</v>
      </c>
      <c r="Q15" s="18">
        <f>_xlfn.XLOOKUP(CF_Gen_1[[#This Row],[ICG]],Assumptions[ICG],Assumptions[Cancellation_Ratio])</f>
        <v>7.0000000000000007E-2</v>
      </c>
      <c r="R15" s="18">
        <f>_xlfn.XLOOKUP(CF_Gen_1[[#This Row],[ICG]],Assumptions[ICG],Assumptions[Premium_Refund_Ratio])</f>
        <v>0.5</v>
      </c>
      <c r="S15" s="18">
        <f>IF(CF_Gen_1[[#This Row],[Contract]]="RC",_xlfn.XLOOKUP(CF_Gen_1[[#This Row],[ICG]],Assumptions[ICG],Assumptions[NPR_Ratio]),0)</f>
        <v>0</v>
      </c>
      <c r="T15" s="17">
        <f>T14*(1-CF_Gen_1[[#This Row],[Cancellation_Ratio]])</f>
        <v>0.38929455665581442</v>
      </c>
      <c r="U15" s="19">
        <f>IF(CF_Gen_1[[#This Row],[Incurred]]&lt;=CF_Gen_1[[#This Row],[Valuation]],CF_Gen_1[[#This Row],[Expected_Premium]],-CF_Gen_1[[#This Row],[Probability_of_Inforce]]*CF_Gen_1[[#This Row],[Premium_Refund_Ratio]]*CF_Gen_1[[#This Row],[Cancellation_Ratio]]*SUM(K15:K$105))</f>
        <v>-1336147086.5005052</v>
      </c>
      <c r="V1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Row],[Cancellation_Ratio]]*SUM(L15:L$105))</f>
        <v>404224682.61228788</v>
      </c>
      <c r="W15" s="19">
        <f>CF_Gen_1[[#This Row],[Expected_Acquisition]]</f>
        <v>0</v>
      </c>
      <c r="X15" s="19">
        <f>-CF_Gen_1[[#This Row],[Probability_of_Inforce]]*CF_Gen_1[[#This Row],[Earned_Premium]]*(1-CF_Gen_1[[#This Row],[Cancellation_Ratio]])*CF_Gen_1[[#This Row],[PME_Ratio]]+CF_Gen_1[[#This Row],[ULAE_Ratio]]*CF_Gen_1[[#This Row],[Exp_Claim]]</f>
        <v>-77526259.373418868</v>
      </c>
      <c r="Y15" s="19">
        <f>-CF_Gen_1[[#This Row],[Probability_of_Inforce]]*CF_Gen_1[[#This Row],[Earned_Premium]]*(1-CF_Gen_1[[#This Row],[Cancellation_Ratio]])*CF_Gen_1[[#This Row],[Loss_Ratio]]</f>
        <v>-348432626.39738822</v>
      </c>
      <c r="Z15" s="19">
        <f>CF_Gen_1[[#This Row],[Exp_Claim]]*CF_Gen_1[[#This Row],[Risk_Adjustment_Ratio]]</f>
        <v>-48780567.695634358</v>
      </c>
      <c r="AA15" s="19">
        <f>IF(CF_Gen_1[[#This Row],[Contract]]="RC",-CF_Gen_1[[#This Row],[NPR_Ratio]]*CF_Gen_1[[#This Row],[Exp_Claim]],0)</f>
        <v>0</v>
      </c>
      <c r="AB15" s="19">
        <f>SUMIFS(Actual_CF[Actual_Premium],Actual_CF[ICG],CF_Gen_1[[#This Row],[ICG]],Actual_CF[Incurred],CF_Gen_1[[#This Row],[Incurred]])</f>
        <v>0</v>
      </c>
      <c r="AC15" s="19">
        <f>SUMIFS(Actual_CF[Actual_Commission],Actual_CF[ICG],CF_Gen_1[[#This Row],[ICG]],Actual_CF[Incurred],CF_Gen_1[[#This Row],[Incurred]])</f>
        <v>0</v>
      </c>
      <c r="AD15" s="19">
        <f>SUMIFS(Actual_CF[Actual_Acquisition],Actual_CF[ICG],CF_Gen_1[[#This Row],[ICG]],Actual_CF[Incurred],CF_Gen_1[[#This Row],[Incurred]])</f>
        <v>0</v>
      </c>
    </row>
    <row r="16" spans="1:30">
      <c r="A16" t="str">
        <f t="shared" si="1"/>
        <v>#2024#IC-Property</v>
      </c>
      <c r="B16">
        <f>_xlfn.XLOOKUP(CF_Gen_1[[#This Row],[ICG]],ICG[ICG],ICG[Cohort])</f>
        <v>2024</v>
      </c>
      <c r="C16" t="str">
        <f>_xlfn.XLOOKUP(CF_Gen_1[[#This Row],[ICG]],ICG[ICG],ICG[Portfolio])</f>
        <v>IC-Property</v>
      </c>
      <c r="D16" t="str">
        <f>_xlfn.XLOOKUP(CF_Gen_1[[#This Row],[ICG]],ICG[ICG],ICG[Contract])</f>
        <v>IC</v>
      </c>
      <c r="E16" s="2">
        <f t="shared" si="0"/>
        <v>45930</v>
      </c>
      <c r="F16">
        <v>15</v>
      </c>
      <c r="G16" s="2">
        <f>EOMONTH(DATE(YEAR(CF_Gen_1[[#This Row],[Valuation]])-1,12,31),CF_Gen_1[[#This Row],['#Incurred]]*3)</f>
        <v>47026</v>
      </c>
      <c r="H16" s="14">
        <f>SUMIFS(Expected_CF[Expected_Premium],Expected_CF[ICG],CF_Gen_1[[#This Row],[ICG]],Expected_CF[Incurred],CF_Gen_1[[#This Row],[Incurred]])</f>
        <v>0</v>
      </c>
      <c r="I16" s="14">
        <f>SUMIFS(Expected_CF[Expected_Commission],Expected_CF[ICG],CF_Gen_1[[#This Row],[ICG]],Expected_CF[Incurred],CF_Gen_1[[#This Row],[Incurred]])</f>
        <v>0</v>
      </c>
      <c r="J16" s="14">
        <f>IF(CF_Gen_1[[#This Row],[Contract]]="IC",SUMIFS(Expected_CF[Expected_Acquisition],Expected_CF[ICG],CF_Gen_1[[#This Row],[ICG]],Expected_CF[Incurred],CF_Gen_1[[#This Row],[Incurred]]),0)</f>
        <v>0</v>
      </c>
      <c r="K16" s="14">
        <f>SUMIFS(Earned[Earned_Premium],Earned[ICG],CF_Gen_1[[#This Row],[ICG]],Earned[Incurred],CF_Gen_1[[#This Row],[Incurred]])</f>
        <v>2376122308.4247198</v>
      </c>
      <c r="L16" s="14">
        <f>SUMIFS(Earned[Earned_Commission],Earned[ICG],CF_Gen_1[[#This Row],[ICG]],Earned[Incurred],CF_Gen_1[[#This Row],[Incurred]])</f>
        <v>-736217559.26156127</v>
      </c>
      <c r="M16" s="18">
        <f>_xlfn.XLOOKUP(CF_Gen_1[[#This Row],[ICG]],Assumptions[ICG],Assumptions[Loss_Ratio])</f>
        <v>0.4</v>
      </c>
      <c r="N16" s="18">
        <f>_xlfn.XLOOKUP(CF_Gen_1[[#This Row],[ICG]],Assumptions[ICG],Assumptions[Risk_Adjustment_Ratio])</f>
        <v>0.14000000000000001</v>
      </c>
      <c r="O16" s="18">
        <f>_xlfn.XLOOKUP(CF_Gen_1[[#This Row],[ICG]],Assumptions[ICG],Assumptions[PME_Ratio])</f>
        <v>4.4999999999999998E-2</v>
      </c>
      <c r="P16" s="18">
        <f>_xlfn.XLOOKUP(CF_Gen_1[[#This Row],[ICG]],Assumptions[ICG],Assumptions[ULAE_Ratio])</f>
        <v>0.11</v>
      </c>
      <c r="Q16" s="18">
        <f>_xlfn.XLOOKUP(CF_Gen_1[[#This Row],[ICG]],Assumptions[ICG],Assumptions[Cancellation_Ratio])</f>
        <v>7.0000000000000007E-2</v>
      </c>
      <c r="R16" s="18">
        <f>_xlfn.XLOOKUP(CF_Gen_1[[#This Row],[ICG]],Assumptions[ICG],Assumptions[Premium_Refund_Ratio])</f>
        <v>0.5</v>
      </c>
      <c r="S16" s="18">
        <f>IF(CF_Gen_1[[#This Row],[Contract]]="RC",_xlfn.XLOOKUP(CF_Gen_1[[#This Row],[ICG]],Assumptions[ICG],Assumptions[NPR_Ratio]),0)</f>
        <v>0</v>
      </c>
      <c r="T16" s="17">
        <f>T15*(1-CF_Gen_1[[#This Row],[Cancellation_Ratio]])</f>
        <v>0.36204393768990739</v>
      </c>
      <c r="U16" s="19">
        <f>IF(CF_Gen_1[[#This Row],[Incurred]]&lt;=CF_Gen_1[[#This Row],[Valuation]],CF_Gen_1[[#This Row],[Expected_Premium]],-CF_Gen_1[[#This Row],[Probability_of_Inforce]]*CF_Gen_1[[#This Row],[Premium_Refund_Ratio]]*CF_Gen_1[[#This Row],[Cancellation_Ratio]]*SUM(K16:K$105))</f>
        <v>-1212128935.6356981</v>
      </c>
      <c r="V1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Row],[Cancellation_Ratio]]*SUM(L16:L$105))</f>
        <v>366479571.87902427</v>
      </c>
      <c r="W16" s="19">
        <f>CF_Gen_1[[#This Row],[Expected_Acquisition]]</f>
        <v>0</v>
      </c>
      <c r="X16" s="19">
        <f>-CF_Gen_1[[#This Row],[Probability_of_Inforce]]*CF_Gen_1[[#This Row],[Earned_Premium]]*(1-CF_Gen_1[[#This Row],[Cancellation_Ratio]])*CF_Gen_1[[#This Row],[PME_Ratio]]+CF_Gen_1[[#This Row],[ULAE_Ratio]]*CF_Gen_1[[#This Row],[Exp_Claim]]</f>
        <v>-71203776.233213961</v>
      </c>
      <c r="Y16" s="19">
        <f>-CF_Gen_1[[#This Row],[Probability_of_Inforce]]*CF_Gen_1[[#This Row],[Earned_Premium]]*(1-CF_Gen_1[[#This Row],[Cancellation_Ratio]])*CF_Gen_1[[#This Row],[Loss_Ratio]]</f>
        <v>-320016971.83466953</v>
      </c>
      <c r="Z16" s="19">
        <f>CF_Gen_1[[#This Row],[Exp_Claim]]*CF_Gen_1[[#This Row],[Risk_Adjustment_Ratio]]</f>
        <v>-44802376.056853741</v>
      </c>
      <c r="AA16" s="19">
        <f>IF(CF_Gen_1[[#This Row],[Contract]]="RC",-CF_Gen_1[[#This Row],[NPR_Ratio]]*CF_Gen_1[[#This Row],[Exp_Claim]],0)</f>
        <v>0</v>
      </c>
      <c r="AB16" s="19">
        <f>SUMIFS(Actual_CF[Actual_Premium],Actual_CF[ICG],CF_Gen_1[[#This Row],[ICG]],Actual_CF[Incurred],CF_Gen_1[[#This Row],[Incurred]])</f>
        <v>0</v>
      </c>
      <c r="AC16" s="19">
        <f>SUMIFS(Actual_CF[Actual_Commission],Actual_CF[ICG],CF_Gen_1[[#This Row],[ICG]],Actual_CF[Incurred],CF_Gen_1[[#This Row],[Incurred]])</f>
        <v>0</v>
      </c>
      <c r="AD16" s="19">
        <f>SUMIFS(Actual_CF[Actual_Acquisition],Actual_CF[ICG],CF_Gen_1[[#This Row],[ICG]],Actual_CF[Incurred],CF_Gen_1[[#This Row],[Incurred]])</f>
        <v>0</v>
      </c>
    </row>
    <row r="17" spans="1:30">
      <c r="A17" t="str">
        <f t="shared" si="1"/>
        <v>#2024#IC-Property</v>
      </c>
      <c r="B17">
        <f>_xlfn.XLOOKUP(CF_Gen_1[[#This Row],[ICG]],ICG[ICG],ICG[Cohort])</f>
        <v>2024</v>
      </c>
      <c r="C17" t="str">
        <f>_xlfn.XLOOKUP(CF_Gen_1[[#This Row],[ICG]],ICG[ICG],ICG[Portfolio])</f>
        <v>IC-Property</v>
      </c>
      <c r="D17" t="str">
        <f>_xlfn.XLOOKUP(CF_Gen_1[[#This Row],[ICG]],ICG[ICG],ICG[Contract])</f>
        <v>IC</v>
      </c>
      <c r="E17" s="2">
        <f t="shared" si="0"/>
        <v>45930</v>
      </c>
      <c r="F17">
        <v>16</v>
      </c>
      <c r="G17" s="2">
        <f>EOMONTH(DATE(YEAR(CF_Gen_1[[#This Row],[Valuation]])-1,12,31),CF_Gen_1[[#This Row],['#Incurred]]*3)</f>
        <v>47118</v>
      </c>
      <c r="H17" s="14">
        <f>SUMIFS(Expected_CF[Expected_Premium],Expected_CF[ICG],CF_Gen_1[[#This Row],[ICG]],Expected_CF[Incurred],CF_Gen_1[[#This Row],[Incurred]])</f>
        <v>0</v>
      </c>
      <c r="I17" s="14">
        <f>SUMIFS(Expected_CF[Expected_Commission],Expected_CF[ICG],CF_Gen_1[[#This Row],[ICG]],Expected_CF[Incurred],CF_Gen_1[[#This Row],[Incurred]])</f>
        <v>0</v>
      </c>
      <c r="J17" s="14">
        <f>IF(CF_Gen_1[[#This Row],[Contract]]="IC",SUMIFS(Expected_CF[Expected_Acquisition],Expected_CF[ICG],CF_Gen_1[[#This Row],[ICG]],Expected_CF[Incurred],CF_Gen_1[[#This Row],[Incurred]]),0)</f>
        <v>0</v>
      </c>
      <c r="K17" s="14">
        <f>SUMIFS(Earned[Earned_Premium],Earned[ICG],CF_Gen_1[[#This Row],[ICG]],Earned[Incurred],CF_Gen_1[[#This Row],[Incurred]])</f>
        <v>2346233977.5011387</v>
      </c>
      <c r="L17" s="14">
        <f>SUMIFS(Earned[Earned_Commission],Earned[ICG],CF_Gen_1[[#This Row],[ICG]],Earned[Incurred],CF_Gen_1[[#This Row],[Incurred]])</f>
        <v>-726717977.85173476</v>
      </c>
      <c r="M17" s="18">
        <f>_xlfn.XLOOKUP(CF_Gen_1[[#This Row],[ICG]],Assumptions[ICG],Assumptions[Loss_Ratio])</f>
        <v>0.4</v>
      </c>
      <c r="N17" s="18">
        <f>_xlfn.XLOOKUP(CF_Gen_1[[#This Row],[ICG]],Assumptions[ICG],Assumptions[Risk_Adjustment_Ratio])</f>
        <v>0.14000000000000001</v>
      </c>
      <c r="O17" s="18">
        <f>_xlfn.XLOOKUP(CF_Gen_1[[#This Row],[ICG]],Assumptions[ICG],Assumptions[PME_Ratio])</f>
        <v>4.4999999999999998E-2</v>
      </c>
      <c r="P17" s="18">
        <f>_xlfn.XLOOKUP(CF_Gen_1[[#This Row],[ICG]],Assumptions[ICG],Assumptions[ULAE_Ratio])</f>
        <v>0.11</v>
      </c>
      <c r="Q17" s="18">
        <f>_xlfn.XLOOKUP(CF_Gen_1[[#This Row],[ICG]],Assumptions[ICG],Assumptions[Cancellation_Ratio])</f>
        <v>7.0000000000000007E-2</v>
      </c>
      <c r="R17" s="18">
        <f>_xlfn.XLOOKUP(CF_Gen_1[[#This Row],[ICG]],Assumptions[ICG],Assumptions[Premium_Refund_Ratio])</f>
        <v>0.5</v>
      </c>
      <c r="S17" s="18">
        <f>IF(CF_Gen_1[[#This Row],[Contract]]="RC",_xlfn.XLOOKUP(CF_Gen_1[[#This Row],[ICG]],Assumptions[ICG],Assumptions[NPR_Ratio]),0)</f>
        <v>0</v>
      </c>
      <c r="T17" s="17">
        <f>T16*(1-CF_Gen_1[[#This Row],[Cancellation_Ratio]])</f>
        <v>0.33670086205161387</v>
      </c>
      <c r="U17" s="19">
        <f>IF(CF_Gen_1[[#This Row],[Incurred]]&lt;=CF_Gen_1[[#This Row],[Valuation]],CF_Gen_1[[#This Row],[Expected_Premium]],-CF_Gen_1[[#This Row],[Probability_of_Inforce]]*CF_Gen_1[[#This Row],[Premium_Refund_Ratio]]*CF_Gen_1[[#This Row],[Cancellation_Ratio]]*SUM(K17:K$105))</f>
        <v>-1099278425.1056654</v>
      </c>
      <c r="V1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Row],[Cancellation_Ratio]]*SUM(L17:L$105))</f>
        <v>332150023.80736095</v>
      </c>
      <c r="W17" s="19">
        <f>CF_Gen_1[[#This Row],[Expected_Acquisition]]</f>
        <v>0</v>
      </c>
      <c r="X17" s="19">
        <f>-CF_Gen_1[[#This Row],[Probability_of_Inforce]]*CF_Gen_1[[#This Row],[Earned_Premium]]*(1-CF_Gen_1[[#This Row],[Cancellation_Ratio]])*CF_Gen_1[[#This Row],[PME_Ratio]]+CF_Gen_1[[#This Row],[ULAE_Ratio]]*CF_Gen_1[[#This Row],[Exp_Claim]]</f>
        <v>-65386562.061708011</v>
      </c>
      <c r="Y17" s="19">
        <f>-CF_Gen_1[[#This Row],[Probability_of_Inforce]]*CF_Gen_1[[#This Row],[Earned_Premium]]*(1-CF_Gen_1[[#This Row],[Cancellation_Ratio]])*CF_Gen_1[[#This Row],[Loss_Ratio]]</f>
        <v>-293872189.04138434</v>
      </c>
      <c r="Z17" s="19">
        <f>CF_Gen_1[[#This Row],[Exp_Claim]]*CF_Gen_1[[#This Row],[Risk_Adjustment_Ratio]]</f>
        <v>-41142106.465793811</v>
      </c>
      <c r="AA17" s="19">
        <f>IF(CF_Gen_1[[#This Row],[Contract]]="RC",-CF_Gen_1[[#This Row],[NPR_Ratio]]*CF_Gen_1[[#This Row],[Exp_Claim]],0)</f>
        <v>0</v>
      </c>
      <c r="AB17" s="19">
        <f>SUMIFS(Actual_CF[Actual_Premium],Actual_CF[ICG],CF_Gen_1[[#This Row],[ICG]],Actual_CF[Incurred],CF_Gen_1[[#This Row],[Incurred]])</f>
        <v>0</v>
      </c>
      <c r="AC17" s="19">
        <f>SUMIFS(Actual_CF[Actual_Commission],Actual_CF[ICG],CF_Gen_1[[#This Row],[ICG]],Actual_CF[Incurred],CF_Gen_1[[#This Row],[Incurred]])</f>
        <v>0</v>
      </c>
      <c r="AD17" s="19">
        <f>SUMIFS(Actual_CF[Actual_Acquisition],Actual_CF[ICG],CF_Gen_1[[#This Row],[ICG]],Actual_CF[Incurred],CF_Gen_1[[#This Row],[Incurred]])</f>
        <v>0</v>
      </c>
    </row>
    <row r="18" spans="1:30">
      <c r="A18" t="str">
        <f t="shared" si="1"/>
        <v>#2024#IC-Property</v>
      </c>
      <c r="B18">
        <f>_xlfn.XLOOKUP(CF_Gen_1[[#This Row],[ICG]],ICG[ICG],ICG[Cohort])</f>
        <v>2024</v>
      </c>
      <c r="C18" t="str">
        <f>_xlfn.XLOOKUP(CF_Gen_1[[#This Row],[ICG]],ICG[ICG],ICG[Portfolio])</f>
        <v>IC-Property</v>
      </c>
      <c r="D18" t="str">
        <f>_xlfn.XLOOKUP(CF_Gen_1[[#This Row],[ICG]],ICG[ICG],ICG[Contract])</f>
        <v>IC</v>
      </c>
      <c r="E18" s="2">
        <f t="shared" si="0"/>
        <v>45930</v>
      </c>
      <c r="F18">
        <v>17</v>
      </c>
      <c r="G18" s="2">
        <f>EOMONTH(DATE(YEAR(CF_Gen_1[[#This Row],[Valuation]])-1,12,31),CF_Gen_1[[#This Row],['#Incurred]]*3)</f>
        <v>47208</v>
      </c>
      <c r="H18" s="14">
        <f>SUMIFS(Expected_CF[Expected_Premium],Expected_CF[ICG],CF_Gen_1[[#This Row],[ICG]],Expected_CF[Incurred],CF_Gen_1[[#This Row],[Incurred]])</f>
        <v>0</v>
      </c>
      <c r="I18" s="14">
        <f>SUMIFS(Expected_CF[Expected_Commission],Expected_CF[ICG],CF_Gen_1[[#This Row],[ICG]],Expected_CF[Incurred],CF_Gen_1[[#This Row],[Incurred]])</f>
        <v>0</v>
      </c>
      <c r="J18" s="14">
        <f>IF(CF_Gen_1[[#This Row],[Contract]]="IC",SUMIFS(Expected_CF[Expected_Acquisition],Expected_CF[ICG],CF_Gen_1[[#This Row],[ICG]],Expected_CF[Incurred],CF_Gen_1[[#This Row],[Incurred]]),0)</f>
        <v>0</v>
      </c>
      <c r="K18" s="14">
        <f>SUMIFS(Earned[Earned_Premium],Earned[ICG],CF_Gen_1[[#This Row],[ICG]],Earned[Incurred],CF_Gen_1[[#This Row],[Incurred]])</f>
        <v>2316345646.5775571</v>
      </c>
      <c r="L18" s="14">
        <f>SUMIFS(Earned[Earned_Commission],Earned[ICG],CF_Gen_1[[#This Row],[ICG]],Earned[Incurred],CF_Gen_1[[#This Row],[Incurred]])</f>
        <v>-717218396.44190824</v>
      </c>
      <c r="M18" s="18">
        <f>_xlfn.XLOOKUP(CF_Gen_1[[#This Row],[ICG]],Assumptions[ICG],Assumptions[Loss_Ratio])</f>
        <v>0.4</v>
      </c>
      <c r="N18" s="18">
        <f>_xlfn.XLOOKUP(CF_Gen_1[[#This Row],[ICG]],Assumptions[ICG],Assumptions[Risk_Adjustment_Ratio])</f>
        <v>0.14000000000000001</v>
      </c>
      <c r="O18" s="18">
        <f>_xlfn.XLOOKUP(CF_Gen_1[[#This Row],[ICG]],Assumptions[ICG],Assumptions[PME_Ratio])</f>
        <v>4.4999999999999998E-2</v>
      </c>
      <c r="P18" s="18">
        <f>_xlfn.XLOOKUP(CF_Gen_1[[#This Row],[ICG]],Assumptions[ICG],Assumptions[ULAE_Ratio])</f>
        <v>0.11</v>
      </c>
      <c r="Q18" s="18">
        <f>_xlfn.XLOOKUP(CF_Gen_1[[#This Row],[ICG]],Assumptions[ICG],Assumptions[Cancellation_Ratio])</f>
        <v>7.0000000000000007E-2</v>
      </c>
      <c r="R18" s="18">
        <f>_xlfn.XLOOKUP(CF_Gen_1[[#This Row],[ICG]],Assumptions[ICG],Assumptions[Premium_Refund_Ratio])</f>
        <v>0.5</v>
      </c>
      <c r="S18" s="18">
        <f>IF(CF_Gen_1[[#This Row],[Contract]]="RC",_xlfn.XLOOKUP(CF_Gen_1[[#This Row],[ICG]],Assumptions[ICG],Assumptions[NPR_Ratio]),0)</f>
        <v>0</v>
      </c>
      <c r="T18" s="17">
        <f>T17*(1-CF_Gen_1[[#This Row],[Cancellation_Ratio]])</f>
        <v>0.31313180170800087</v>
      </c>
      <c r="U18" s="19">
        <f>IF(CF_Gen_1[[#This Row],[Incurred]]&lt;=CF_Gen_1[[#This Row],[Valuation]],CF_Gen_1[[#This Row],[Expected_Premium]],-CF_Gen_1[[#This Row],[Probability_of_Inforce]]*CF_Gen_1[[#This Row],[Premium_Refund_Ratio]]*CF_Gen_1[[#This Row],[Cancellation_Ratio]]*SUM(K18:K$105))</f>
        <v>-996615118.80714786</v>
      </c>
      <c r="V1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Row],[Cancellation_Ratio]]*SUM(L18:L$105))</f>
        <v>300934974.30000484</v>
      </c>
      <c r="W18" s="19">
        <f>CF_Gen_1[[#This Row],[Expected_Acquisition]]</f>
        <v>0</v>
      </c>
      <c r="X18" s="19">
        <f>-CF_Gen_1[[#This Row],[Probability_of_Inforce]]*CF_Gen_1[[#This Row],[Earned_Premium]]*(1-CF_Gen_1[[#This Row],[Cancellation_Ratio]])*CF_Gen_1[[#This Row],[PME_Ratio]]+CF_Gen_1[[#This Row],[ULAE_Ratio]]*CF_Gen_1[[#This Row],[Exp_Claim]]</f>
        <v>-60034859.37067011</v>
      </c>
      <c r="Y18" s="19">
        <f>-CF_Gen_1[[#This Row],[Probability_of_Inforce]]*CF_Gen_1[[#This Row],[Earned_Premium]]*(1-CF_Gen_1[[#This Row],[Cancellation_Ratio]])*CF_Gen_1[[#This Row],[Loss_Ratio]]</f>
        <v>-269819592.67716902</v>
      </c>
      <c r="Z18" s="19">
        <f>CF_Gen_1[[#This Row],[Exp_Claim]]*CF_Gen_1[[#This Row],[Risk_Adjustment_Ratio]]</f>
        <v>-37774742.974803664</v>
      </c>
      <c r="AA18" s="19">
        <f>IF(CF_Gen_1[[#This Row],[Contract]]="RC",-CF_Gen_1[[#This Row],[NPR_Ratio]]*CF_Gen_1[[#This Row],[Exp_Claim]],0)</f>
        <v>0</v>
      </c>
      <c r="AB18" s="19">
        <f>SUMIFS(Actual_CF[Actual_Premium],Actual_CF[ICG],CF_Gen_1[[#This Row],[ICG]],Actual_CF[Incurred],CF_Gen_1[[#This Row],[Incurred]])</f>
        <v>0</v>
      </c>
      <c r="AC18" s="19">
        <f>SUMIFS(Actual_CF[Actual_Commission],Actual_CF[ICG],CF_Gen_1[[#This Row],[ICG]],Actual_CF[Incurred],CF_Gen_1[[#This Row],[Incurred]])</f>
        <v>0</v>
      </c>
      <c r="AD18" s="19">
        <f>SUMIFS(Actual_CF[Actual_Acquisition],Actual_CF[ICG],CF_Gen_1[[#This Row],[ICG]],Actual_CF[Incurred],CF_Gen_1[[#This Row],[Incurred]])</f>
        <v>0</v>
      </c>
    </row>
    <row r="19" spans="1:30">
      <c r="A19" t="str">
        <f t="shared" si="1"/>
        <v>#2024#IC-Property</v>
      </c>
      <c r="B19">
        <f>_xlfn.XLOOKUP(CF_Gen_1[[#This Row],[ICG]],ICG[ICG],ICG[Cohort])</f>
        <v>2024</v>
      </c>
      <c r="C19" t="str">
        <f>_xlfn.XLOOKUP(CF_Gen_1[[#This Row],[ICG]],ICG[ICG],ICG[Portfolio])</f>
        <v>IC-Property</v>
      </c>
      <c r="D19" t="str">
        <f>_xlfn.XLOOKUP(CF_Gen_1[[#This Row],[ICG]],ICG[ICG],ICG[Contract])</f>
        <v>IC</v>
      </c>
      <c r="E19" s="2">
        <f t="shared" si="0"/>
        <v>45930</v>
      </c>
      <c r="F19">
        <v>18</v>
      </c>
      <c r="G19" s="2">
        <f>EOMONTH(DATE(YEAR(CF_Gen_1[[#This Row],[Valuation]])-1,12,31),CF_Gen_1[[#This Row],['#Incurred]]*3)</f>
        <v>47299</v>
      </c>
      <c r="H19" s="14">
        <f>SUMIFS(Expected_CF[Expected_Premium],Expected_CF[ICG],CF_Gen_1[[#This Row],[ICG]],Expected_CF[Incurred],CF_Gen_1[[#This Row],[Incurred]])</f>
        <v>0</v>
      </c>
      <c r="I19" s="14">
        <f>SUMIFS(Expected_CF[Expected_Commission],Expected_CF[ICG],CF_Gen_1[[#This Row],[ICG]],Expected_CF[Incurred],CF_Gen_1[[#This Row],[Incurred]])</f>
        <v>0</v>
      </c>
      <c r="J19" s="14">
        <f>IF(CF_Gen_1[[#This Row],[Contract]]="IC",SUMIFS(Expected_CF[Expected_Acquisition],Expected_CF[ICG],CF_Gen_1[[#This Row],[ICG]],Expected_CF[Incurred],CF_Gen_1[[#This Row],[Incurred]]),0)</f>
        <v>0</v>
      </c>
      <c r="K19" s="14">
        <f>SUMIFS(Earned[Earned_Premium],Earned[ICG],CF_Gen_1[[#This Row],[ICG]],Earned[Incurred],CF_Gen_1[[#This Row],[Incurred]])</f>
        <v>2286457315.653976</v>
      </c>
      <c r="L19" s="14">
        <f>SUMIFS(Earned[Earned_Commission],Earned[ICG],CF_Gen_1[[#This Row],[ICG]],Earned[Incurred],CF_Gen_1[[#This Row],[Incurred]])</f>
        <v>-707718815.03208172</v>
      </c>
      <c r="M19" s="18">
        <f>_xlfn.XLOOKUP(CF_Gen_1[[#This Row],[ICG]],Assumptions[ICG],Assumptions[Loss_Ratio])</f>
        <v>0.4</v>
      </c>
      <c r="N19" s="18">
        <f>_xlfn.XLOOKUP(CF_Gen_1[[#This Row],[ICG]],Assumptions[ICG],Assumptions[Risk_Adjustment_Ratio])</f>
        <v>0.14000000000000001</v>
      </c>
      <c r="O19" s="18">
        <f>_xlfn.XLOOKUP(CF_Gen_1[[#This Row],[ICG]],Assumptions[ICG],Assumptions[PME_Ratio])</f>
        <v>4.4999999999999998E-2</v>
      </c>
      <c r="P19" s="18">
        <f>_xlfn.XLOOKUP(CF_Gen_1[[#This Row],[ICG]],Assumptions[ICG],Assumptions[ULAE_Ratio])</f>
        <v>0.11</v>
      </c>
      <c r="Q19" s="18">
        <f>_xlfn.XLOOKUP(CF_Gen_1[[#This Row],[ICG]],Assumptions[ICG],Assumptions[Cancellation_Ratio])</f>
        <v>7.0000000000000007E-2</v>
      </c>
      <c r="R19" s="18">
        <f>_xlfn.XLOOKUP(CF_Gen_1[[#This Row],[ICG]],Assumptions[ICG],Assumptions[Premium_Refund_Ratio])</f>
        <v>0.5</v>
      </c>
      <c r="S19" s="18">
        <f>IF(CF_Gen_1[[#This Row],[Contract]]="RC",_xlfn.XLOOKUP(CF_Gen_1[[#This Row],[ICG]],Assumptions[ICG],Assumptions[NPR_Ratio]),0)</f>
        <v>0</v>
      </c>
      <c r="T19" s="17">
        <f>T18*(1-CF_Gen_1[[#This Row],[Cancellation_Ratio]])</f>
        <v>0.29121257558844077</v>
      </c>
      <c r="U19" s="19">
        <f>IF(CF_Gen_1[[#This Row],[Incurred]]&lt;=CF_Gen_1[[#This Row],[Valuation]],CF_Gen_1[[#This Row],[Expected_Premium]],-CF_Gen_1[[#This Row],[Probability_of_Inforce]]*CF_Gen_1[[#This Row],[Premium_Refund_Ratio]]*CF_Gen_1[[#This Row],[Cancellation_Ratio]]*SUM(K19:K$105))</f>
        <v>-903242846.13139486</v>
      </c>
      <c r="V1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Row],[Cancellation_Ratio]]*SUM(L19:L$105))</f>
        <v>272559320.52195042</v>
      </c>
      <c r="W19" s="19">
        <f>CF_Gen_1[[#This Row],[Expected_Acquisition]]</f>
        <v>0</v>
      </c>
      <c r="X19" s="19">
        <f>-CF_Gen_1[[#This Row],[Probability_of_Inforce]]*CF_Gen_1[[#This Row],[Earned_Premium]]*(1-CF_Gen_1[[#This Row],[Cancellation_Ratio]])*CF_Gen_1[[#This Row],[PME_Ratio]]+CF_Gen_1[[#This Row],[ULAE_Ratio]]*CF_Gen_1[[#This Row],[Exp_Claim]]</f>
        <v>-55112000.902275167</v>
      </c>
      <c r="Y19" s="19">
        <f>-CF_Gen_1[[#This Row],[Probability_of_Inforce]]*CF_Gen_1[[#This Row],[Earned_Premium]]*(1-CF_Gen_1[[#This Row],[Cancellation_Ratio]])*CF_Gen_1[[#This Row],[Loss_Ratio]]</f>
        <v>-247694386.07764122</v>
      </c>
      <c r="Z19" s="19">
        <f>CF_Gen_1[[#This Row],[Exp_Claim]]*CF_Gen_1[[#This Row],[Risk_Adjustment_Ratio]]</f>
        <v>-34677214.05086977</v>
      </c>
      <c r="AA19" s="19">
        <f>IF(CF_Gen_1[[#This Row],[Contract]]="RC",-CF_Gen_1[[#This Row],[NPR_Ratio]]*CF_Gen_1[[#This Row],[Exp_Claim]],0)</f>
        <v>0</v>
      </c>
      <c r="AB19" s="19">
        <f>SUMIFS(Actual_CF[Actual_Premium],Actual_CF[ICG],CF_Gen_1[[#This Row],[ICG]],Actual_CF[Incurred],CF_Gen_1[[#This Row],[Incurred]])</f>
        <v>0</v>
      </c>
      <c r="AC19" s="19">
        <f>SUMIFS(Actual_CF[Actual_Commission],Actual_CF[ICG],CF_Gen_1[[#This Row],[ICG]],Actual_CF[Incurred],CF_Gen_1[[#This Row],[Incurred]])</f>
        <v>0</v>
      </c>
      <c r="AD19" s="19">
        <f>SUMIFS(Actual_CF[Actual_Acquisition],Actual_CF[ICG],CF_Gen_1[[#This Row],[ICG]],Actual_CF[Incurred],CF_Gen_1[[#This Row],[Incurred]])</f>
        <v>0</v>
      </c>
    </row>
    <row r="20" spans="1:30">
      <c r="A20" t="str">
        <f t="shared" si="1"/>
        <v>#2024#IC-Property</v>
      </c>
      <c r="B20">
        <f>_xlfn.XLOOKUP(CF_Gen_1[[#This Row],[ICG]],ICG[ICG],ICG[Cohort])</f>
        <v>2024</v>
      </c>
      <c r="C20" t="str">
        <f>_xlfn.XLOOKUP(CF_Gen_1[[#This Row],[ICG]],ICG[ICG],ICG[Portfolio])</f>
        <v>IC-Property</v>
      </c>
      <c r="D20" t="str">
        <f>_xlfn.XLOOKUP(CF_Gen_1[[#This Row],[ICG]],ICG[ICG],ICG[Contract])</f>
        <v>IC</v>
      </c>
      <c r="E20" s="2">
        <f t="shared" si="0"/>
        <v>45930</v>
      </c>
      <c r="F20">
        <v>19</v>
      </c>
      <c r="G20" s="2">
        <f>EOMONTH(DATE(YEAR(CF_Gen_1[[#This Row],[Valuation]])-1,12,31),CF_Gen_1[[#This Row],['#Incurred]]*3)</f>
        <v>47391</v>
      </c>
      <c r="H20" s="14">
        <f>SUMIFS(Expected_CF[Expected_Premium],Expected_CF[ICG],CF_Gen_1[[#This Row],[ICG]],Expected_CF[Incurred],CF_Gen_1[[#This Row],[Incurred]])</f>
        <v>0</v>
      </c>
      <c r="I20" s="14">
        <f>SUMIFS(Expected_CF[Expected_Commission],Expected_CF[ICG],CF_Gen_1[[#This Row],[ICG]],Expected_CF[Incurred],CF_Gen_1[[#This Row],[Incurred]])</f>
        <v>0</v>
      </c>
      <c r="J20" s="14">
        <f>IF(CF_Gen_1[[#This Row],[Contract]]="IC",SUMIFS(Expected_CF[Expected_Acquisition],Expected_CF[ICG],CF_Gen_1[[#This Row],[ICG]],Expected_CF[Incurred],CF_Gen_1[[#This Row],[Incurred]]),0)</f>
        <v>0</v>
      </c>
      <c r="K20" s="14">
        <f>SUMIFS(Earned[Earned_Premium],Earned[ICG],CF_Gen_1[[#This Row],[ICG]],Earned[Incurred],CF_Gen_1[[#This Row],[Incurred]])</f>
        <v>2256568984.7303944</v>
      </c>
      <c r="L20" s="14">
        <f>SUMIFS(Earned[Earned_Commission],Earned[ICG],CF_Gen_1[[#This Row],[ICG]],Earned[Incurred],CF_Gen_1[[#This Row],[Incurred]])</f>
        <v>-698219233.62225509</v>
      </c>
      <c r="M20" s="18">
        <f>_xlfn.XLOOKUP(CF_Gen_1[[#This Row],[ICG]],Assumptions[ICG],Assumptions[Loss_Ratio])</f>
        <v>0.4</v>
      </c>
      <c r="N20" s="18">
        <f>_xlfn.XLOOKUP(CF_Gen_1[[#This Row],[ICG]],Assumptions[ICG],Assumptions[Risk_Adjustment_Ratio])</f>
        <v>0.14000000000000001</v>
      </c>
      <c r="O20" s="18">
        <f>_xlfn.XLOOKUP(CF_Gen_1[[#This Row],[ICG]],Assumptions[ICG],Assumptions[PME_Ratio])</f>
        <v>4.4999999999999998E-2</v>
      </c>
      <c r="P20" s="18">
        <f>_xlfn.XLOOKUP(CF_Gen_1[[#This Row],[ICG]],Assumptions[ICG],Assumptions[ULAE_Ratio])</f>
        <v>0.11</v>
      </c>
      <c r="Q20" s="18">
        <f>_xlfn.XLOOKUP(CF_Gen_1[[#This Row],[ICG]],Assumptions[ICG],Assumptions[Cancellation_Ratio])</f>
        <v>7.0000000000000007E-2</v>
      </c>
      <c r="R20" s="18">
        <f>_xlfn.XLOOKUP(CF_Gen_1[[#This Row],[ICG]],Assumptions[ICG],Assumptions[Premium_Refund_Ratio])</f>
        <v>0.5</v>
      </c>
      <c r="S20" s="18">
        <f>IF(CF_Gen_1[[#This Row],[Contract]]="RC",_xlfn.XLOOKUP(CF_Gen_1[[#This Row],[ICG]],Assumptions[ICG],Assumptions[NPR_Ratio]),0)</f>
        <v>0</v>
      </c>
      <c r="T20" s="17">
        <f>T19*(1-CF_Gen_1[[#This Row],[Cancellation_Ratio]])</f>
        <v>0.27082769529724987</v>
      </c>
      <c r="U20" s="19">
        <f>IF(CF_Gen_1[[#This Row],[Incurred]]&lt;=CF_Gen_1[[#This Row],[Valuation]],CF_Gen_1[[#This Row],[Expected_Premium]],-CF_Gen_1[[#This Row],[Probability_of_Inforce]]*CF_Gen_1[[#This Row],[Premium_Refund_Ratio]]*CF_Gen_1[[#This Row],[Cancellation_Ratio]]*SUM(K20:K$105))</f>
        <v>-818342588.12040365</v>
      </c>
      <c r="V2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Row],[Cancellation_Ratio]]*SUM(L20:L$105))</f>
        <v>246771723.1396364</v>
      </c>
      <c r="W20" s="19">
        <f>CF_Gen_1[[#This Row],[Expected_Acquisition]]</f>
        <v>0</v>
      </c>
      <c r="X20" s="19">
        <f>-CF_Gen_1[[#This Row],[Probability_of_Inforce]]*CF_Gen_1[[#This Row],[Earned_Premium]]*(1-CF_Gen_1[[#This Row],[Cancellation_Ratio]])*CF_Gen_1[[#This Row],[PME_Ratio]]+CF_Gen_1[[#This Row],[ULAE_Ratio]]*CF_Gen_1[[#This Row],[Exp_Claim]]</f>
        <v>-50584171.808539204</v>
      </c>
      <c r="Y20" s="19">
        <f>-CF_Gen_1[[#This Row],[Probability_of_Inforce]]*CF_Gen_1[[#This Row],[Earned_Premium]]*(1-CF_Gen_1[[#This Row],[Cancellation_Ratio]])*CF_Gen_1[[#This Row],[Loss_Ratio]]</f>
        <v>-227344592.39792901</v>
      </c>
      <c r="Z20" s="19">
        <f>CF_Gen_1[[#This Row],[Exp_Claim]]*CF_Gen_1[[#This Row],[Risk_Adjustment_Ratio]]</f>
        <v>-31828242.935710065</v>
      </c>
      <c r="AA20" s="19">
        <f>IF(CF_Gen_1[[#This Row],[Contract]]="RC",-CF_Gen_1[[#This Row],[NPR_Ratio]]*CF_Gen_1[[#This Row],[Exp_Claim]],0)</f>
        <v>0</v>
      </c>
      <c r="AB20" s="19">
        <f>SUMIFS(Actual_CF[Actual_Premium],Actual_CF[ICG],CF_Gen_1[[#This Row],[ICG]],Actual_CF[Incurred],CF_Gen_1[[#This Row],[Incurred]])</f>
        <v>0</v>
      </c>
      <c r="AC20" s="19">
        <f>SUMIFS(Actual_CF[Actual_Commission],Actual_CF[ICG],CF_Gen_1[[#This Row],[ICG]],Actual_CF[Incurred],CF_Gen_1[[#This Row],[Incurred]])</f>
        <v>0</v>
      </c>
      <c r="AD20" s="19">
        <f>SUMIFS(Actual_CF[Actual_Acquisition],Actual_CF[ICG],CF_Gen_1[[#This Row],[ICG]],Actual_CF[Incurred],CF_Gen_1[[#This Row],[Incurred]])</f>
        <v>0</v>
      </c>
    </row>
    <row r="21" spans="1:30">
      <c r="A21" t="str">
        <f t="shared" si="1"/>
        <v>#2024#IC-Property</v>
      </c>
      <c r="B21">
        <f>_xlfn.XLOOKUP(CF_Gen_1[[#This Row],[ICG]],ICG[ICG],ICG[Cohort])</f>
        <v>2024</v>
      </c>
      <c r="C21" t="str">
        <f>_xlfn.XLOOKUP(CF_Gen_1[[#This Row],[ICG]],ICG[ICG],ICG[Portfolio])</f>
        <v>IC-Property</v>
      </c>
      <c r="D21" t="str">
        <f>_xlfn.XLOOKUP(CF_Gen_1[[#This Row],[ICG]],ICG[ICG],ICG[Contract])</f>
        <v>IC</v>
      </c>
      <c r="E21" s="2">
        <f t="shared" si="0"/>
        <v>45930</v>
      </c>
      <c r="F21">
        <v>20</v>
      </c>
      <c r="G21" s="2">
        <f>EOMONTH(DATE(YEAR(CF_Gen_1[[#This Row],[Valuation]])-1,12,31),CF_Gen_1[[#This Row],['#Incurred]]*3)</f>
        <v>47483</v>
      </c>
      <c r="H21" s="14">
        <f>SUMIFS(Expected_CF[Expected_Premium],Expected_CF[ICG],CF_Gen_1[[#This Row],[ICG]],Expected_CF[Incurred],CF_Gen_1[[#This Row],[Incurred]])</f>
        <v>0</v>
      </c>
      <c r="I21" s="14">
        <f>SUMIFS(Expected_CF[Expected_Commission],Expected_CF[ICG],CF_Gen_1[[#This Row],[ICG]],Expected_CF[Incurred],CF_Gen_1[[#This Row],[Incurred]])</f>
        <v>0</v>
      </c>
      <c r="J21" s="14">
        <f>IF(CF_Gen_1[[#This Row],[Contract]]="IC",SUMIFS(Expected_CF[Expected_Acquisition],Expected_CF[ICG],CF_Gen_1[[#This Row],[ICG]],Expected_CF[Incurred],CF_Gen_1[[#This Row],[Incurred]]),0)</f>
        <v>0</v>
      </c>
      <c r="K21" s="14">
        <f>SUMIFS(Earned[Earned_Premium],Earned[ICG],CF_Gen_1[[#This Row],[ICG]],Earned[Incurred],CF_Gen_1[[#This Row],[Incurred]])</f>
        <v>2226680653.8068128</v>
      </c>
      <c r="L21" s="14">
        <f>SUMIFS(Earned[Earned_Commission],Earned[ICG],CF_Gen_1[[#This Row],[ICG]],Earned[Incurred],CF_Gen_1[[#This Row],[Incurred]])</f>
        <v>-688719652.21242857</v>
      </c>
      <c r="M21" s="18">
        <f>_xlfn.XLOOKUP(CF_Gen_1[[#This Row],[ICG]],Assumptions[ICG],Assumptions[Loss_Ratio])</f>
        <v>0.4</v>
      </c>
      <c r="N21" s="18">
        <f>_xlfn.XLOOKUP(CF_Gen_1[[#This Row],[ICG]],Assumptions[ICG],Assumptions[Risk_Adjustment_Ratio])</f>
        <v>0.14000000000000001</v>
      </c>
      <c r="O21" s="18">
        <f>_xlfn.XLOOKUP(CF_Gen_1[[#This Row],[ICG]],Assumptions[ICG],Assumptions[PME_Ratio])</f>
        <v>4.4999999999999998E-2</v>
      </c>
      <c r="P21" s="18">
        <f>_xlfn.XLOOKUP(CF_Gen_1[[#This Row],[ICG]],Assumptions[ICG],Assumptions[ULAE_Ratio])</f>
        <v>0.11</v>
      </c>
      <c r="Q21" s="18">
        <f>_xlfn.XLOOKUP(CF_Gen_1[[#This Row],[ICG]],Assumptions[ICG],Assumptions[Cancellation_Ratio])</f>
        <v>7.0000000000000007E-2</v>
      </c>
      <c r="R21" s="18">
        <f>_xlfn.XLOOKUP(CF_Gen_1[[#This Row],[ICG]],Assumptions[ICG],Assumptions[Premium_Refund_Ratio])</f>
        <v>0.5</v>
      </c>
      <c r="S21" s="18">
        <f>IF(CF_Gen_1[[#This Row],[Contract]]="RC",_xlfn.XLOOKUP(CF_Gen_1[[#This Row],[ICG]],Assumptions[ICG],Assumptions[NPR_Ratio]),0)</f>
        <v>0</v>
      </c>
      <c r="T21" s="17">
        <f>T20*(1-CF_Gen_1[[#This Row],[Cancellation_Ratio]])</f>
        <v>0.25186975662644234</v>
      </c>
      <c r="U21" s="19">
        <f>IF(CF_Gen_1[[#This Row],[Incurred]]&lt;=CF_Gen_1[[#This Row],[Valuation]],CF_Gen_1[[#This Row],[Expected_Premium]],-CF_Gen_1[[#This Row],[Probability_of_Inforce]]*CF_Gen_1[[#This Row],[Premium_Refund_Ratio]]*CF_Gen_1[[#This Row],[Cancellation_Ratio]]*SUM(K21:K$105))</f>
        <v>-741165955.11715639</v>
      </c>
      <c r="V2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Row],[Cancellation_Ratio]]*SUM(L21:L$105))</f>
        <v>223342591.72431001</v>
      </c>
      <c r="W21" s="19">
        <f>CF_Gen_1[[#This Row],[Expected_Acquisition]]</f>
        <v>0</v>
      </c>
      <c r="X21" s="19">
        <f>-CF_Gen_1[[#This Row],[Probability_of_Inforce]]*CF_Gen_1[[#This Row],[Earned_Premium]]*(1-CF_Gen_1[[#This Row],[Cancellation_Ratio]])*CF_Gen_1[[#This Row],[PME_Ratio]]+CF_Gen_1[[#This Row],[ULAE_Ratio]]*CF_Gen_1[[#This Row],[Exp_Claim]]</f>
        <v>-46420189.983505137</v>
      </c>
      <c r="Y21" s="19">
        <f>-CF_Gen_1[[#This Row],[Probability_of_Inforce]]*CF_Gen_1[[#This Row],[Earned_Premium]]*(1-CF_Gen_1[[#This Row],[Cancellation_Ratio]])*CF_Gen_1[[#This Row],[Loss_Ratio]]</f>
        <v>-208630067.34159613</v>
      </c>
      <c r="Z21" s="19">
        <f>CF_Gen_1[[#This Row],[Exp_Claim]]*CF_Gen_1[[#This Row],[Risk_Adjustment_Ratio]]</f>
        <v>-29208209.427823462</v>
      </c>
      <c r="AA21" s="19">
        <f>IF(CF_Gen_1[[#This Row],[Contract]]="RC",-CF_Gen_1[[#This Row],[NPR_Ratio]]*CF_Gen_1[[#This Row],[Exp_Claim]],0)</f>
        <v>0</v>
      </c>
      <c r="AB21" s="19">
        <f>SUMIFS(Actual_CF[Actual_Premium],Actual_CF[ICG],CF_Gen_1[[#This Row],[ICG]],Actual_CF[Incurred],CF_Gen_1[[#This Row],[Incurred]])</f>
        <v>0</v>
      </c>
      <c r="AC21" s="19">
        <f>SUMIFS(Actual_CF[Actual_Commission],Actual_CF[ICG],CF_Gen_1[[#This Row],[ICG]],Actual_CF[Incurred],CF_Gen_1[[#This Row],[Incurred]])</f>
        <v>0</v>
      </c>
      <c r="AD21" s="19">
        <f>SUMIFS(Actual_CF[Actual_Acquisition],Actual_CF[ICG],CF_Gen_1[[#This Row],[ICG]],Actual_CF[Incurred],CF_Gen_1[[#This Row],[Incurred]])</f>
        <v>0</v>
      </c>
    </row>
    <row r="22" spans="1:30">
      <c r="A22" t="str">
        <f t="shared" si="1"/>
        <v>#2024#IC-Property</v>
      </c>
      <c r="B22">
        <f>_xlfn.XLOOKUP(CF_Gen_1[[#This Row],[ICG]],ICG[ICG],ICG[Cohort])</f>
        <v>2024</v>
      </c>
      <c r="C22" t="str">
        <f>_xlfn.XLOOKUP(CF_Gen_1[[#This Row],[ICG]],ICG[ICG],ICG[Portfolio])</f>
        <v>IC-Property</v>
      </c>
      <c r="D22" t="str">
        <f>_xlfn.XLOOKUP(CF_Gen_1[[#This Row],[ICG]],ICG[ICG],ICG[Contract])</f>
        <v>IC</v>
      </c>
      <c r="E22" s="2">
        <f t="shared" si="0"/>
        <v>45930</v>
      </c>
      <c r="F22">
        <v>21</v>
      </c>
      <c r="G22" s="2">
        <f>EOMONTH(DATE(YEAR(CF_Gen_1[[#This Row],[Valuation]])-1,12,31),CF_Gen_1[[#This Row],['#Incurred]]*3)</f>
        <v>47573</v>
      </c>
      <c r="H22" s="14">
        <f>SUMIFS(Expected_CF[Expected_Premium],Expected_CF[ICG],CF_Gen_1[[#This Row],[ICG]],Expected_CF[Incurred],CF_Gen_1[[#This Row],[Incurred]])</f>
        <v>0</v>
      </c>
      <c r="I22" s="14">
        <f>SUMIFS(Expected_CF[Expected_Commission],Expected_CF[ICG],CF_Gen_1[[#This Row],[ICG]],Expected_CF[Incurred],CF_Gen_1[[#This Row],[Incurred]])</f>
        <v>0</v>
      </c>
      <c r="J22" s="14">
        <f>IF(CF_Gen_1[[#This Row],[Contract]]="IC",SUMIFS(Expected_CF[Expected_Acquisition],Expected_CF[ICG],CF_Gen_1[[#This Row],[ICG]],Expected_CF[Incurred],CF_Gen_1[[#This Row],[Incurred]]),0)</f>
        <v>0</v>
      </c>
      <c r="K22" s="14">
        <f>SUMIFS(Earned[Earned_Premium],Earned[ICG],CF_Gen_1[[#This Row],[ICG]],Earned[Incurred],CF_Gen_1[[#This Row],[Incurred]])</f>
        <v>2196792322.8832316</v>
      </c>
      <c r="L22" s="14">
        <f>SUMIFS(Earned[Earned_Commission],Earned[ICG],CF_Gen_1[[#This Row],[ICG]],Earned[Incurred],CF_Gen_1[[#This Row],[Incurred]])</f>
        <v>-679220070.80260205</v>
      </c>
      <c r="M22" s="18">
        <f>_xlfn.XLOOKUP(CF_Gen_1[[#This Row],[ICG]],Assumptions[ICG],Assumptions[Loss_Ratio])</f>
        <v>0.4</v>
      </c>
      <c r="N22" s="18">
        <f>_xlfn.XLOOKUP(CF_Gen_1[[#This Row],[ICG]],Assumptions[ICG],Assumptions[Risk_Adjustment_Ratio])</f>
        <v>0.14000000000000001</v>
      </c>
      <c r="O22" s="18">
        <f>_xlfn.XLOOKUP(CF_Gen_1[[#This Row],[ICG]],Assumptions[ICG],Assumptions[PME_Ratio])</f>
        <v>4.4999999999999998E-2</v>
      </c>
      <c r="P22" s="18">
        <f>_xlfn.XLOOKUP(CF_Gen_1[[#This Row],[ICG]],Assumptions[ICG],Assumptions[ULAE_Ratio])</f>
        <v>0.11</v>
      </c>
      <c r="Q22" s="18">
        <f>_xlfn.XLOOKUP(CF_Gen_1[[#This Row],[ICG]],Assumptions[ICG],Assumptions[Cancellation_Ratio])</f>
        <v>7.0000000000000007E-2</v>
      </c>
      <c r="R22" s="18">
        <f>_xlfn.XLOOKUP(CF_Gen_1[[#This Row],[ICG]],Assumptions[ICG],Assumptions[Premium_Refund_Ratio])</f>
        <v>0.5</v>
      </c>
      <c r="S22" s="18">
        <f>IF(CF_Gen_1[[#This Row],[Contract]]="RC",_xlfn.XLOOKUP(CF_Gen_1[[#This Row],[ICG]],Assumptions[ICG],Assumptions[NPR_Ratio]),0)</f>
        <v>0</v>
      </c>
      <c r="T22" s="17">
        <f>T21*(1-CF_Gen_1[[#This Row],[Cancellation_Ratio]])</f>
        <v>0.23423887366259136</v>
      </c>
      <c r="U22" s="19">
        <f>IF(CF_Gen_1[[#This Row],[Incurred]]&lt;=CF_Gen_1[[#This Row],[Valuation]],CF_Gen_1[[#This Row],[Expected_Premium]],-CF_Gen_1[[#This Row],[Probability_of_Inforce]]*CF_Gen_1[[#This Row],[Premium_Refund_Ratio]]*CF_Gen_1[[#This Row],[Cancellation_Ratio]]*SUM(K22:K$105))</f>
        <v>-671029207.3665657</v>
      </c>
      <c r="V2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Row],[Cancellation_Ratio]]*SUM(L22:L$105))</f>
        <v>202062238.2574847</v>
      </c>
      <c r="W22" s="19">
        <f>CF_Gen_1[[#This Row],[Expected_Acquisition]]</f>
        <v>0</v>
      </c>
      <c r="X22" s="19">
        <f>-CF_Gen_1[[#This Row],[Probability_of_Inforce]]*CF_Gen_1[[#This Row],[Earned_Premium]]*(1-CF_Gen_1[[#This Row],[Cancellation_Ratio]])*CF_Gen_1[[#This Row],[PME_Ratio]]+CF_Gen_1[[#This Row],[ULAE_Ratio]]*CF_Gen_1[[#This Row],[Exp_Claim]]</f>
        <v>-42591303.172114015</v>
      </c>
      <c r="Y22" s="19">
        <f>-CF_Gen_1[[#This Row],[Probability_of_Inforce]]*CF_Gen_1[[#This Row],[Earned_Premium]]*(1-CF_Gen_1[[#This Row],[Cancellation_Ratio]])*CF_Gen_1[[#This Row],[Loss_Ratio]]</f>
        <v>-191421587.29040006</v>
      </c>
      <c r="Z22" s="19">
        <f>CF_Gen_1[[#This Row],[Exp_Claim]]*CF_Gen_1[[#This Row],[Risk_Adjustment_Ratio]]</f>
        <v>-26799022.220656011</v>
      </c>
      <c r="AA22" s="19">
        <f>IF(CF_Gen_1[[#This Row],[Contract]]="RC",-CF_Gen_1[[#This Row],[NPR_Ratio]]*CF_Gen_1[[#This Row],[Exp_Claim]],0)</f>
        <v>0</v>
      </c>
      <c r="AB22" s="19">
        <f>SUMIFS(Actual_CF[Actual_Premium],Actual_CF[ICG],CF_Gen_1[[#This Row],[ICG]],Actual_CF[Incurred],CF_Gen_1[[#This Row],[Incurred]])</f>
        <v>0</v>
      </c>
      <c r="AC22" s="19">
        <f>SUMIFS(Actual_CF[Actual_Commission],Actual_CF[ICG],CF_Gen_1[[#This Row],[ICG]],Actual_CF[Incurred],CF_Gen_1[[#This Row],[Incurred]])</f>
        <v>0</v>
      </c>
      <c r="AD22" s="19">
        <f>SUMIFS(Actual_CF[Actual_Acquisition],Actual_CF[ICG],CF_Gen_1[[#This Row],[ICG]],Actual_CF[Incurred],CF_Gen_1[[#This Row],[Incurred]])</f>
        <v>0</v>
      </c>
    </row>
    <row r="23" spans="1:30">
      <c r="A23" t="str">
        <f t="shared" si="1"/>
        <v>#2024#IC-Property</v>
      </c>
      <c r="B23">
        <f>_xlfn.XLOOKUP(CF_Gen_1[[#This Row],[ICG]],ICG[ICG],ICG[Cohort])</f>
        <v>2024</v>
      </c>
      <c r="C23" t="str">
        <f>_xlfn.XLOOKUP(CF_Gen_1[[#This Row],[ICG]],ICG[ICG],ICG[Portfolio])</f>
        <v>IC-Property</v>
      </c>
      <c r="D23" t="str">
        <f>_xlfn.XLOOKUP(CF_Gen_1[[#This Row],[ICG]],ICG[ICG],ICG[Contract])</f>
        <v>IC</v>
      </c>
      <c r="E23" s="2">
        <f t="shared" si="0"/>
        <v>45930</v>
      </c>
      <c r="F23">
        <v>22</v>
      </c>
      <c r="G23" s="2">
        <f>EOMONTH(DATE(YEAR(CF_Gen_1[[#This Row],[Valuation]])-1,12,31),CF_Gen_1[[#This Row],['#Incurred]]*3)</f>
        <v>47664</v>
      </c>
      <c r="H23" s="14">
        <f>SUMIFS(Expected_CF[Expected_Premium],Expected_CF[ICG],CF_Gen_1[[#This Row],[ICG]],Expected_CF[Incurred],CF_Gen_1[[#This Row],[Incurred]])</f>
        <v>0</v>
      </c>
      <c r="I23" s="14">
        <f>SUMIFS(Expected_CF[Expected_Commission],Expected_CF[ICG],CF_Gen_1[[#This Row],[ICG]],Expected_CF[Incurred],CF_Gen_1[[#This Row],[Incurred]])</f>
        <v>0</v>
      </c>
      <c r="J23" s="14">
        <f>IF(CF_Gen_1[[#This Row],[Contract]]="IC",SUMIFS(Expected_CF[Expected_Acquisition],Expected_CF[ICG],CF_Gen_1[[#This Row],[ICG]],Expected_CF[Incurred],CF_Gen_1[[#This Row],[Incurred]]),0)</f>
        <v>0</v>
      </c>
      <c r="K23" s="14">
        <f>SUMIFS(Earned[Earned_Premium],Earned[ICG],CF_Gen_1[[#This Row],[ICG]],Earned[Incurred],CF_Gen_1[[#This Row],[Incurred]])</f>
        <v>2166903991.95965</v>
      </c>
      <c r="L23" s="14">
        <f>SUMIFS(Earned[Earned_Commission],Earned[ICG],CF_Gen_1[[#This Row],[ICG]],Earned[Incurred],CF_Gen_1[[#This Row],[Incurred]])</f>
        <v>-669720489.39277554</v>
      </c>
      <c r="M23" s="18">
        <f>_xlfn.XLOOKUP(CF_Gen_1[[#This Row],[ICG]],Assumptions[ICG],Assumptions[Loss_Ratio])</f>
        <v>0.4</v>
      </c>
      <c r="N23" s="18">
        <f>_xlfn.XLOOKUP(CF_Gen_1[[#This Row],[ICG]],Assumptions[ICG],Assumptions[Risk_Adjustment_Ratio])</f>
        <v>0.14000000000000001</v>
      </c>
      <c r="O23" s="18">
        <f>_xlfn.XLOOKUP(CF_Gen_1[[#This Row],[ICG]],Assumptions[ICG],Assumptions[PME_Ratio])</f>
        <v>4.4999999999999998E-2</v>
      </c>
      <c r="P23" s="18">
        <f>_xlfn.XLOOKUP(CF_Gen_1[[#This Row],[ICG]],Assumptions[ICG],Assumptions[ULAE_Ratio])</f>
        <v>0.11</v>
      </c>
      <c r="Q23" s="18">
        <f>_xlfn.XLOOKUP(CF_Gen_1[[#This Row],[ICG]],Assumptions[ICG],Assumptions[Cancellation_Ratio])</f>
        <v>7.0000000000000007E-2</v>
      </c>
      <c r="R23" s="18">
        <f>_xlfn.XLOOKUP(CF_Gen_1[[#This Row],[ICG]],Assumptions[ICG],Assumptions[Premium_Refund_Ratio])</f>
        <v>0.5</v>
      </c>
      <c r="S23" s="18">
        <f>IF(CF_Gen_1[[#This Row],[Contract]]="RC",_xlfn.XLOOKUP(CF_Gen_1[[#This Row],[ICG]],Assumptions[ICG],Assumptions[NPR_Ratio]),0)</f>
        <v>0</v>
      </c>
      <c r="T23" s="17">
        <f>T22*(1-CF_Gen_1[[#This Row],[Cancellation_Ratio]])</f>
        <v>0.21784215250620995</v>
      </c>
      <c r="U23" s="19">
        <f>IF(CF_Gen_1[[#This Row],[Incurred]]&lt;=CF_Gen_1[[#This Row],[Valuation]],CF_Gen_1[[#This Row],[Expected_Premium]],-CF_Gen_1[[#This Row],[Probability_of_Inforce]]*CF_Gen_1[[#This Row],[Premium_Refund_Ratio]]*CF_Gen_1[[#This Row],[Cancellation_Ratio]]*SUM(K23:K$105))</f>
        <v>-607307773.96299613</v>
      </c>
      <c r="V2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Row],[Cancellation_Ratio]]*SUM(L23:L$105))</f>
        <v>182739184.90074372</v>
      </c>
      <c r="W23" s="19">
        <f>CF_Gen_1[[#This Row],[Expected_Acquisition]]</f>
        <v>0</v>
      </c>
      <c r="X23" s="19">
        <f>-CF_Gen_1[[#This Row],[Probability_of_Inforce]]*CF_Gen_1[[#This Row],[Earned_Premium]]*(1-CF_Gen_1[[#This Row],[Cancellation_Ratio]])*CF_Gen_1[[#This Row],[PME_Ratio]]+CF_Gen_1[[#This Row],[ULAE_Ratio]]*CF_Gen_1[[#This Row],[Exp_Claim]]</f>
        <v>-39071001.583398461</v>
      </c>
      <c r="Y23" s="19">
        <f>-CF_Gen_1[[#This Row],[Probability_of_Inforce]]*CF_Gen_1[[#This Row],[Earned_Premium]]*(1-CF_Gen_1[[#This Row],[Cancellation_Ratio]])*CF_Gen_1[[#This Row],[Loss_Ratio]]</f>
        <v>-175600007.11639759</v>
      </c>
      <c r="Z23" s="19">
        <f>CF_Gen_1[[#This Row],[Exp_Claim]]*CF_Gen_1[[#This Row],[Risk_Adjustment_Ratio]]</f>
        <v>-24584000.996295664</v>
      </c>
      <c r="AA23" s="19">
        <f>IF(CF_Gen_1[[#This Row],[Contract]]="RC",-CF_Gen_1[[#This Row],[NPR_Ratio]]*CF_Gen_1[[#This Row],[Exp_Claim]],0)</f>
        <v>0</v>
      </c>
      <c r="AB23" s="19">
        <f>SUMIFS(Actual_CF[Actual_Premium],Actual_CF[ICG],CF_Gen_1[[#This Row],[ICG]],Actual_CF[Incurred],CF_Gen_1[[#This Row],[Incurred]])</f>
        <v>0</v>
      </c>
      <c r="AC23" s="19">
        <f>SUMIFS(Actual_CF[Actual_Commission],Actual_CF[ICG],CF_Gen_1[[#This Row],[ICG]],Actual_CF[Incurred],CF_Gen_1[[#This Row],[Incurred]])</f>
        <v>0</v>
      </c>
      <c r="AD23" s="19">
        <f>SUMIFS(Actual_CF[Actual_Acquisition],Actual_CF[ICG],CF_Gen_1[[#This Row],[ICG]],Actual_CF[Incurred],CF_Gen_1[[#This Row],[Incurred]])</f>
        <v>0</v>
      </c>
    </row>
    <row r="24" spans="1:30">
      <c r="A24" t="str">
        <f t="shared" si="1"/>
        <v>#2024#IC-Property</v>
      </c>
      <c r="B24">
        <f>_xlfn.XLOOKUP(CF_Gen_1[[#This Row],[ICG]],ICG[ICG],ICG[Cohort])</f>
        <v>2024</v>
      </c>
      <c r="C24" t="str">
        <f>_xlfn.XLOOKUP(CF_Gen_1[[#This Row],[ICG]],ICG[ICG],ICG[Portfolio])</f>
        <v>IC-Property</v>
      </c>
      <c r="D24" t="str">
        <f>_xlfn.XLOOKUP(CF_Gen_1[[#This Row],[ICG]],ICG[ICG],ICG[Contract])</f>
        <v>IC</v>
      </c>
      <c r="E24" s="2">
        <f t="shared" si="0"/>
        <v>45930</v>
      </c>
      <c r="F24">
        <v>23</v>
      </c>
      <c r="G24" s="2">
        <f>EOMONTH(DATE(YEAR(CF_Gen_1[[#This Row],[Valuation]])-1,12,31),CF_Gen_1[[#This Row],['#Incurred]]*3)</f>
        <v>47756</v>
      </c>
      <c r="H24" s="14">
        <f>SUMIFS(Expected_CF[Expected_Premium],Expected_CF[ICG],CF_Gen_1[[#This Row],[ICG]],Expected_CF[Incurred],CF_Gen_1[[#This Row],[Incurred]])</f>
        <v>0</v>
      </c>
      <c r="I24" s="14">
        <f>SUMIFS(Expected_CF[Expected_Commission],Expected_CF[ICG],CF_Gen_1[[#This Row],[ICG]],Expected_CF[Incurred],CF_Gen_1[[#This Row],[Incurred]])</f>
        <v>0</v>
      </c>
      <c r="J24" s="14">
        <f>IF(CF_Gen_1[[#This Row],[Contract]]="IC",SUMIFS(Expected_CF[Expected_Acquisition],Expected_CF[ICG],CF_Gen_1[[#This Row],[ICG]],Expected_CF[Incurred],CF_Gen_1[[#This Row],[Incurred]]),0)</f>
        <v>0</v>
      </c>
      <c r="K24" s="14">
        <f>SUMIFS(Earned[Earned_Premium],Earned[ICG],CF_Gen_1[[#This Row],[ICG]],Earned[Incurred],CF_Gen_1[[#This Row],[Incurred]])</f>
        <v>2137015661.0360692</v>
      </c>
      <c r="L24" s="14">
        <f>SUMIFS(Earned[Earned_Commission],Earned[ICG],CF_Gen_1[[#This Row],[ICG]],Earned[Incurred],CF_Gen_1[[#This Row],[Incurred]])</f>
        <v>-660220907.98294902</v>
      </c>
      <c r="M24" s="18">
        <f>_xlfn.XLOOKUP(CF_Gen_1[[#This Row],[ICG]],Assumptions[ICG],Assumptions[Loss_Ratio])</f>
        <v>0.4</v>
      </c>
      <c r="N24" s="18">
        <f>_xlfn.XLOOKUP(CF_Gen_1[[#This Row],[ICG]],Assumptions[ICG],Assumptions[Risk_Adjustment_Ratio])</f>
        <v>0.14000000000000001</v>
      </c>
      <c r="O24" s="18">
        <f>_xlfn.XLOOKUP(CF_Gen_1[[#This Row],[ICG]],Assumptions[ICG],Assumptions[PME_Ratio])</f>
        <v>4.4999999999999998E-2</v>
      </c>
      <c r="P24" s="18">
        <f>_xlfn.XLOOKUP(CF_Gen_1[[#This Row],[ICG]],Assumptions[ICG],Assumptions[ULAE_Ratio])</f>
        <v>0.11</v>
      </c>
      <c r="Q24" s="18">
        <f>_xlfn.XLOOKUP(CF_Gen_1[[#This Row],[ICG]],Assumptions[ICG],Assumptions[Cancellation_Ratio])</f>
        <v>7.0000000000000007E-2</v>
      </c>
      <c r="R24" s="18">
        <f>_xlfn.XLOOKUP(CF_Gen_1[[#This Row],[ICG]],Assumptions[ICG],Assumptions[Premium_Refund_Ratio])</f>
        <v>0.5</v>
      </c>
      <c r="S24" s="18">
        <f>IF(CF_Gen_1[[#This Row],[Contract]]="RC",_xlfn.XLOOKUP(CF_Gen_1[[#This Row],[ICG]],Assumptions[ICG],Assumptions[NPR_Ratio]),0)</f>
        <v>0</v>
      </c>
      <c r="T24" s="17">
        <f>T23*(1-CF_Gen_1[[#This Row],[Cancellation_Ratio]])</f>
        <v>0.20259320183077523</v>
      </c>
      <c r="U24" s="19">
        <f>IF(CF_Gen_1[[#This Row],[Incurred]]&lt;=CF_Gen_1[[#This Row],[Valuation]],CF_Gen_1[[#This Row],[Expected_Premium]],-CF_Gen_1[[#This Row],[Probability_of_Inforce]]*CF_Gen_1[[#This Row],[Premium_Refund_Ratio]]*CF_Gen_1[[#This Row],[Cancellation_Ratio]]*SUM(K24:K$105))</f>
        <v>-549431229.16290128</v>
      </c>
      <c r="V2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Row],[Cancellation_Ratio]]*SUM(L24:L$105))</f>
        <v>165198613.31797016</v>
      </c>
      <c r="W24" s="19">
        <f>CF_Gen_1[[#This Row],[Expected_Acquisition]]</f>
        <v>0</v>
      </c>
      <c r="X24" s="19">
        <f>-CF_Gen_1[[#This Row],[Probability_of_Inforce]]*CF_Gen_1[[#This Row],[Earned_Premium]]*(1-CF_Gen_1[[#This Row],[Cancellation_Ratio]])*CF_Gen_1[[#This Row],[PME_Ratio]]+CF_Gen_1[[#This Row],[ULAE_Ratio]]*CF_Gen_1[[#This Row],[Exp_Claim]]</f>
        <v>-35834844.831559733</v>
      </c>
      <c r="Y24" s="19">
        <f>-CF_Gen_1[[#This Row],[Probability_of_Inforce]]*CF_Gen_1[[#This Row],[Earned_Premium]]*(1-CF_Gen_1[[#This Row],[Cancellation_Ratio]])*CF_Gen_1[[#This Row],[Loss_Ratio]]</f>
        <v>-161055482.38903254</v>
      </c>
      <c r="Z24" s="19">
        <f>CF_Gen_1[[#This Row],[Exp_Claim]]*CF_Gen_1[[#This Row],[Risk_Adjustment_Ratio]]</f>
        <v>-22547767.534464557</v>
      </c>
      <c r="AA24" s="19">
        <f>IF(CF_Gen_1[[#This Row],[Contract]]="RC",-CF_Gen_1[[#This Row],[NPR_Ratio]]*CF_Gen_1[[#This Row],[Exp_Claim]],0)</f>
        <v>0</v>
      </c>
      <c r="AB24" s="19">
        <f>SUMIFS(Actual_CF[Actual_Premium],Actual_CF[ICG],CF_Gen_1[[#This Row],[ICG]],Actual_CF[Incurred],CF_Gen_1[[#This Row],[Incurred]])</f>
        <v>0</v>
      </c>
      <c r="AC24" s="19">
        <f>SUMIFS(Actual_CF[Actual_Commission],Actual_CF[ICG],CF_Gen_1[[#This Row],[ICG]],Actual_CF[Incurred],CF_Gen_1[[#This Row],[Incurred]])</f>
        <v>0</v>
      </c>
      <c r="AD24" s="19">
        <f>SUMIFS(Actual_CF[Actual_Acquisition],Actual_CF[ICG],CF_Gen_1[[#This Row],[ICG]],Actual_CF[Incurred],CF_Gen_1[[#This Row],[Incurred]])</f>
        <v>0</v>
      </c>
    </row>
    <row r="25" spans="1:30">
      <c r="A25" t="str">
        <f t="shared" si="1"/>
        <v>#2024#IC-Property</v>
      </c>
      <c r="B25">
        <f>_xlfn.XLOOKUP(CF_Gen_1[[#This Row],[ICG]],ICG[ICG],ICG[Cohort])</f>
        <v>2024</v>
      </c>
      <c r="C25" t="str">
        <f>_xlfn.XLOOKUP(CF_Gen_1[[#This Row],[ICG]],ICG[ICG],ICG[Portfolio])</f>
        <v>IC-Property</v>
      </c>
      <c r="D25" t="str">
        <f>_xlfn.XLOOKUP(CF_Gen_1[[#This Row],[ICG]],ICG[ICG],ICG[Contract])</f>
        <v>IC</v>
      </c>
      <c r="E25" s="2">
        <f t="shared" si="0"/>
        <v>45930</v>
      </c>
      <c r="F25">
        <v>24</v>
      </c>
      <c r="G25" s="2">
        <f>EOMONTH(DATE(YEAR(CF_Gen_1[[#This Row],[Valuation]])-1,12,31),CF_Gen_1[[#This Row],['#Incurred]]*3)</f>
        <v>47848</v>
      </c>
      <c r="H25" s="14">
        <f>SUMIFS(Expected_CF[Expected_Premium],Expected_CF[ICG],CF_Gen_1[[#This Row],[ICG]],Expected_CF[Incurred],CF_Gen_1[[#This Row],[Incurred]])</f>
        <v>0</v>
      </c>
      <c r="I25" s="14">
        <f>SUMIFS(Expected_CF[Expected_Commission],Expected_CF[ICG],CF_Gen_1[[#This Row],[ICG]],Expected_CF[Incurred],CF_Gen_1[[#This Row],[Incurred]])</f>
        <v>0</v>
      </c>
      <c r="J25" s="14">
        <f>IF(CF_Gen_1[[#This Row],[Contract]]="IC",SUMIFS(Expected_CF[Expected_Acquisition],Expected_CF[ICG],CF_Gen_1[[#This Row],[ICG]],Expected_CF[Incurred],CF_Gen_1[[#This Row],[Incurred]]),0)</f>
        <v>0</v>
      </c>
      <c r="K25" s="14">
        <f>SUMIFS(Earned[Earned_Premium],Earned[ICG],CF_Gen_1[[#This Row],[ICG]],Earned[Incurred],CF_Gen_1[[#This Row],[Incurred]])</f>
        <v>2107127330.1124873</v>
      </c>
      <c r="L25" s="14">
        <f>SUMIFS(Earned[Earned_Commission],Earned[ICG],CF_Gen_1[[#This Row],[ICG]],Earned[Incurred],CF_Gen_1[[#This Row],[Incurred]])</f>
        <v>-650721326.5731225</v>
      </c>
      <c r="M25" s="18">
        <f>_xlfn.XLOOKUP(CF_Gen_1[[#This Row],[ICG]],Assumptions[ICG],Assumptions[Loss_Ratio])</f>
        <v>0.4</v>
      </c>
      <c r="N25" s="18">
        <f>_xlfn.XLOOKUP(CF_Gen_1[[#This Row],[ICG]],Assumptions[ICG],Assumptions[Risk_Adjustment_Ratio])</f>
        <v>0.14000000000000001</v>
      </c>
      <c r="O25" s="18">
        <f>_xlfn.XLOOKUP(CF_Gen_1[[#This Row],[ICG]],Assumptions[ICG],Assumptions[PME_Ratio])</f>
        <v>4.4999999999999998E-2</v>
      </c>
      <c r="P25" s="18">
        <f>_xlfn.XLOOKUP(CF_Gen_1[[#This Row],[ICG]],Assumptions[ICG],Assumptions[ULAE_Ratio])</f>
        <v>0.11</v>
      </c>
      <c r="Q25" s="18">
        <f>_xlfn.XLOOKUP(CF_Gen_1[[#This Row],[ICG]],Assumptions[ICG],Assumptions[Cancellation_Ratio])</f>
        <v>7.0000000000000007E-2</v>
      </c>
      <c r="R25" s="18">
        <f>_xlfn.XLOOKUP(CF_Gen_1[[#This Row],[ICG]],Assumptions[ICG],Assumptions[Premium_Refund_Ratio])</f>
        <v>0.5</v>
      </c>
      <c r="S25" s="18">
        <f>IF(CF_Gen_1[[#This Row],[Contract]]="RC",_xlfn.XLOOKUP(CF_Gen_1[[#This Row],[ICG]],Assumptions[ICG],Assumptions[NPR_Ratio]),0)</f>
        <v>0</v>
      </c>
      <c r="T25" s="17">
        <f>T24*(1-CF_Gen_1[[#This Row],[Cancellation_Ratio]])</f>
        <v>0.18841167770262096</v>
      </c>
      <c r="U25" s="19">
        <f>IF(CF_Gen_1[[#This Row],[Incurred]]&lt;=CF_Gen_1[[#This Row],[Valuation]],CF_Gen_1[[#This Row],[Expected_Premium]],-CF_Gen_1[[#This Row],[Probability_of_Inforce]]*CF_Gen_1[[#This Row],[Premium_Refund_Ratio]]*CF_Gen_1[[#This Row],[Cancellation_Ratio]]*SUM(K25:K$105))</f>
        <v>-496878688.41245806</v>
      </c>
      <c r="V2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Row],[Cancellation_Ratio]]*SUM(L25:L$105))</f>
        <v>149280943.87325272</v>
      </c>
      <c r="W25" s="19">
        <f>CF_Gen_1[[#This Row],[Expected_Acquisition]]</f>
        <v>0</v>
      </c>
      <c r="X25" s="19">
        <f>-CF_Gen_1[[#This Row],[Probability_of_Inforce]]*CF_Gen_1[[#This Row],[Earned_Premium]]*(1-CF_Gen_1[[#This Row],[Cancellation_Ratio]])*CF_Gen_1[[#This Row],[PME_Ratio]]+CF_Gen_1[[#This Row],[ULAE_Ratio]]*CF_Gen_1[[#This Row],[Exp_Claim]]</f>
        <v>-32860302.117219776</v>
      </c>
      <c r="Y25" s="19">
        <f>-CF_Gen_1[[#This Row],[Probability_of_Inforce]]*CF_Gen_1[[#This Row],[Earned_Premium]]*(1-CF_Gen_1[[#This Row],[Cancellation_Ratio]])*CF_Gen_1[[#This Row],[Loss_Ratio]]</f>
        <v>-147686751.0886282</v>
      </c>
      <c r="Z25" s="19">
        <f>CF_Gen_1[[#This Row],[Exp_Claim]]*CF_Gen_1[[#This Row],[Risk_Adjustment_Ratio]]</f>
        <v>-20676145.152407952</v>
      </c>
      <c r="AA25" s="19">
        <f>IF(CF_Gen_1[[#This Row],[Contract]]="RC",-CF_Gen_1[[#This Row],[NPR_Ratio]]*CF_Gen_1[[#This Row],[Exp_Claim]],0)</f>
        <v>0</v>
      </c>
      <c r="AB25" s="19">
        <f>SUMIFS(Actual_CF[Actual_Premium],Actual_CF[ICG],CF_Gen_1[[#This Row],[ICG]],Actual_CF[Incurred],CF_Gen_1[[#This Row],[Incurred]])</f>
        <v>0</v>
      </c>
      <c r="AC25" s="19">
        <f>SUMIFS(Actual_CF[Actual_Commission],Actual_CF[ICG],CF_Gen_1[[#This Row],[ICG]],Actual_CF[Incurred],CF_Gen_1[[#This Row],[Incurred]])</f>
        <v>0</v>
      </c>
      <c r="AD25" s="19">
        <f>SUMIFS(Actual_CF[Actual_Acquisition],Actual_CF[ICG],CF_Gen_1[[#This Row],[ICG]],Actual_CF[Incurred],CF_Gen_1[[#This Row],[Incurred]])</f>
        <v>0</v>
      </c>
    </row>
    <row r="26" spans="1:30">
      <c r="A26" t="str">
        <f t="shared" si="1"/>
        <v>#2024#IC-Property</v>
      </c>
      <c r="B26">
        <f>_xlfn.XLOOKUP(CF_Gen_1[[#This Row],[ICG]],ICG[ICG],ICG[Cohort])</f>
        <v>2024</v>
      </c>
      <c r="C26" t="str">
        <f>_xlfn.XLOOKUP(CF_Gen_1[[#This Row],[ICG]],ICG[ICG],ICG[Portfolio])</f>
        <v>IC-Property</v>
      </c>
      <c r="D26" t="str">
        <f>_xlfn.XLOOKUP(CF_Gen_1[[#This Row],[ICG]],ICG[ICG],ICG[Contract])</f>
        <v>IC</v>
      </c>
      <c r="E26" s="2">
        <f t="shared" si="0"/>
        <v>45930</v>
      </c>
      <c r="F26">
        <v>25</v>
      </c>
      <c r="G26" s="2">
        <f>EOMONTH(DATE(YEAR(CF_Gen_1[[#This Row],[Valuation]])-1,12,31),CF_Gen_1[[#This Row],['#Incurred]]*3)</f>
        <v>47938</v>
      </c>
      <c r="H26" s="14">
        <f>SUMIFS(Expected_CF[Expected_Premium],Expected_CF[ICG],CF_Gen_1[[#This Row],[ICG]],Expected_CF[Incurred],CF_Gen_1[[#This Row],[Incurred]])</f>
        <v>0</v>
      </c>
      <c r="I26" s="14">
        <f>SUMIFS(Expected_CF[Expected_Commission],Expected_CF[ICG],CF_Gen_1[[#This Row],[ICG]],Expected_CF[Incurred],CF_Gen_1[[#This Row],[Incurred]])</f>
        <v>0</v>
      </c>
      <c r="J26" s="14">
        <f>IF(CF_Gen_1[[#This Row],[Contract]]="IC",SUMIFS(Expected_CF[Expected_Acquisition],Expected_CF[ICG],CF_Gen_1[[#This Row],[ICG]],Expected_CF[Incurred],CF_Gen_1[[#This Row],[Incurred]]),0)</f>
        <v>0</v>
      </c>
      <c r="K26" s="14">
        <f>SUMIFS(Earned[Earned_Premium],Earned[ICG],CF_Gen_1[[#This Row],[ICG]],Earned[Incurred],CF_Gen_1[[#This Row],[Incurred]])</f>
        <v>2077238999.1889062</v>
      </c>
      <c r="L26" s="14">
        <f>SUMIFS(Earned[Earned_Commission],Earned[ICG],CF_Gen_1[[#This Row],[ICG]],Earned[Incurred],CF_Gen_1[[#This Row],[Incurred]])</f>
        <v>-641221745.16329598</v>
      </c>
      <c r="M26" s="18">
        <f>_xlfn.XLOOKUP(CF_Gen_1[[#This Row],[ICG]],Assumptions[ICG],Assumptions[Loss_Ratio])</f>
        <v>0.4</v>
      </c>
      <c r="N26" s="18">
        <f>_xlfn.XLOOKUP(CF_Gen_1[[#This Row],[ICG]],Assumptions[ICG],Assumptions[Risk_Adjustment_Ratio])</f>
        <v>0.14000000000000001</v>
      </c>
      <c r="O26" s="18">
        <f>_xlfn.XLOOKUP(CF_Gen_1[[#This Row],[ICG]],Assumptions[ICG],Assumptions[PME_Ratio])</f>
        <v>4.4999999999999998E-2</v>
      </c>
      <c r="P26" s="18">
        <f>_xlfn.XLOOKUP(CF_Gen_1[[#This Row],[ICG]],Assumptions[ICG],Assumptions[ULAE_Ratio])</f>
        <v>0.11</v>
      </c>
      <c r="Q26" s="18">
        <f>_xlfn.XLOOKUP(CF_Gen_1[[#This Row],[ICG]],Assumptions[ICG],Assumptions[Cancellation_Ratio])</f>
        <v>7.0000000000000007E-2</v>
      </c>
      <c r="R26" s="18">
        <f>_xlfn.XLOOKUP(CF_Gen_1[[#This Row],[ICG]],Assumptions[ICG],Assumptions[Premium_Refund_Ratio])</f>
        <v>0.5</v>
      </c>
      <c r="S26" s="18">
        <f>IF(CF_Gen_1[[#This Row],[Contract]]="RC",_xlfn.XLOOKUP(CF_Gen_1[[#This Row],[ICG]],Assumptions[ICG],Assumptions[NPR_Ratio]),0)</f>
        <v>0</v>
      </c>
      <c r="T26" s="17">
        <f>T25*(1-CF_Gen_1[[#This Row],[Cancellation_Ratio]])</f>
        <v>0.17522286026343747</v>
      </c>
      <c r="U26" s="19">
        <f>IF(CF_Gen_1[[#This Row],[Incurred]]&lt;=CF_Gen_1[[#This Row],[Valuation]],CF_Gen_1[[#This Row],[Expected_Premium]],-CF_Gen_1[[#This Row],[Probability_of_Inforce]]*CF_Gen_1[[#This Row],[Premium_Refund_Ratio]]*CF_Gen_1[[#This Row],[Cancellation_Ratio]]*SUM(K26:K$105))</f>
        <v>-449174589.50333077</v>
      </c>
      <c r="V2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Row],[Cancellation_Ratio]]*SUM(L26:L$105))</f>
        <v>134840533.97944537</v>
      </c>
      <c r="W26" s="19">
        <f>CF_Gen_1[[#This Row],[Expected_Acquisition]]</f>
        <v>0</v>
      </c>
      <c r="X26" s="19">
        <f>-CF_Gen_1[[#This Row],[Probability_of_Inforce]]*CF_Gen_1[[#This Row],[Earned_Premium]]*(1-CF_Gen_1[[#This Row],[Cancellation_Ratio]])*CF_Gen_1[[#This Row],[PME_Ratio]]+CF_Gen_1[[#This Row],[ULAE_Ratio]]*CF_Gen_1[[#This Row],[Exp_Claim]]</f>
        <v>-30126604.643212765</v>
      </c>
      <c r="Y26" s="19">
        <f>-CF_Gen_1[[#This Row],[Probability_of_Inforce]]*CF_Gen_1[[#This Row],[Earned_Premium]]*(1-CF_Gen_1[[#This Row],[Cancellation_Ratio]])*CF_Gen_1[[#This Row],[Loss_Ratio]]</f>
        <v>-135400470.30657423</v>
      </c>
      <c r="Z26" s="19">
        <f>CF_Gen_1[[#This Row],[Exp_Claim]]*CF_Gen_1[[#This Row],[Risk_Adjustment_Ratio]]</f>
        <v>-18956065.842920393</v>
      </c>
      <c r="AA26" s="19">
        <f>IF(CF_Gen_1[[#This Row],[Contract]]="RC",-CF_Gen_1[[#This Row],[NPR_Ratio]]*CF_Gen_1[[#This Row],[Exp_Claim]],0)</f>
        <v>0</v>
      </c>
      <c r="AB26" s="19">
        <f>SUMIFS(Actual_CF[Actual_Premium],Actual_CF[ICG],CF_Gen_1[[#This Row],[ICG]],Actual_CF[Incurred],CF_Gen_1[[#This Row],[Incurred]])</f>
        <v>0</v>
      </c>
      <c r="AC26" s="19">
        <f>SUMIFS(Actual_CF[Actual_Commission],Actual_CF[ICG],CF_Gen_1[[#This Row],[ICG]],Actual_CF[Incurred],CF_Gen_1[[#This Row],[Incurred]])</f>
        <v>0</v>
      </c>
      <c r="AD26" s="19">
        <f>SUMIFS(Actual_CF[Actual_Acquisition],Actual_CF[ICG],CF_Gen_1[[#This Row],[ICG]],Actual_CF[Incurred],CF_Gen_1[[#This Row],[Incurred]])</f>
        <v>0</v>
      </c>
    </row>
    <row r="27" spans="1:30">
      <c r="A27" t="str">
        <f t="shared" si="1"/>
        <v>#2024#IC-Property</v>
      </c>
      <c r="B27">
        <f>_xlfn.XLOOKUP(CF_Gen_1[[#This Row],[ICG]],ICG[ICG],ICG[Cohort])</f>
        <v>2024</v>
      </c>
      <c r="C27" t="str">
        <f>_xlfn.XLOOKUP(CF_Gen_1[[#This Row],[ICG]],ICG[ICG],ICG[Portfolio])</f>
        <v>IC-Property</v>
      </c>
      <c r="D27" t="str">
        <f>_xlfn.XLOOKUP(CF_Gen_1[[#This Row],[ICG]],ICG[ICG],ICG[Contract])</f>
        <v>IC</v>
      </c>
      <c r="E27" s="2">
        <f t="shared" si="0"/>
        <v>45930</v>
      </c>
      <c r="F27">
        <v>26</v>
      </c>
      <c r="G27" s="2">
        <f>EOMONTH(DATE(YEAR(CF_Gen_1[[#This Row],[Valuation]])-1,12,31),CF_Gen_1[[#This Row],['#Incurred]]*3)</f>
        <v>48029</v>
      </c>
      <c r="H27" s="14">
        <f>SUMIFS(Expected_CF[Expected_Premium],Expected_CF[ICG],CF_Gen_1[[#This Row],[ICG]],Expected_CF[Incurred],CF_Gen_1[[#This Row],[Incurred]])</f>
        <v>0</v>
      </c>
      <c r="I27" s="14">
        <f>SUMIFS(Expected_CF[Expected_Commission],Expected_CF[ICG],CF_Gen_1[[#This Row],[ICG]],Expected_CF[Incurred],CF_Gen_1[[#This Row],[Incurred]])</f>
        <v>0</v>
      </c>
      <c r="J27" s="14">
        <f>IF(CF_Gen_1[[#This Row],[Contract]]="IC",SUMIFS(Expected_CF[Expected_Acquisition],Expected_CF[ICG],CF_Gen_1[[#This Row],[ICG]],Expected_CF[Incurred],CF_Gen_1[[#This Row],[Incurred]]),0)</f>
        <v>0</v>
      </c>
      <c r="K27" s="14">
        <f>SUMIFS(Earned[Earned_Premium],Earned[ICG],CF_Gen_1[[#This Row],[ICG]],Earned[Incurred],CF_Gen_1[[#This Row],[Incurred]])</f>
        <v>2047350668.2653248</v>
      </c>
      <c r="L27" s="14">
        <f>SUMIFS(Earned[Earned_Commission],Earned[ICG],CF_Gen_1[[#This Row],[ICG]],Earned[Incurred],CF_Gen_1[[#This Row],[Incurred]])</f>
        <v>-631722163.75346911</v>
      </c>
      <c r="M27" s="18">
        <f>_xlfn.XLOOKUP(CF_Gen_1[[#This Row],[ICG]],Assumptions[ICG],Assumptions[Loss_Ratio])</f>
        <v>0.4</v>
      </c>
      <c r="N27" s="18">
        <f>_xlfn.XLOOKUP(CF_Gen_1[[#This Row],[ICG]],Assumptions[ICG],Assumptions[Risk_Adjustment_Ratio])</f>
        <v>0.14000000000000001</v>
      </c>
      <c r="O27" s="18">
        <f>_xlfn.XLOOKUP(CF_Gen_1[[#This Row],[ICG]],Assumptions[ICG],Assumptions[PME_Ratio])</f>
        <v>4.4999999999999998E-2</v>
      </c>
      <c r="P27" s="18">
        <f>_xlfn.XLOOKUP(CF_Gen_1[[#This Row],[ICG]],Assumptions[ICG],Assumptions[ULAE_Ratio])</f>
        <v>0.11</v>
      </c>
      <c r="Q27" s="18">
        <f>_xlfn.XLOOKUP(CF_Gen_1[[#This Row],[ICG]],Assumptions[ICG],Assumptions[Cancellation_Ratio])</f>
        <v>7.0000000000000007E-2</v>
      </c>
      <c r="R27" s="18">
        <f>_xlfn.XLOOKUP(CF_Gen_1[[#This Row],[ICG]],Assumptions[ICG],Assumptions[Premium_Refund_Ratio])</f>
        <v>0.5</v>
      </c>
      <c r="S27" s="18">
        <f>IF(CF_Gen_1[[#This Row],[Contract]]="RC",_xlfn.XLOOKUP(CF_Gen_1[[#This Row],[ICG]],Assumptions[ICG],Assumptions[NPR_Ratio]),0)</f>
        <v>0</v>
      </c>
      <c r="T27" s="17">
        <f>T26*(1-CF_Gen_1[[#This Row],[Cancellation_Ratio]])</f>
        <v>0.16295726004499683</v>
      </c>
      <c r="U27" s="19">
        <f>IF(CF_Gen_1[[#This Row],[Incurred]]&lt;=CF_Gen_1[[#This Row],[Valuation]],CF_Gen_1[[#This Row],[Expected_Premium]],-CF_Gen_1[[#This Row],[Probability_of_Inforce]]*CF_Gen_1[[#This Row],[Premium_Refund_Ratio]]*CF_Gen_1[[#This Row],[Cancellation_Ratio]]*SUM(K27:K$105))</f>
        <v>-405884827.08627224</v>
      </c>
      <c r="V2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Row],[Cancellation_Ratio]]*SUM(L27:L$105))</f>
        <v>121744485.74732631</v>
      </c>
      <c r="W27" s="19">
        <f>CF_Gen_1[[#This Row],[Expected_Acquisition]]</f>
        <v>0</v>
      </c>
      <c r="X27" s="19">
        <f>-CF_Gen_1[[#This Row],[Probability_of_Inforce]]*CF_Gen_1[[#This Row],[Earned_Premium]]*(1-CF_Gen_1[[#This Row],[Cancellation_Ratio]])*CF_Gen_1[[#This Row],[PME_Ratio]]+CF_Gen_1[[#This Row],[ULAE_Ratio]]*CF_Gen_1[[#This Row],[Exp_Claim]]</f>
        <v>-27614609.33519236</v>
      </c>
      <c r="Y27" s="19">
        <f>-CF_Gen_1[[#This Row],[Probability_of_Inforce]]*CF_Gen_1[[#This Row],[Earned_Premium]]*(1-CF_Gen_1[[#This Row],[Cancellation_Ratio]])*CF_Gen_1[[#This Row],[Loss_Ratio]]</f>
        <v>-124110603.75367354</v>
      </c>
      <c r="Z27" s="19">
        <f>CF_Gen_1[[#This Row],[Exp_Claim]]*CF_Gen_1[[#This Row],[Risk_Adjustment_Ratio]]</f>
        <v>-17375484.525514297</v>
      </c>
      <c r="AA27" s="19">
        <f>IF(CF_Gen_1[[#This Row],[Contract]]="RC",-CF_Gen_1[[#This Row],[NPR_Ratio]]*CF_Gen_1[[#This Row],[Exp_Claim]],0)</f>
        <v>0</v>
      </c>
      <c r="AB27" s="19">
        <f>SUMIFS(Actual_CF[Actual_Premium],Actual_CF[ICG],CF_Gen_1[[#This Row],[ICG]],Actual_CF[Incurred],CF_Gen_1[[#This Row],[Incurred]])</f>
        <v>0</v>
      </c>
      <c r="AC27" s="19">
        <f>SUMIFS(Actual_CF[Actual_Commission],Actual_CF[ICG],CF_Gen_1[[#This Row],[ICG]],Actual_CF[Incurred],CF_Gen_1[[#This Row],[Incurred]])</f>
        <v>0</v>
      </c>
      <c r="AD27" s="19">
        <f>SUMIFS(Actual_CF[Actual_Acquisition],Actual_CF[ICG],CF_Gen_1[[#This Row],[ICG]],Actual_CF[Incurred],CF_Gen_1[[#This Row],[Incurred]])</f>
        <v>0</v>
      </c>
    </row>
    <row r="28" spans="1:30">
      <c r="A28" t="str">
        <f t="shared" si="1"/>
        <v>#2024#IC-Property</v>
      </c>
      <c r="B28">
        <f>_xlfn.XLOOKUP(CF_Gen_1[[#This Row],[ICG]],ICG[ICG],ICG[Cohort])</f>
        <v>2024</v>
      </c>
      <c r="C28" t="str">
        <f>_xlfn.XLOOKUP(CF_Gen_1[[#This Row],[ICG]],ICG[ICG],ICG[Portfolio])</f>
        <v>IC-Property</v>
      </c>
      <c r="D28" t="str">
        <f>_xlfn.XLOOKUP(CF_Gen_1[[#This Row],[ICG]],ICG[ICG],ICG[Contract])</f>
        <v>IC</v>
      </c>
      <c r="E28" s="2">
        <f t="shared" si="0"/>
        <v>45930</v>
      </c>
      <c r="F28">
        <v>27</v>
      </c>
      <c r="G28" s="2">
        <f>EOMONTH(DATE(YEAR(CF_Gen_1[[#This Row],[Valuation]])-1,12,31),CF_Gen_1[[#This Row],['#Incurred]]*3)</f>
        <v>48121</v>
      </c>
      <c r="H28" s="14">
        <f>SUMIFS(Expected_CF[Expected_Premium],Expected_CF[ICG],CF_Gen_1[[#This Row],[ICG]],Expected_CF[Incurred],CF_Gen_1[[#This Row],[Incurred]])</f>
        <v>0</v>
      </c>
      <c r="I28" s="14">
        <f>SUMIFS(Expected_CF[Expected_Commission],Expected_CF[ICG],CF_Gen_1[[#This Row],[ICG]],Expected_CF[Incurred],CF_Gen_1[[#This Row],[Incurred]])</f>
        <v>0</v>
      </c>
      <c r="J28" s="14">
        <f>IF(CF_Gen_1[[#This Row],[Contract]]="IC",SUMIFS(Expected_CF[Expected_Acquisition],Expected_CF[ICG],CF_Gen_1[[#This Row],[ICG]],Expected_CF[Incurred],CF_Gen_1[[#This Row],[Incurred]]),0)</f>
        <v>0</v>
      </c>
      <c r="K28" s="14">
        <f>SUMIFS(Earned[Earned_Premium],Earned[ICG],CF_Gen_1[[#This Row],[ICG]],Earned[Incurred],CF_Gen_1[[#This Row],[Incurred]])</f>
        <v>2017462337.3417435</v>
      </c>
      <c r="L28" s="14">
        <f>SUMIFS(Earned[Earned_Commission],Earned[ICG],CF_Gen_1[[#This Row],[ICG]],Earned[Incurred],CF_Gen_1[[#This Row],[Incurred]])</f>
        <v>-622222582.34364259</v>
      </c>
      <c r="M28" s="18">
        <f>_xlfn.XLOOKUP(CF_Gen_1[[#This Row],[ICG]],Assumptions[ICG],Assumptions[Loss_Ratio])</f>
        <v>0.4</v>
      </c>
      <c r="N28" s="18">
        <f>_xlfn.XLOOKUP(CF_Gen_1[[#This Row],[ICG]],Assumptions[ICG],Assumptions[Risk_Adjustment_Ratio])</f>
        <v>0.14000000000000001</v>
      </c>
      <c r="O28" s="18">
        <f>_xlfn.XLOOKUP(CF_Gen_1[[#This Row],[ICG]],Assumptions[ICG],Assumptions[PME_Ratio])</f>
        <v>4.4999999999999998E-2</v>
      </c>
      <c r="P28" s="18">
        <f>_xlfn.XLOOKUP(CF_Gen_1[[#This Row],[ICG]],Assumptions[ICG],Assumptions[ULAE_Ratio])</f>
        <v>0.11</v>
      </c>
      <c r="Q28" s="18">
        <f>_xlfn.XLOOKUP(CF_Gen_1[[#This Row],[ICG]],Assumptions[ICG],Assumptions[Cancellation_Ratio])</f>
        <v>7.0000000000000007E-2</v>
      </c>
      <c r="R28" s="18">
        <f>_xlfn.XLOOKUP(CF_Gen_1[[#This Row],[ICG]],Assumptions[ICG],Assumptions[Premium_Refund_Ratio])</f>
        <v>0.5</v>
      </c>
      <c r="S28" s="18">
        <f>IF(CF_Gen_1[[#This Row],[Contract]]="RC",_xlfn.XLOOKUP(CF_Gen_1[[#This Row],[ICG]],Assumptions[ICG],Assumptions[NPR_Ratio]),0)</f>
        <v>0</v>
      </c>
      <c r="T28" s="17">
        <f>T27*(1-CF_Gen_1[[#This Row],[Cancellation_Ratio]])</f>
        <v>0.15155025184184703</v>
      </c>
      <c r="U28" s="19">
        <f>IF(CF_Gen_1[[#This Row],[Incurred]]&lt;=CF_Gen_1[[#This Row],[Valuation]],CF_Gen_1[[#This Row],[Expected_Premium]],-CF_Gen_1[[#This Row],[Probability_of_Inforce]]*CF_Gen_1[[#This Row],[Premium_Refund_Ratio]]*CF_Gen_1[[#This Row],[Cancellation_Ratio]]*SUM(K28:K$105))</f>
        <v>-366613211.36178672</v>
      </c>
      <c r="V2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Row],[Cancellation_Ratio]]*SUM(L28:L$105))</f>
        <v>109871553.88963145</v>
      </c>
      <c r="W28" s="19">
        <f>CF_Gen_1[[#This Row],[Expected_Acquisition]]</f>
        <v>0</v>
      </c>
      <c r="X28" s="19">
        <f>-CF_Gen_1[[#This Row],[Probability_of_Inforce]]*CF_Gen_1[[#This Row],[Earned_Premium]]*(1-CF_Gen_1[[#This Row],[Cancellation_Ratio]])*CF_Gen_1[[#This Row],[PME_Ratio]]+CF_Gen_1[[#This Row],[ULAE_Ratio]]*CF_Gen_1[[#This Row],[Exp_Claim]]</f>
        <v>-25306673.007543072</v>
      </c>
      <c r="Y28" s="19">
        <f>-CF_Gen_1[[#This Row],[Probability_of_Inforce]]*CF_Gen_1[[#This Row],[Earned_Premium]]*(1-CF_Gen_1[[#This Row],[Cancellation_Ratio]])*CF_Gen_1[[#This Row],[Loss_Ratio]]</f>
        <v>-113737856.21367672</v>
      </c>
      <c r="Z28" s="19">
        <f>CF_Gen_1[[#This Row],[Exp_Claim]]*CF_Gen_1[[#This Row],[Risk_Adjustment_Ratio]]</f>
        <v>-15923299.869914742</v>
      </c>
      <c r="AA28" s="19">
        <f>IF(CF_Gen_1[[#This Row],[Contract]]="RC",-CF_Gen_1[[#This Row],[NPR_Ratio]]*CF_Gen_1[[#This Row],[Exp_Claim]],0)</f>
        <v>0</v>
      </c>
      <c r="AB28" s="19">
        <f>SUMIFS(Actual_CF[Actual_Premium],Actual_CF[ICG],CF_Gen_1[[#This Row],[ICG]],Actual_CF[Incurred],CF_Gen_1[[#This Row],[Incurred]])</f>
        <v>0</v>
      </c>
      <c r="AC28" s="19">
        <f>SUMIFS(Actual_CF[Actual_Commission],Actual_CF[ICG],CF_Gen_1[[#This Row],[ICG]],Actual_CF[Incurred],CF_Gen_1[[#This Row],[Incurred]])</f>
        <v>0</v>
      </c>
      <c r="AD28" s="19">
        <f>SUMIFS(Actual_CF[Actual_Acquisition],Actual_CF[ICG],CF_Gen_1[[#This Row],[ICG]],Actual_CF[Incurred],CF_Gen_1[[#This Row],[Incurred]])</f>
        <v>0</v>
      </c>
    </row>
    <row r="29" spans="1:30">
      <c r="A29" t="str">
        <f t="shared" si="1"/>
        <v>#2024#IC-Property</v>
      </c>
      <c r="B29">
        <f>_xlfn.XLOOKUP(CF_Gen_1[[#This Row],[ICG]],ICG[ICG],ICG[Cohort])</f>
        <v>2024</v>
      </c>
      <c r="C29" t="str">
        <f>_xlfn.XLOOKUP(CF_Gen_1[[#This Row],[ICG]],ICG[ICG],ICG[Portfolio])</f>
        <v>IC-Property</v>
      </c>
      <c r="D29" t="str">
        <f>_xlfn.XLOOKUP(CF_Gen_1[[#This Row],[ICG]],ICG[ICG],ICG[Contract])</f>
        <v>IC</v>
      </c>
      <c r="E29" s="2">
        <f t="shared" si="0"/>
        <v>45930</v>
      </c>
      <c r="F29">
        <v>28</v>
      </c>
      <c r="G29" s="2">
        <f>EOMONTH(DATE(YEAR(CF_Gen_1[[#This Row],[Valuation]])-1,12,31),CF_Gen_1[[#This Row],['#Incurred]]*3)</f>
        <v>48213</v>
      </c>
      <c r="H29" s="14">
        <f>SUMIFS(Expected_CF[Expected_Premium],Expected_CF[ICG],CF_Gen_1[[#This Row],[ICG]],Expected_CF[Incurred],CF_Gen_1[[#This Row],[Incurred]])</f>
        <v>0</v>
      </c>
      <c r="I29" s="14">
        <f>SUMIFS(Expected_CF[Expected_Commission],Expected_CF[ICG],CF_Gen_1[[#This Row],[ICG]],Expected_CF[Incurred],CF_Gen_1[[#This Row],[Incurred]])</f>
        <v>0</v>
      </c>
      <c r="J29" s="14">
        <f>IF(CF_Gen_1[[#This Row],[Contract]]="IC",SUMIFS(Expected_CF[Expected_Acquisition],Expected_CF[ICG],CF_Gen_1[[#This Row],[ICG]],Expected_CF[Incurred],CF_Gen_1[[#This Row],[Incurred]]),0)</f>
        <v>0</v>
      </c>
      <c r="K29" s="14">
        <f>SUMIFS(Earned[Earned_Premium],Earned[ICG],CF_Gen_1[[#This Row],[ICG]],Earned[Incurred],CF_Gen_1[[#This Row],[Incurred]])</f>
        <v>1987574006.4181623</v>
      </c>
      <c r="L29" s="14">
        <f>SUMIFS(Earned[Earned_Commission],Earned[ICG],CF_Gen_1[[#This Row],[ICG]],Earned[Incurred],CF_Gen_1[[#This Row],[Incurred]])</f>
        <v>-612723000.93381596</v>
      </c>
      <c r="M29" s="18">
        <f>_xlfn.XLOOKUP(CF_Gen_1[[#This Row],[ICG]],Assumptions[ICG],Assumptions[Loss_Ratio])</f>
        <v>0.4</v>
      </c>
      <c r="N29" s="18">
        <f>_xlfn.XLOOKUP(CF_Gen_1[[#This Row],[ICG]],Assumptions[ICG],Assumptions[Risk_Adjustment_Ratio])</f>
        <v>0.14000000000000001</v>
      </c>
      <c r="O29" s="18">
        <f>_xlfn.XLOOKUP(CF_Gen_1[[#This Row],[ICG]],Assumptions[ICG],Assumptions[PME_Ratio])</f>
        <v>4.4999999999999998E-2</v>
      </c>
      <c r="P29" s="18">
        <f>_xlfn.XLOOKUP(CF_Gen_1[[#This Row],[ICG]],Assumptions[ICG],Assumptions[ULAE_Ratio])</f>
        <v>0.11</v>
      </c>
      <c r="Q29" s="18">
        <f>_xlfn.XLOOKUP(CF_Gen_1[[#This Row],[ICG]],Assumptions[ICG],Assumptions[Cancellation_Ratio])</f>
        <v>7.0000000000000007E-2</v>
      </c>
      <c r="R29" s="18">
        <f>_xlfn.XLOOKUP(CF_Gen_1[[#This Row],[ICG]],Assumptions[ICG],Assumptions[Premium_Refund_Ratio])</f>
        <v>0.5</v>
      </c>
      <c r="S29" s="18">
        <f>IF(CF_Gen_1[[#This Row],[Contract]]="RC",_xlfn.XLOOKUP(CF_Gen_1[[#This Row],[ICG]],Assumptions[ICG],Assumptions[NPR_Ratio]),0)</f>
        <v>0</v>
      </c>
      <c r="T29" s="17">
        <f>T28*(1-CF_Gen_1[[#This Row],[Cancellation_Ratio]])</f>
        <v>0.14094173421291772</v>
      </c>
      <c r="U29" s="19">
        <f>IF(CF_Gen_1[[#This Row],[Incurred]]&lt;=CF_Gen_1[[#This Row],[Valuation]],CF_Gen_1[[#This Row],[Expected_Premium]],-CF_Gen_1[[#This Row],[Probability_of_Inforce]]*CF_Gen_1[[#This Row],[Premium_Refund_Ratio]]*CF_Gen_1[[#This Row],[Cancellation_Ratio]]*SUM(K29:K$105))</f>
        <v>-330998224.14776486</v>
      </c>
      <c r="V2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Row],[Cancellation_Ratio]]*SUM(L29:L$105))</f>
        <v>99111145.573588878</v>
      </c>
      <c r="W29" s="19">
        <f>CF_Gen_1[[#This Row],[Expected_Acquisition]]</f>
        <v>0</v>
      </c>
      <c r="X29" s="19">
        <f>-CF_Gen_1[[#This Row],[Probability_of_Inforce]]*CF_Gen_1[[#This Row],[Earned_Premium]]*(1-CF_Gen_1[[#This Row],[Cancellation_Ratio]])*CF_Gen_1[[#This Row],[PME_Ratio]]+CF_Gen_1[[#This Row],[ULAE_Ratio]]*CF_Gen_1[[#This Row],[Exp_Claim]]</f>
        <v>-23186536.180022236</v>
      </c>
      <c r="Y29" s="19">
        <f>-CF_Gen_1[[#This Row],[Probability_of_Inforce]]*CF_Gen_1[[#This Row],[Earned_Premium]]*(1-CF_Gen_1[[#This Row],[Cancellation_Ratio]])*CF_Gen_1[[#This Row],[Loss_Ratio]]</f>
        <v>-104209151.37088646</v>
      </c>
      <c r="Z29" s="19">
        <f>CF_Gen_1[[#This Row],[Exp_Claim]]*CF_Gen_1[[#This Row],[Risk_Adjustment_Ratio]]</f>
        <v>-14589281.191924106</v>
      </c>
      <c r="AA29" s="19">
        <f>IF(CF_Gen_1[[#This Row],[Contract]]="RC",-CF_Gen_1[[#This Row],[NPR_Ratio]]*CF_Gen_1[[#This Row],[Exp_Claim]],0)</f>
        <v>0</v>
      </c>
      <c r="AB29" s="19">
        <f>SUMIFS(Actual_CF[Actual_Premium],Actual_CF[ICG],CF_Gen_1[[#This Row],[ICG]],Actual_CF[Incurred],CF_Gen_1[[#This Row],[Incurred]])</f>
        <v>0</v>
      </c>
      <c r="AC29" s="19">
        <f>SUMIFS(Actual_CF[Actual_Commission],Actual_CF[ICG],CF_Gen_1[[#This Row],[ICG]],Actual_CF[Incurred],CF_Gen_1[[#This Row],[Incurred]])</f>
        <v>0</v>
      </c>
      <c r="AD29" s="19">
        <f>SUMIFS(Actual_CF[Actual_Acquisition],Actual_CF[ICG],CF_Gen_1[[#This Row],[ICG]],Actual_CF[Incurred],CF_Gen_1[[#This Row],[Incurred]])</f>
        <v>0</v>
      </c>
    </row>
    <row r="30" spans="1:30">
      <c r="A30" t="str">
        <f t="shared" si="1"/>
        <v>#2024#IC-Property</v>
      </c>
      <c r="B30">
        <f>_xlfn.XLOOKUP(CF_Gen_1[[#This Row],[ICG]],ICG[ICG],ICG[Cohort])</f>
        <v>2024</v>
      </c>
      <c r="C30" t="str">
        <f>_xlfn.XLOOKUP(CF_Gen_1[[#This Row],[ICG]],ICG[ICG],ICG[Portfolio])</f>
        <v>IC-Property</v>
      </c>
      <c r="D30" t="str">
        <f>_xlfn.XLOOKUP(CF_Gen_1[[#This Row],[ICG]],ICG[ICG],ICG[Contract])</f>
        <v>IC</v>
      </c>
      <c r="E30" s="2">
        <f t="shared" si="0"/>
        <v>45930</v>
      </c>
      <c r="F30">
        <v>29</v>
      </c>
      <c r="G30" s="2">
        <f>EOMONTH(DATE(YEAR(CF_Gen_1[[#This Row],[Valuation]])-1,12,31),CF_Gen_1[[#This Row],['#Incurred]]*3)</f>
        <v>48304</v>
      </c>
      <c r="H30" s="14">
        <f>SUMIFS(Expected_CF[Expected_Premium],Expected_CF[ICG],CF_Gen_1[[#This Row],[ICG]],Expected_CF[Incurred],CF_Gen_1[[#This Row],[Incurred]])</f>
        <v>0</v>
      </c>
      <c r="I30" s="14">
        <f>SUMIFS(Expected_CF[Expected_Commission],Expected_CF[ICG],CF_Gen_1[[#This Row],[ICG]],Expected_CF[Incurred],CF_Gen_1[[#This Row],[Incurred]])</f>
        <v>0</v>
      </c>
      <c r="J30" s="14">
        <f>IF(CF_Gen_1[[#This Row],[Contract]]="IC",SUMIFS(Expected_CF[Expected_Acquisition],Expected_CF[ICG],CF_Gen_1[[#This Row],[ICG]],Expected_CF[Incurred],CF_Gen_1[[#This Row],[Incurred]]),0)</f>
        <v>0</v>
      </c>
      <c r="K30" s="14">
        <f>SUMIFS(Earned[Earned_Premium],Earned[ICG],CF_Gen_1[[#This Row],[ICG]],Earned[Incurred],CF_Gen_1[[#This Row],[Incurred]])</f>
        <v>1957685675.494581</v>
      </c>
      <c r="L30" s="14">
        <f>SUMIFS(Earned[Earned_Commission],Earned[ICG],CF_Gen_1[[#This Row],[ICG]],Earned[Incurred],CF_Gen_1[[#This Row],[Incurred]])</f>
        <v>-603223419.52398944</v>
      </c>
      <c r="M30" s="18">
        <f>_xlfn.XLOOKUP(CF_Gen_1[[#This Row],[ICG]],Assumptions[ICG],Assumptions[Loss_Ratio])</f>
        <v>0.4</v>
      </c>
      <c r="N30" s="18">
        <f>_xlfn.XLOOKUP(CF_Gen_1[[#This Row],[ICG]],Assumptions[ICG],Assumptions[Risk_Adjustment_Ratio])</f>
        <v>0.14000000000000001</v>
      </c>
      <c r="O30" s="18">
        <f>_xlfn.XLOOKUP(CF_Gen_1[[#This Row],[ICG]],Assumptions[ICG],Assumptions[PME_Ratio])</f>
        <v>4.4999999999999998E-2</v>
      </c>
      <c r="P30" s="18">
        <f>_xlfn.XLOOKUP(CF_Gen_1[[#This Row],[ICG]],Assumptions[ICG],Assumptions[ULAE_Ratio])</f>
        <v>0.11</v>
      </c>
      <c r="Q30" s="18">
        <f>_xlfn.XLOOKUP(CF_Gen_1[[#This Row],[ICG]],Assumptions[ICG],Assumptions[Cancellation_Ratio])</f>
        <v>7.0000000000000007E-2</v>
      </c>
      <c r="R30" s="18">
        <f>_xlfn.XLOOKUP(CF_Gen_1[[#This Row],[ICG]],Assumptions[ICG],Assumptions[Premium_Refund_Ratio])</f>
        <v>0.5</v>
      </c>
      <c r="S30" s="18">
        <f>IF(CF_Gen_1[[#This Row],[Contract]]="RC",_xlfn.XLOOKUP(CF_Gen_1[[#This Row],[ICG]],Assumptions[ICG],Assumptions[NPR_Ratio]),0)</f>
        <v>0</v>
      </c>
      <c r="T30" s="17">
        <f>T29*(1-CF_Gen_1[[#This Row],[Cancellation_Ratio]])</f>
        <v>0.13107581281801348</v>
      </c>
      <c r="U30" s="19">
        <f>IF(CF_Gen_1[[#This Row],[Incurred]]&lt;=CF_Gen_1[[#This Row],[Valuation]],CF_Gen_1[[#This Row],[Expected_Premium]],-CF_Gen_1[[#This Row],[Probability_of_Inforce]]*CF_Gen_1[[#This Row],[Premium_Refund_Ratio]]*CF_Gen_1[[#This Row],[Cancellation_Ratio]]*SUM(K30:K$105))</f>
        <v>-298710047.71246874</v>
      </c>
      <c r="V3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Row],[Cancellation_Ratio]]*SUM(L30:L$105))</f>
        <v>89362404.595148414</v>
      </c>
      <c r="W30" s="19">
        <f>CF_Gen_1[[#This Row],[Expected_Acquisition]]</f>
        <v>0</v>
      </c>
      <c r="X30" s="19">
        <f>-CF_Gen_1[[#This Row],[Probability_of_Inforce]]*CF_Gen_1[[#This Row],[Earned_Premium]]*(1-CF_Gen_1[[#This Row],[Cancellation_Ratio]])*CF_Gen_1[[#This Row],[PME_Ratio]]+CF_Gen_1[[#This Row],[ULAE_Ratio]]*CF_Gen_1[[#This Row],[Exp_Claim]]</f>
        <v>-21239215.810617361</v>
      </c>
      <c r="Y30" s="19">
        <f>-CF_Gen_1[[#This Row],[Probability_of_Inforce]]*CF_Gen_1[[#This Row],[Earned_Premium]]*(1-CF_Gen_1[[#This Row],[Cancellation_Ratio]])*CF_Gen_1[[#This Row],[Loss_Ratio]]</f>
        <v>-95457149.710639834</v>
      </c>
      <c r="Z30" s="19">
        <f>CF_Gen_1[[#This Row],[Exp_Claim]]*CF_Gen_1[[#This Row],[Risk_Adjustment_Ratio]]</f>
        <v>-13364000.959489578</v>
      </c>
      <c r="AA30" s="19">
        <f>IF(CF_Gen_1[[#This Row],[Contract]]="RC",-CF_Gen_1[[#This Row],[NPR_Ratio]]*CF_Gen_1[[#This Row],[Exp_Claim]],0)</f>
        <v>0</v>
      </c>
      <c r="AB30" s="19">
        <f>SUMIFS(Actual_CF[Actual_Premium],Actual_CF[ICG],CF_Gen_1[[#This Row],[ICG]],Actual_CF[Incurred],CF_Gen_1[[#This Row],[Incurred]])</f>
        <v>0</v>
      </c>
      <c r="AC30" s="19">
        <f>SUMIFS(Actual_CF[Actual_Commission],Actual_CF[ICG],CF_Gen_1[[#This Row],[ICG]],Actual_CF[Incurred],CF_Gen_1[[#This Row],[Incurred]])</f>
        <v>0</v>
      </c>
      <c r="AD30" s="19">
        <f>SUMIFS(Actual_CF[Actual_Acquisition],Actual_CF[ICG],CF_Gen_1[[#This Row],[ICG]],Actual_CF[Incurred],CF_Gen_1[[#This Row],[Incurred]])</f>
        <v>0</v>
      </c>
    </row>
    <row r="31" spans="1:30">
      <c r="A31" t="str">
        <f t="shared" si="1"/>
        <v>#2024#IC-Property</v>
      </c>
      <c r="B31">
        <f>_xlfn.XLOOKUP(CF_Gen_1[[#This Row],[ICG]],ICG[ICG],ICG[Cohort])</f>
        <v>2024</v>
      </c>
      <c r="C31" t="str">
        <f>_xlfn.XLOOKUP(CF_Gen_1[[#This Row],[ICG]],ICG[ICG],ICG[Portfolio])</f>
        <v>IC-Property</v>
      </c>
      <c r="D31" t="str">
        <f>_xlfn.XLOOKUP(CF_Gen_1[[#This Row],[ICG]],ICG[ICG],ICG[Contract])</f>
        <v>IC</v>
      </c>
      <c r="E31" s="2">
        <f t="shared" si="0"/>
        <v>45930</v>
      </c>
      <c r="F31">
        <v>30</v>
      </c>
      <c r="G31" s="2">
        <f>EOMONTH(DATE(YEAR(CF_Gen_1[[#This Row],[Valuation]])-1,12,31),CF_Gen_1[[#This Row],['#Incurred]]*3)</f>
        <v>48395</v>
      </c>
      <c r="H31" s="14">
        <f>SUMIFS(Expected_CF[Expected_Premium],Expected_CF[ICG],CF_Gen_1[[#This Row],[ICG]],Expected_CF[Incurred],CF_Gen_1[[#This Row],[Incurred]])</f>
        <v>0</v>
      </c>
      <c r="I31" s="14">
        <f>SUMIFS(Expected_CF[Expected_Commission],Expected_CF[ICG],CF_Gen_1[[#This Row],[ICG]],Expected_CF[Incurred],CF_Gen_1[[#This Row],[Incurred]])</f>
        <v>0</v>
      </c>
      <c r="J31" s="14">
        <f>IF(CF_Gen_1[[#This Row],[Contract]]="IC",SUMIFS(Expected_CF[Expected_Acquisition],Expected_CF[ICG],CF_Gen_1[[#This Row],[ICG]],Expected_CF[Incurred],CF_Gen_1[[#This Row],[Incurred]]),0)</f>
        <v>0</v>
      </c>
      <c r="K31" s="14">
        <f>SUMIFS(Earned[Earned_Premium],Earned[ICG],CF_Gen_1[[#This Row],[ICG]],Earned[Incurred],CF_Gen_1[[#This Row],[Incurred]])</f>
        <v>1927797344.5709996</v>
      </c>
      <c r="L31" s="14">
        <f>SUMIFS(Earned[Earned_Commission],Earned[ICG],CF_Gen_1[[#This Row],[ICG]],Earned[Incurred],CF_Gen_1[[#This Row],[Incurred]])</f>
        <v>-593723838.11416292</v>
      </c>
      <c r="M31" s="18">
        <f>_xlfn.XLOOKUP(CF_Gen_1[[#This Row],[ICG]],Assumptions[ICG],Assumptions[Loss_Ratio])</f>
        <v>0.4</v>
      </c>
      <c r="N31" s="18">
        <f>_xlfn.XLOOKUP(CF_Gen_1[[#This Row],[ICG]],Assumptions[ICG],Assumptions[Risk_Adjustment_Ratio])</f>
        <v>0.14000000000000001</v>
      </c>
      <c r="O31" s="18">
        <f>_xlfn.XLOOKUP(CF_Gen_1[[#This Row],[ICG]],Assumptions[ICG],Assumptions[PME_Ratio])</f>
        <v>4.4999999999999998E-2</v>
      </c>
      <c r="P31" s="18">
        <f>_xlfn.XLOOKUP(CF_Gen_1[[#This Row],[ICG]],Assumptions[ICG],Assumptions[ULAE_Ratio])</f>
        <v>0.11</v>
      </c>
      <c r="Q31" s="18">
        <f>_xlfn.XLOOKUP(CF_Gen_1[[#This Row],[ICG]],Assumptions[ICG],Assumptions[Cancellation_Ratio])</f>
        <v>7.0000000000000007E-2</v>
      </c>
      <c r="R31" s="18">
        <f>_xlfn.XLOOKUP(CF_Gen_1[[#This Row],[ICG]],Assumptions[ICG],Assumptions[Premium_Refund_Ratio])</f>
        <v>0.5</v>
      </c>
      <c r="S31" s="18">
        <f>IF(CF_Gen_1[[#This Row],[Contract]]="RC",_xlfn.XLOOKUP(CF_Gen_1[[#This Row],[ICG]],Assumptions[ICG],Assumptions[NPR_Ratio]),0)</f>
        <v>0</v>
      </c>
      <c r="T31" s="17">
        <f>T30*(1-CF_Gen_1[[#This Row],[Cancellation_Ratio]])</f>
        <v>0.12190050592075252</v>
      </c>
      <c r="U31" s="19">
        <f>IF(CF_Gen_1[[#This Row],[Incurred]]&lt;=CF_Gen_1[[#This Row],[Valuation]],CF_Gen_1[[#This Row],[Expected_Premium]],-CF_Gen_1[[#This Row],[Probability_of_Inforce]]*CF_Gen_1[[#This Row],[Premium_Refund_Ratio]]*CF_Gen_1[[#This Row],[Cancellation_Ratio]]*SUM(K31:K$105))</f>
        <v>-269447843.77291489</v>
      </c>
      <c r="V3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Row],[Cancellation_Ratio]]*SUM(L31:L$105))</f>
        <v>80533372.872675285</v>
      </c>
      <c r="W31" s="19">
        <f>CF_Gen_1[[#This Row],[Expected_Acquisition]]</f>
        <v>0</v>
      </c>
      <c r="X31" s="19">
        <f>-CF_Gen_1[[#This Row],[Probability_of_Inforce]]*CF_Gen_1[[#This Row],[Earned_Premium]]*(1-CF_Gen_1[[#This Row],[Cancellation_Ratio]])*CF_Gen_1[[#This Row],[PME_Ratio]]+CF_Gen_1[[#This Row],[ULAE_Ratio]]*CF_Gen_1[[#This Row],[Exp_Claim]]</f>
        <v>-19450906.265647057</v>
      </c>
      <c r="Y31" s="19">
        <f>-CF_Gen_1[[#This Row],[Probability_of_Inforce]]*CF_Gen_1[[#This Row],[Earned_Premium]]*(1-CF_Gen_1[[#This Row],[Cancellation_Ratio]])*CF_Gen_1[[#This Row],[Loss_Ratio]]</f>
        <v>-87419803.441110373</v>
      </c>
      <c r="Z31" s="19">
        <f>CF_Gen_1[[#This Row],[Exp_Claim]]*CF_Gen_1[[#This Row],[Risk_Adjustment_Ratio]]</f>
        <v>-12238772.481755454</v>
      </c>
      <c r="AA31" s="19">
        <f>IF(CF_Gen_1[[#This Row],[Contract]]="RC",-CF_Gen_1[[#This Row],[NPR_Ratio]]*CF_Gen_1[[#This Row],[Exp_Claim]],0)</f>
        <v>0</v>
      </c>
      <c r="AB31" s="19">
        <f>SUMIFS(Actual_CF[Actual_Premium],Actual_CF[ICG],CF_Gen_1[[#This Row],[ICG]],Actual_CF[Incurred],CF_Gen_1[[#This Row],[Incurred]])</f>
        <v>0</v>
      </c>
      <c r="AC31" s="19">
        <f>SUMIFS(Actual_CF[Actual_Commission],Actual_CF[ICG],CF_Gen_1[[#This Row],[ICG]],Actual_CF[Incurred],CF_Gen_1[[#This Row],[Incurred]])</f>
        <v>0</v>
      </c>
      <c r="AD31" s="19">
        <f>SUMIFS(Actual_CF[Actual_Acquisition],Actual_CF[ICG],CF_Gen_1[[#This Row],[ICG]],Actual_CF[Incurred],CF_Gen_1[[#This Row],[Incurred]])</f>
        <v>0</v>
      </c>
    </row>
    <row r="32" spans="1:30">
      <c r="A32" t="str">
        <f t="shared" si="1"/>
        <v>#2024#IC-Property</v>
      </c>
      <c r="B32">
        <f>_xlfn.XLOOKUP(CF_Gen_1[[#This Row],[ICG]],ICG[ICG],ICG[Cohort])</f>
        <v>2024</v>
      </c>
      <c r="C32" t="str">
        <f>_xlfn.XLOOKUP(CF_Gen_1[[#This Row],[ICG]],ICG[ICG],ICG[Portfolio])</f>
        <v>IC-Property</v>
      </c>
      <c r="D32" t="str">
        <f>_xlfn.XLOOKUP(CF_Gen_1[[#This Row],[ICG]],ICG[ICG],ICG[Contract])</f>
        <v>IC</v>
      </c>
      <c r="E32" s="2">
        <f t="shared" si="0"/>
        <v>45930</v>
      </c>
      <c r="F32">
        <v>31</v>
      </c>
      <c r="G32" s="2">
        <f>EOMONTH(DATE(YEAR(CF_Gen_1[[#This Row],[Valuation]])-1,12,31),CF_Gen_1[[#This Row],['#Incurred]]*3)</f>
        <v>48487</v>
      </c>
      <c r="H32" s="14">
        <f>SUMIFS(Expected_CF[Expected_Premium],Expected_CF[ICG],CF_Gen_1[[#This Row],[ICG]],Expected_CF[Incurred],CF_Gen_1[[#This Row],[Incurred]])</f>
        <v>0</v>
      </c>
      <c r="I32" s="14">
        <f>SUMIFS(Expected_CF[Expected_Commission],Expected_CF[ICG],CF_Gen_1[[#This Row],[ICG]],Expected_CF[Incurred],CF_Gen_1[[#This Row],[Incurred]])</f>
        <v>0</v>
      </c>
      <c r="J32" s="14">
        <f>IF(CF_Gen_1[[#This Row],[Contract]]="IC",SUMIFS(Expected_CF[Expected_Acquisition],Expected_CF[ICG],CF_Gen_1[[#This Row],[ICG]],Expected_CF[Incurred],CF_Gen_1[[#This Row],[Incurred]]),0)</f>
        <v>0</v>
      </c>
      <c r="K32" s="14">
        <f>SUMIFS(Earned[Earned_Premium],Earned[ICG],CF_Gen_1[[#This Row],[ICG]],Earned[Incurred],CF_Gen_1[[#This Row],[Incurred]])</f>
        <v>1897909013.6474183</v>
      </c>
      <c r="L32" s="14">
        <f>SUMIFS(Earned[Earned_Commission],Earned[ICG],CF_Gen_1[[#This Row],[ICG]],Earned[Incurred],CF_Gen_1[[#This Row],[Incurred]])</f>
        <v>-584224256.70433617</v>
      </c>
      <c r="M32" s="18">
        <f>_xlfn.XLOOKUP(CF_Gen_1[[#This Row],[ICG]],Assumptions[ICG],Assumptions[Loss_Ratio])</f>
        <v>0.4</v>
      </c>
      <c r="N32" s="18">
        <f>_xlfn.XLOOKUP(CF_Gen_1[[#This Row],[ICG]],Assumptions[ICG],Assumptions[Risk_Adjustment_Ratio])</f>
        <v>0.14000000000000001</v>
      </c>
      <c r="O32" s="18">
        <f>_xlfn.XLOOKUP(CF_Gen_1[[#This Row],[ICG]],Assumptions[ICG],Assumptions[PME_Ratio])</f>
        <v>4.4999999999999998E-2</v>
      </c>
      <c r="P32" s="18">
        <f>_xlfn.XLOOKUP(CF_Gen_1[[#This Row],[ICG]],Assumptions[ICG],Assumptions[ULAE_Ratio])</f>
        <v>0.11</v>
      </c>
      <c r="Q32" s="18">
        <f>_xlfn.XLOOKUP(CF_Gen_1[[#This Row],[ICG]],Assumptions[ICG],Assumptions[Cancellation_Ratio])</f>
        <v>7.0000000000000007E-2</v>
      </c>
      <c r="R32" s="18">
        <f>_xlfn.XLOOKUP(CF_Gen_1[[#This Row],[ICG]],Assumptions[ICG],Assumptions[Premium_Refund_Ratio])</f>
        <v>0.5</v>
      </c>
      <c r="S32" s="18">
        <f>IF(CF_Gen_1[[#This Row],[Contract]]="RC",_xlfn.XLOOKUP(CF_Gen_1[[#This Row],[ICG]],Assumptions[ICG],Assumptions[NPR_Ratio]),0)</f>
        <v>0</v>
      </c>
      <c r="T32" s="17">
        <f>T31*(1-CF_Gen_1[[#This Row],[Cancellation_Ratio]])</f>
        <v>0.11336747050629983</v>
      </c>
      <c r="U32" s="19">
        <f>IF(CF_Gen_1[[#This Row],[Incurred]]&lt;=CF_Gen_1[[#This Row],[Valuation]],CF_Gen_1[[#This Row],[Expected_Premium]],-CF_Gen_1[[#This Row],[Probability_of_Inforce]]*CF_Gen_1[[#This Row],[Premium_Refund_Ratio]]*CF_Gen_1[[#This Row],[Cancellation_Ratio]]*SUM(K32:K$105))</f>
        <v>-242937261.90771371</v>
      </c>
      <c r="V3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Row],[Cancellation_Ratio]]*SUM(L32:L$105))</f>
        <v>72540222.83186771</v>
      </c>
      <c r="W32" s="19">
        <f>CF_Gen_1[[#This Row],[Expected_Acquisition]]</f>
        <v>0</v>
      </c>
      <c r="X32" s="19">
        <f>-CF_Gen_1[[#This Row],[Probability_of_Inforce]]*CF_Gen_1[[#This Row],[Earned_Premium]]*(1-CF_Gen_1[[#This Row],[Cancellation_Ratio]])*CF_Gen_1[[#This Row],[PME_Ratio]]+CF_Gen_1[[#This Row],[ULAE_Ratio]]*CF_Gen_1[[#This Row],[Exp_Claim]]</f>
        <v>-17808887.899500571</v>
      </c>
      <c r="Y32" s="19">
        <f>-CF_Gen_1[[#This Row],[Probability_of_Inforce]]*CF_Gen_1[[#This Row],[Earned_Premium]]*(1-CF_Gen_1[[#This Row],[Cancellation_Ratio]])*CF_Gen_1[[#This Row],[Loss_Ratio]]</f>
        <v>-80039945.615732908</v>
      </c>
      <c r="Z32" s="19">
        <f>CF_Gen_1[[#This Row],[Exp_Claim]]*CF_Gen_1[[#This Row],[Risk_Adjustment_Ratio]]</f>
        <v>-11205592.386202607</v>
      </c>
      <c r="AA32" s="19">
        <f>IF(CF_Gen_1[[#This Row],[Contract]]="RC",-CF_Gen_1[[#This Row],[NPR_Ratio]]*CF_Gen_1[[#This Row],[Exp_Claim]],0)</f>
        <v>0</v>
      </c>
      <c r="AB32" s="19">
        <f>SUMIFS(Actual_CF[Actual_Premium],Actual_CF[ICG],CF_Gen_1[[#This Row],[ICG]],Actual_CF[Incurred],CF_Gen_1[[#This Row],[Incurred]])</f>
        <v>0</v>
      </c>
      <c r="AC32" s="19">
        <f>SUMIFS(Actual_CF[Actual_Commission],Actual_CF[ICG],CF_Gen_1[[#This Row],[ICG]],Actual_CF[Incurred],CF_Gen_1[[#This Row],[Incurred]])</f>
        <v>0</v>
      </c>
      <c r="AD32" s="19">
        <f>SUMIFS(Actual_CF[Actual_Acquisition],Actual_CF[ICG],CF_Gen_1[[#This Row],[ICG]],Actual_CF[Incurred],CF_Gen_1[[#This Row],[Incurred]])</f>
        <v>0</v>
      </c>
    </row>
    <row r="33" spans="1:30">
      <c r="A33" t="str">
        <f t="shared" si="1"/>
        <v>#2024#IC-Property</v>
      </c>
      <c r="B33">
        <f>_xlfn.XLOOKUP(CF_Gen_1[[#This Row],[ICG]],ICG[ICG],ICG[Cohort])</f>
        <v>2024</v>
      </c>
      <c r="C33" t="str">
        <f>_xlfn.XLOOKUP(CF_Gen_1[[#This Row],[ICG]],ICG[ICG],ICG[Portfolio])</f>
        <v>IC-Property</v>
      </c>
      <c r="D33" t="str">
        <f>_xlfn.XLOOKUP(CF_Gen_1[[#This Row],[ICG]],ICG[ICG],ICG[Contract])</f>
        <v>IC</v>
      </c>
      <c r="E33" s="2">
        <f t="shared" si="0"/>
        <v>45930</v>
      </c>
      <c r="F33">
        <v>32</v>
      </c>
      <c r="G33" s="2">
        <f>EOMONTH(DATE(YEAR(CF_Gen_1[[#This Row],[Valuation]])-1,12,31),CF_Gen_1[[#This Row],['#Incurred]]*3)</f>
        <v>48579</v>
      </c>
      <c r="H33" s="14">
        <f>SUMIFS(Expected_CF[Expected_Premium],Expected_CF[ICG],CF_Gen_1[[#This Row],[ICG]],Expected_CF[Incurred],CF_Gen_1[[#This Row],[Incurred]])</f>
        <v>0</v>
      </c>
      <c r="I33" s="14">
        <f>SUMIFS(Expected_CF[Expected_Commission],Expected_CF[ICG],CF_Gen_1[[#This Row],[ICG]],Expected_CF[Incurred],CF_Gen_1[[#This Row],[Incurred]])</f>
        <v>0</v>
      </c>
      <c r="J33" s="14">
        <f>IF(CF_Gen_1[[#This Row],[Contract]]="IC",SUMIFS(Expected_CF[Expected_Acquisition],Expected_CF[ICG],CF_Gen_1[[#This Row],[ICG]],Expected_CF[Incurred],CF_Gen_1[[#This Row],[Incurred]]),0)</f>
        <v>0</v>
      </c>
      <c r="K33" s="14">
        <f>SUMIFS(Earned[Earned_Premium],Earned[ICG],CF_Gen_1[[#This Row],[ICG]],Earned[Incurred],CF_Gen_1[[#This Row],[Incurred]])</f>
        <v>1868020682.7238371</v>
      </c>
      <c r="L33" s="14">
        <f>SUMIFS(Earned[Earned_Commission],Earned[ICG],CF_Gen_1[[#This Row],[ICG]],Earned[Incurred],CF_Gen_1[[#This Row],[Incurred]])</f>
        <v>-574724675.29450965</v>
      </c>
      <c r="M33" s="18">
        <f>_xlfn.XLOOKUP(CF_Gen_1[[#This Row],[ICG]],Assumptions[ICG],Assumptions[Loss_Ratio])</f>
        <v>0.4</v>
      </c>
      <c r="N33" s="18">
        <f>_xlfn.XLOOKUP(CF_Gen_1[[#This Row],[ICG]],Assumptions[ICG],Assumptions[Risk_Adjustment_Ratio])</f>
        <v>0.14000000000000001</v>
      </c>
      <c r="O33" s="18">
        <f>_xlfn.XLOOKUP(CF_Gen_1[[#This Row],[ICG]],Assumptions[ICG],Assumptions[PME_Ratio])</f>
        <v>4.4999999999999998E-2</v>
      </c>
      <c r="P33" s="18">
        <f>_xlfn.XLOOKUP(CF_Gen_1[[#This Row],[ICG]],Assumptions[ICG],Assumptions[ULAE_Ratio])</f>
        <v>0.11</v>
      </c>
      <c r="Q33" s="18">
        <f>_xlfn.XLOOKUP(CF_Gen_1[[#This Row],[ICG]],Assumptions[ICG],Assumptions[Cancellation_Ratio])</f>
        <v>7.0000000000000007E-2</v>
      </c>
      <c r="R33" s="18">
        <f>_xlfn.XLOOKUP(CF_Gen_1[[#This Row],[ICG]],Assumptions[ICG],Assumptions[Premium_Refund_Ratio])</f>
        <v>0.5</v>
      </c>
      <c r="S33" s="18">
        <f>IF(CF_Gen_1[[#This Row],[Contract]]="RC",_xlfn.XLOOKUP(CF_Gen_1[[#This Row],[ICG]],Assumptions[ICG],Assumptions[NPR_Ratio]),0)</f>
        <v>0</v>
      </c>
      <c r="T33" s="17">
        <f>T32*(1-CF_Gen_1[[#This Row],[Cancellation_Ratio]])</f>
        <v>0.10543174757085884</v>
      </c>
      <c r="U33" s="19">
        <f>IF(CF_Gen_1[[#This Row],[Incurred]]&lt;=CF_Gen_1[[#This Row],[Valuation]],CF_Gen_1[[#This Row],[Expected_Premium]],-CF_Gen_1[[#This Row],[Probability_of_Inforce]]*CF_Gen_1[[#This Row],[Premium_Refund_Ratio]]*CF_Gen_1[[#This Row],[Cancellation_Ratio]]*SUM(K33:K$105))</f>
        <v>-218928158.33279711</v>
      </c>
      <c r="V3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Row],[Cancellation_Ratio]]*SUM(L33:L$105))</f>
        <v>65306554.781120114</v>
      </c>
      <c r="W33" s="19">
        <f>CF_Gen_1[[#This Row],[Expected_Acquisition]]</f>
        <v>0</v>
      </c>
      <c r="X33" s="19">
        <f>-CF_Gen_1[[#This Row],[Probability_of_Inforce]]*CF_Gen_1[[#This Row],[Earned_Premium]]*(1-CF_Gen_1[[#This Row],[Cancellation_Ratio]])*CF_Gen_1[[#This Row],[PME_Ratio]]+CF_Gen_1[[#This Row],[ULAE_Ratio]]*CF_Gen_1[[#This Row],[Exp_Claim]]</f>
        <v>-16301442.663912926</v>
      </c>
      <c r="Y33" s="19">
        <f>-CF_Gen_1[[#This Row],[Probability_of_Inforce]]*CF_Gen_1[[#This Row],[Earned_Premium]]*(1-CF_Gen_1[[#This Row],[Cancellation_Ratio]])*CF_Gen_1[[#This Row],[Loss_Ratio]]</f>
        <v>-73264910.849046871</v>
      </c>
      <c r="Z33" s="19">
        <f>CF_Gen_1[[#This Row],[Exp_Claim]]*CF_Gen_1[[#This Row],[Risk_Adjustment_Ratio]]</f>
        <v>-10257087.518866563</v>
      </c>
      <c r="AA33" s="19">
        <f>IF(CF_Gen_1[[#This Row],[Contract]]="RC",-CF_Gen_1[[#This Row],[NPR_Ratio]]*CF_Gen_1[[#This Row],[Exp_Claim]],0)</f>
        <v>0</v>
      </c>
      <c r="AB33" s="19">
        <f>SUMIFS(Actual_CF[Actual_Premium],Actual_CF[ICG],CF_Gen_1[[#This Row],[ICG]],Actual_CF[Incurred],CF_Gen_1[[#This Row],[Incurred]])</f>
        <v>0</v>
      </c>
      <c r="AC33" s="19">
        <f>SUMIFS(Actual_CF[Actual_Commission],Actual_CF[ICG],CF_Gen_1[[#This Row],[ICG]],Actual_CF[Incurred],CF_Gen_1[[#This Row],[Incurred]])</f>
        <v>0</v>
      </c>
      <c r="AD33" s="19">
        <f>SUMIFS(Actual_CF[Actual_Acquisition],Actual_CF[ICG],CF_Gen_1[[#This Row],[ICG]],Actual_CF[Incurred],CF_Gen_1[[#This Row],[Incurred]])</f>
        <v>0</v>
      </c>
    </row>
    <row r="34" spans="1:30">
      <c r="A34" t="str">
        <f t="shared" si="1"/>
        <v>#2024#IC-Property</v>
      </c>
      <c r="B34">
        <f>_xlfn.XLOOKUP(CF_Gen_1[[#This Row],[ICG]],ICG[ICG],ICG[Cohort])</f>
        <v>2024</v>
      </c>
      <c r="C34" t="str">
        <f>_xlfn.XLOOKUP(CF_Gen_1[[#This Row],[ICG]],ICG[ICG],ICG[Portfolio])</f>
        <v>IC-Property</v>
      </c>
      <c r="D34" t="str">
        <f>_xlfn.XLOOKUP(CF_Gen_1[[#This Row],[ICG]],ICG[ICG],ICG[Contract])</f>
        <v>IC</v>
      </c>
      <c r="E34" s="2">
        <f t="shared" ref="E34:E65" si="2">ValuationDate</f>
        <v>45930</v>
      </c>
      <c r="F34">
        <v>33</v>
      </c>
      <c r="G34" s="2">
        <f>EOMONTH(DATE(YEAR(CF_Gen_1[[#This Row],[Valuation]])-1,12,31),CF_Gen_1[[#This Row],['#Incurred]]*3)</f>
        <v>48669</v>
      </c>
      <c r="H34" s="14">
        <f>SUMIFS(Expected_CF[Expected_Premium],Expected_CF[ICG],CF_Gen_1[[#This Row],[ICG]],Expected_CF[Incurred],CF_Gen_1[[#This Row],[Incurred]])</f>
        <v>0</v>
      </c>
      <c r="I34" s="14">
        <f>SUMIFS(Expected_CF[Expected_Commission],Expected_CF[ICG],CF_Gen_1[[#This Row],[ICG]],Expected_CF[Incurred],CF_Gen_1[[#This Row],[Incurred]])</f>
        <v>0</v>
      </c>
      <c r="J34" s="14">
        <f>IF(CF_Gen_1[[#This Row],[Contract]]="IC",SUMIFS(Expected_CF[Expected_Acquisition],Expected_CF[ICG],CF_Gen_1[[#This Row],[ICG]],Expected_CF[Incurred],CF_Gen_1[[#This Row],[Incurred]]),0)</f>
        <v>0</v>
      </c>
      <c r="K34" s="14">
        <f>SUMIFS(Earned[Earned_Premium],Earned[ICG],CF_Gen_1[[#This Row],[ICG]],Earned[Incurred],CF_Gen_1[[#This Row],[Incurred]])</f>
        <v>1838132351.8002555</v>
      </c>
      <c r="L34" s="14">
        <f>SUMIFS(Earned[Earned_Commission],Earned[ICG],CF_Gen_1[[#This Row],[ICG]],Earned[Incurred],CF_Gen_1[[#This Row],[Incurred]])</f>
        <v>-565225093.88468301</v>
      </c>
      <c r="M34" s="18">
        <f>_xlfn.XLOOKUP(CF_Gen_1[[#This Row],[ICG]],Assumptions[ICG],Assumptions[Loss_Ratio])</f>
        <v>0.4</v>
      </c>
      <c r="N34" s="18">
        <f>_xlfn.XLOOKUP(CF_Gen_1[[#This Row],[ICG]],Assumptions[ICG],Assumptions[Risk_Adjustment_Ratio])</f>
        <v>0.14000000000000001</v>
      </c>
      <c r="O34" s="18">
        <f>_xlfn.XLOOKUP(CF_Gen_1[[#This Row],[ICG]],Assumptions[ICG],Assumptions[PME_Ratio])</f>
        <v>4.4999999999999998E-2</v>
      </c>
      <c r="P34" s="18">
        <f>_xlfn.XLOOKUP(CF_Gen_1[[#This Row],[ICG]],Assumptions[ICG],Assumptions[ULAE_Ratio])</f>
        <v>0.11</v>
      </c>
      <c r="Q34" s="18">
        <f>_xlfn.XLOOKUP(CF_Gen_1[[#This Row],[ICG]],Assumptions[ICG],Assumptions[Cancellation_Ratio])</f>
        <v>7.0000000000000007E-2</v>
      </c>
      <c r="R34" s="18">
        <f>_xlfn.XLOOKUP(CF_Gen_1[[#This Row],[ICG]],Assumptions[ICG],Assumptions[Premium_Refund_Ratio])</f>
        <v>0.5</v>
      </c>
      <c r="S34" s="18">
        <f>IF(CF_Gen_1[[#This Row],[Contract]]="RC",_xlfn.XLOOKUP(CF_Gen_1[[#This Row],[ICG]],Assumptions[ICG],Assumptions[NPR_Ratio]),0)</f>
        <v>0</v>
      </c>
      <c r="T34" s="17">
        <f>T33*(1-CF_Gen_1[[#This Row],[Cancellation_Ratio]])</f>
        <v>9.8051525240898718E-2</v>
      </c>
      <c r="U34" s="19">
        <f>IF(CF_Gen_1[[#This Row],[Incurred]]&lt;=CF_Gen_1[[#This Row],[Valuation]],CF_Gen_1[[#This Row],[Expected_Premium]],-CF_Gen_1[[#This Row],[Probability_of_Inforce]]*CF_Gen_1[[#This Row],[Premium_Refund_Ratio]]*CF_Gen_1[[#This Row],[Cancellation_Ratio]]*SUM(K34:K$105))</f>
        <v>-197192507.55020973</v>
      </c>
      <c r="V3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Row],[Cancellation_Ratio]]*SUM(L34:L$105))</f>
        <v>58762753.86122445</v>
      </c>
      <c r="W34" s="19">
        <f>CF_Gen_1[[#This Row],[Expected_Acquisition]]</f>
        <v>0</v>
      </c>
      <c r="X34" s="19">
        <f>-CF_Gen_1[[#This Row],[Probability_of_Inforce]]*CF_Gen_1[[#This Row],[Earned_Premium]]*(1-CF_Gen_1[[#This Row],[Cancellation_Ratio]])*CF_Gen_1[[#This Row],[PME_Ratio]]+CF_Gen_1[[#This Row],[ULAE_Ratio]]*CF_Gen_1[[#This Row],[Exp_Claim]]</f>
        <v>-14917776.210599998</v>
      </c>
      <c r="Y34" s="19">
        <f>-CF_Gen_1[[#This Row],[Probability_of_Inforce]]*CF_Gen_1[[#This Row],[Earned_Premium]]*(1-CF_Gen_1[[#This Row],[Cancellation_Ratio]])*CF_Gen_1[[#This Row],[Loss_Ratio]]</f>
        <v>-67046185.216179766</v>
      </c>
      <c r="Z34" s="19">
        <f>CF_Gen_1[[#This Row],[Exp_Claim]]*CF_Gen_1[[#This Row],[Risk_Adjustment_Ratio]]</f>
        <v>-9386465.9302651677</v>
      </c>
      <c r="AA34" s="19">
        <f>IF(CF_Gen_1[[#This Row],[Contract]]="RC",-CF_Gen_1[[#This Row],[NPR_Ratio]]*CF_Gen_1[[#This Row],[Exp_Claim]],0)</f>
        <v>0</v>
      </c>
      <c r="AB34" s="19">
        <f>SUMIFS(Actual_CF[Actual_Premium],Actual_CF[ICG],CF_Gen_1[[#This Row],[ICG]],Actual_CF[Incurred],CF_Gen_1[[#This Row],[Incurred]])</f>
        <v>0</v>
      </c>
      <c r="AC34" s="19">
        <f>SUMIFS(Actual_CF[Actual_Commission],Actual_CF[ICG],CF_Gen_1[[#This Row],[ICG]],Actual_CF[Incurred],CF_Gen_1[[#This Row],[Incurred]])</f>
        <v>0</v>
      </c>
      <c r="AD34" s="19">
        <f>SUMIFS(Actual_CF[Actual_Acquisition],Actual_CF[ICG],CF_Gen_1[[#This Row],[ICG]],Actual_CF[Incurred],CF_Gen_1[[#This Row],[Incurred]])</f>
        <v>0</v>
      </c>
    </row>
    <row r="35" spans="1:30">
      <c r="A35" t="str">
        <f t="shared" si="1"/>
        <v>#2024#IC-Property</v>
      </c>
      <c r="B35">
        <f>_xlfn.XLOOKUP(CF_Gen_1[[#This Row],[ICG]],ICG[ICG],ICG[Cohort])</f>
        <v>2024</v>
      </c>
      <c r="C35" t="str">
        <f>_xlfn.XLOOKUP(CF_Gen_1[[#This Row],[ICG]],ICG[ICG],ICG[Portfolio])</f>
        <v>IC-Property</v>
      </c>
      <c r="D35" t="str">
        <f>_xlfn.XLOOKUP(CF_Gen_1[[#This Row],[ICG]],ICG[ICG],ICG[Contract])</f>
        <v>IC</v>
      </c>
      <c r="E35" s="2">
        <f t="shared" si="2"/>
        <v>45930</v>
      </c>
      <c r="F35">
        <v>34</v>
      </c>
      <c r="G35" s="2">
        <f>EOMONTH(DATE(YEAR(CF_Gen_1[[#This Row],[Valuation]])-1,12,31),CF_Gen_1[[#This Row],['#Incurred]]*3)</f>
        <v>48760</v>
      </c>
      <c r="H35" s="14">
        <f>SUMIFS(Expected_CF[Expected_Premium],Expected_CF[ICG],CF_Gen_1[[#This Row],[ICG]],Expected_CF[Incurred],CF_Gen_1[[#This Row],[Incurred]])</f>
        <v>0</v>
      </c>
      <c r="I35" s="14">
        <f>SUMIFS(Expected_CF[Expected_Commission],Expected_CF[ICG],CF_Gen_1[[#This Row],[ICG]],Expected_CF[Incurred],CF_Gen_1[[#This Row],[Incurred]])</f>
        <v>0</v>
      </c>
      <c r="J35" s="14">
        <f>IF(CF_Gen_1[[#This Row],[Contract]]="IC",SUMIFS(Expected_CF[Expected_Acquisition],Expected_CF[ICG],CF_Gen_1[[#This Row],[ICG]],Expected_CF[Incurred],CF_Gen_1[[#This Row],[Incurred]]),0)</f>
        <v>0</v>
      </c>
      <c r="K35" s="14">
        <f>SUMIFS(Earned[Earned_Premium],Earned[ICG],CF_Gen_1[[#This Row],[ICG]],Earned[Incurred],CF_Gen_1[[#This Row],[Incurred]])</f>
        <v>1808244020.8766742</v>
      </c>
      <c r="L35" s="14">
        <f>SUMIFS(Earned[Earned_Commission],Earned[ICG],CF_Gen_1[[#This Row],[ICG]],Earned[Incurred],CF_Gen_1[[#This Row],[Incurred]])</f>
        <v>-555725512.47485638</v>
      </c>
      <c r="M35" s="18">
        <f>_xlfn.XLOOKUP(CF_Gen_1[[#This Row],[ICG]],Assumptions[ICG],Assumptions[Loss_Ratio])</f>
        <v>0.4</v>
      </c>
      <c r="N35" s="18">
        <f>_xlfn.XLOOKUP(CF_Gen_1[[#This Row],[ICG]],Assumptions[ICG],Assumptions[Risk_Adjustment_Ratio])</f>
        <v>0.14000000000000001</v>
      </c>
      <c r="O35" s="18">
        <f>_xlfn.XLOOKUP(CF_Gen_1[[#This Row],[ICG]],Assumptions[ICG],Assumptions[PME_Ratio])</f>
        <v>4.4999999999999998E-2</v>
      </c>
      <c r="P35" s="18">
        <f>_xlfn.XLOOKUP(CF_Gen_1[[#This Row],[ICG]],Assumptions[ICG],Assumptions[ULAE_Ratio])</f>
        <v>0.11</v>
      </c>
      <c r="Q35" s="18">
        <f>_xlfn.XLOOKUP(CF_Gen_1[[#This Row],[ICG]],Assumptions[ICG],Assumptions[Cancellation_Ratio])</f>
        <v>7.0000000000000007E-2</v>
      </c>
      <c r="R35" s="18">
        <f>_xlfn.XLOOKUP(CF_Gen_1[[#This Row],[ICG]],Assumptions[ICG],Assumptions[Premium_Refund_Ratio])</f>
        <v>0.5</v>
      </c>
      <c r="S35" s="18">
        <f>IF(CF_Gen_1[[#This Row],[Contract]]="RC",_xlfn.XLOOKUP(CF_Gen_1[[#This Row],[ICG]],Assumptions[ICG],Assumptions[NPR_Ratio]),0)</f>
        <v>0</v>
      </c>
      <c r="T35" s="17">
        <f>T34*(1-CF_Gen_1[[#This Row],[Cancellation_Ratio]])</f>
        <v>9.1187918474035803E-2</v>
      </c>
      <c r="U35" s="19">
        <f>IF(CF_Gen_1[[#This Row],[Incurred]]&lt;=CF_Gen_1[[#This Row],[Valuation]],CF_Gen_1[[#This Row],[Expected_Premium]],-CF_Gen_1[[#This Row],[Probability_of_Inforce]]*CF_Gen_1[[#This Row],[Premium_Refund_Ratio]]*CF_Gen_1[[#This Row],[Cancellation_Ratio]]*SUM(K35:K$105))</f>
        <v>-177522490.81527928</v>
      </c>
      <c r="V3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Row],[Cancellation_Ratio]]*SUM(L35:L$105))</f>
        <v>52845401.598616496</v>
      </c>
      <c r="W35" s="19">
        <f>CF_Gen_1[[#This Row],[Expected_Acquisition]]</f>
        <v>0</v>
      </c>
      <c r="X35" s="19">
        <f>-CF_Gen_1[[#This Row],[Probability_of_Inforce]]*CF_Gen_1[[#This Row],[Earned_Premium]]*(1-CF_Gen_1[[#This Row],[Cancellation_Ratio]])*CF_Gen_1[[#This Row],[PME_Ratio]]+CF_Gen_1[[#This Row],[ULAE_Ratio]]*CF_Gen_1[[#This Row],[Exp_Claim]]</f>
        <v>-13647945.991697706</v>
      </c>
      <c r="Y35" s="19">
        <f>-CF_Gen_1[[#This Row],[Probability_of_Inforce]]*CF_Gen_1[[#This Row],[Earned_Premium]]*(1-CF_Gen_1[[#This Row],[Cancellation_Ratio]])*CF_Gen_1[[#This Row],[Loss_Ratio]]</f>
        <v>-61339083.108753733</v>
      </c>
      <c r="Z35" s="19">
        <f>CF_Gen_1[[#This Row],[Exp_Claim]]*CF_Gen_1[[#This Row],[Risk_Adjustment_Ratio]]</f>
        <v>-8587471.6352255233</v>
      </c>
      <c r="AA35" s="19">
        <f>IF(CF_Gen_1[[#This Row],[Contract]]="RC",-CF_Gen_1[[#This Row],[NPR_Ratio]]*CF_Gen_1[[#This Row],[Exp_Claim]],0)</f>
        <v>0</v>
      </c>
      <c r="AB35" s="19">
        <f>SUMIFS(Actual_CF[Actual_Premium],Actual_CF[ICG],CF_Gen_1[[#This Row],[ICG]],Actual_CF[Incurred],CF_Gen_1[[#This Row],[Incurred]])</f>
        <v>0</v>
      </c>
      <c r="AC35" s="19">
        <f>SUMIFS(Actual_CF[Actual_Commission],Actual_CF[ICG],CF_Gen_1[[#This Row],[ICG]],Actual_CF[Incurred],CF_Gen_1[[#This Row],[Incurred]])</f>
        <v>0</v>
      </c>
      <c r="AD35" s="19">
        <f>SUMIFS(Actual_CF[Actual_Acquisition],Actual_CF[ICG],CF_Gen_1[[#This Row],[ICG]],Actual_CF[Incurred],CF_Gen_1[[#This Row],[Incurred]])</f>
        <v>0</v>
      </c>
    </row>
    <row r="36" spans="1:30">
      <c r="A36" t="str">
        <f t="shared" si="1"/>
        <v>#2024#IC-Property</v>
      </c>
      <c r="B36">
        <f>_xlfn.XLOOKUP(CF_Gen_1[[#This Row],[ICG]],ICG[ICG],ICG[Cohort])</f>
        <v>2024</v>
      </c>
      <c r="C36" t="str">
        <f>_xlfn.XLOOKUP(CF_Gen_1[[#This Row],[ICG]],ICG[ICG],ICG[Portfolio])</f>
        <v>IC-Property</v>
      </c>
      <c r="D36" t="str">
        <f>_xlfn.XLOOKUP(CF_Gen_1[[#This Row],[ICG]],ICG[ICG],ICG[Contract])</f>
        <v>IC</v>
      </c>
      <c r="E36" s="2">
        <f t="shared" si="2"/>
        <v>45930</v>
      </c>
      <c r="F36">
        <v>35</v>
      </c>
      <c r="G36" s="2">
        <f>EOMONTH(DATE(YEAR(CF_Gen_1[[#This Row],[Valuation]])-1,12,31),CF_Gen_1[[#This Row],['#Incurred]]*3)</f>
        <v>48852</v>
      </c>
      <c r="H36" s="14">
        <f>SUMIFS(Expected_CF[Expected_Premium],Expected_CF[ICG],CF_Gen_1[[#This Row],[ICG]],Expected_CF[Incurred],CF_Gen_1[[#This Row],[Incurred]])</f>
        <v>0</v>
      </c>
      <c r="I36" s="14">
        <f>SUMIFS(Expected_CF[Expected_Commission],Expected_CF[ICG],CF_Gen_1[[#This Row],[ICG]],Expected_CF[Incurred],CF_Gen_1[[#This Row],[Incurred]])</f>
        <v>0</v>
      </c>
      <c r="J36" s="14">
        <f>IF(CF_Gen_1[[#This Row],[Contract]]="IC",SUMIFS(Expected_CF[Expected_Acquisition],Expected_CF[ICG],CF_Gen_1[[#This Row],[ICG]],Expected_CF[Incurred],CF_Gen_1[[#This Row],[Incurred]]),0)</f>
        <v>0</v>
      </c>
      <c r="K36" s="14">
        <f>SUMIFS(Earned[Earned_Premium],Earned[ICG],CF_Gen_1[[#This Row],[ICG]],Earned[Incurred],CF_Gen_1[[#This Row],[Incurred]])</f>
        <v>1778355689.9530928</v>
      </c>
      <c r="L36" s="14">
        <f>SUMIFS(Earned[Earned_Commission],Earned[ICG],CF_Gen_1[[#This Row],[ICG]],Earned[Incurred],CF_Gen_1[[#This Row],[Incurred]])</f>
        <v>-546225931.06502974</v>
      </c>
      <c r="M36" s="18">
        <f>_xlfn.XLOOKUP(CF_Gen_1[[#This Row],[ICG]],Assumptions[ICG],Assumptions[Loss_Ratio])</f>
        <v>0.4</v>
      </c>
      <c r="N36" s="18">
        <f>_xlfn.XLOOKUP(CF_Gen_1[[#This Row],[ICG]],Assumptions[ICG],Assumptions[Risk_Adjustment_Ratio])</f>
        <v>0.14000000000000001</v>
      </c>
      <c r="O36" s="18">
        <f>_xlfn.XLOOKUP(CF_Gen_1[[#This Row],[ICG]],Assumptions[ICG],Assumptions[PME_Ratio])</f>
        <v>4.4999999999999998E-2</v>
      </c>
      <c r="P36" s="18">
        <f>_xlfn.XLOOKUP(CF_Gen_1[[#This Row],[ICG]],Assumptions[ICG],Assumptions[ULAE_Ratio])</f>
        <v>0.11</v>
      </c>
      <c r="Q36" s="18">
        <f>_xlfn.XLOOKUP(CF_Gen_1[[#This Row],[ICG]],Assumptions[ICG],Assumptions[Cancellation_Ratio])</f>
        <v>7.0000000000000007E-2</v>
      </c>
      <c r="R36" s="18">
        <f>_xlfn.XLOOKUP(CF_Gen_1[[#This Row],[ICG]],Assumptions[ICG],Assumptions[Premium_Refund_Ratio])</f>
        <v>0.5</v>
      </c>
      <c r="S36" s="18">
        <f>IF(CF_Gen_1[[#This Row],[Contract]]="RC",_xlfn.XLOOKUP(CF_Gen_1[[#This Row],[ICG]],Assumptions[ICG],Assumptions[NPR_Ratio]),0)</f>
        <v>0</v>
      </c>
      <c r="T36" s="17">
        <f>T35*(1-CF_Gen_1[[#This Row],[Cancellation_Ratio]])</f>
        <v>8.4804764180853295E-2</v>
      </c>
      <c r="U36" s="19">
        <f>IF(CF_Gen_1[[#This Row],[Incurred]]&lt;=CF_Gen_1[[#This Row],[Valuation]],CF_Gen_1[[#This Row],[Expected_Premium]],-CF_Gen_1[[#This Row],[Probability_of_Inforce]]*CF_Gen_1[[#This Row],[Premium_Refund_Ratio]]*CF_Gen_1[[#This Row],[Cancellation_Ratio]]*SUM(K36:K$105))</f>
        <v>-159728746.68619373</v>
      </c>
      <c r="V3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Row],[Cancellation_Ratio]]*SUM(L36:L$105))</f>
        <v>47496737.50049834</v>
      </c>
      <c r="W36" s="19">
        <f>CF_Gen_1[[#This Row],[Expected_Acquisition]]</f>
        <v>0</v>
      </c>
      <c r="X36" s="19">
        <f>-CF_Gen_1[[#This Row],[Probability_of_Inforce]]*CF_Gen_1[[#This Row],[Earned_Premium]]*(1-CF_Gen_1[[#This Row],[Cancellation_Ratio]])*CF_Gen_1[[#This Row],[PME_Ratio]]+CF_Gen_1[[#This Row],[ULAE_Ratio]]*CF_Gen_1[[#This Row],[Exp_Claim]]</f>
        <v>-12482794.90000979</v>
      </c>
      <c r="Y36" s="19">
        <f>-CF_Gen_1[[#This Row],[Probability_of_Inforce]]*CF_Gen_1[[#This Row],[Earned_Premium]]*(1-CF_Gen_1[[#This Row],[Cancellation_Ratio]])*CF_Gen_1[[#This Row],[Loss_Ratio]]</f>
        <v>-56102448.988808051</v>
      </c>
      <c r="Z36" s="19">
        <f>CF_Gen_1[[#This Row],[Exp_Claim]]*CF_Gen_1[[#This Row],[Risk_Adjustment_Ratio]]</f>
        <v>-7854342.8584331274</v>
      </c>
      <c r="AA36" s="19">
        <f>IF(CF_Gen_1[[#This Row],[Contract]]="RC",-CF_Gen_1[[#This Row],[NPR_Ratio]]*CF_Gen_1[[#This Row],[Exp_Claim]],0)</f>
        <v>0</v>
      </c>
      <c r="AB36" s="19">
        <f>SUMIFS(Actual_CF[Actual_Premium],Actual_CF[ICG],CF_Gen_1[[#This Row],[ICG]],Actual_CF[Incurred],CF_Gen_1[[#This Row],[Incurred]])</f>
        <v>0</v>
      </c>
      <c r="AC36" s="19">
        <f>SUMIFS(Actual_CF[Actual_Commission],Actual_CF[ICG],CF_Gen_1[[#This Row],[ICG]],Actual_CF[Incurred],CF_Gen_1[[#This Row],[Incurred]])</f>
        <v>0</v>
      </c>
      <c r="AD36" s="19">
        <f>SUMIFS(Actual_CF[Actual_Acquisition],Actual_CF[ICG],CF_Gen_1[[#This Row],[ICG]],Actual_CF[Incurred],CF_Gen_1[[#This Row],[Incurred]])</f>
        <v>0</v>
      </c>
    </row>
    <row r="37" spans="1:30">
      <c r="A37" t="str">
        <f t="shared" si="1"/>
        <v>#2024#IC-Property</v>
      </c>
      <c r="B37">
        <f>_xlfn.XLOOKUP(CF_Gen_1[[#This Row],[ICG]],ICG[ICG],ICG[Cohort])</f>
        <v>2024</v>
      </c>
      <c r="C37" t="str">
        <f>_xlfn.XLOOKUP(CF_Gen_1[[#This Row],[ICG]],ICG[ICG],ICG[Portfolio])</f>
        <v>IC-Property</v>
      </c>
      <c r="D37" t="str">
        <f>_xlfn.XLOOKUP(CF_Gen_1[[#This Row],[ICG]],ICG[ICG],ICG[Contract])</f>
        <v>IC</v>
      </c>
      <c r="E37" s="2">
        <f t="shared" si="2"/>
        <v>45930</v>
      </c>
      <c r="F37">
        <v>36</v>
      </c>
      <c r="G37" s="2">
        <f>EOMONTH(DATE(YEAR(CF_Gen_1[[#This Row],[Valuation]])-1,12,31),CF_Gen_1[[#This Row],['#Incurred]]*3)</f>
        <v>48944</v>
      </c>
      <c r="H37" s="14">
        <f>SUMIFS(Expected_CF[Expected_Premium],Expected_CF[ICG],CF_Gen_1[[#This Row],[ICG]],Expected_CF[Incurred],CF_Gen_1[[#This Row],[Incurred]])</f>
        <v>0</v>
      </c>
      <c r="I37" s="14">
        <f>SUMIFS(Expected_CF[Expected_Commission],Expected_CF[ICG],CF_Gen_1[[#This Row],[ICG]],Expected_CF[Incurred],CF_Gen_1[[#This Row],[Incurred]])</f>
        <v>0</v>
      </c>
      <c r="J37" s="14">
        <f>IF(CF_Gen_1[[#This Row],[Contract]]="IC",SUMIFS(Expected_CF[Expected_Acquisition],Expected_CF[ICG],CF_Gen_1[[#This Row],[ICG]],Expected_CF[Incurred],CF_Gen_1[[#This Row],[Incurred]]),0)</f>
        <v>0</v>
      </c>
      <c r="K37" s="14">
        <f>SUMIFS(Earned[Earned_Premium],Earned[ICG],CF_Gen_1[[#This Row],[ICG]],Earned[Incurred],CF_Gen_1[[#This Row],[Incurred]])</f>
        <v>1748467359.0295117</v>
      </c>
      <c r="L37" s="14">
        <f>SUMIFS(Earned[Earned_Commission],Earned[ICG],CF_Gen_1[[#This Row],[ICG]],Earned[Incurred],CF_Gen_1[[#This Row],[Incurred]])</f>
        <v>-536726349.65520316</v>
      </c>
      <c r="M37" s="18">
        <f>_xlfn.XLOOKUP(CF_Gen_1[[#This Row],[ICG]],Assumptions[ICG],Assumptions[Loss_Ratio])</f>
        <v>0.4</v>
      </c>
      <c r="N37" s="18">
        <f>_xlfn.XLOOKUP(CF_Gen_1[[#This Row],[ICG]],Assumptions[ICG],Assumptions[Risk_Adjustment_Ratio])</f>
        <v>0.14000000000000001</v>
      </c>
      <c r="O37" s="18">
        <f>_xlfn.XLOOKUP(CF_Gen_1[[#This Row],[ICG]],Assumptions[ICG],Assumptions[PME_Ratio])</f>
        <v>4.4999999999999998E-2</v>
      </c>
      <c r="P37" s="18">
        <f>_xlfn.XLOOKUP(CF_Gen_1[[#This Row],[ICG]],Assumptions[ICG],Assumptions[ULAE_Ratio])</f>
        <v>0.11</v>
      </c>
      <c r="Q37" s="18">
        <f>_xlfn.XLOOKUP(CF_Gen_1[[#This Row],[ICG]],Assumptions[ICG],Assumptions[Cancellation_Ratio])</f>
        <v>7.0000000000000007E-2</v>
      </c>
      <c r="R37" s="18">
        <f>_xlfn.XLOOKUP(CF_Gen_1[[#This Row],[ICG]],Assumptions[ICG],Assumptions[Premium_Refund_Ratio])</f>
        <v>0.5</v>
      </c>
      <c r="S37" s="18">
        <f>IF(CF_Gen_1[[#This Row],[Contract]]="RC",_xlfn.XLOOKUP(CF_Gen_1[[#This Row],[ICG]],Assumptions[ICG],Assumptions[NPR_Ratio]),0)</f>
        <v>0</v>
      </c>
      <c r="T37" s="17">
        <f>T36*(1-CF_Gen_1[[#This Row],[Cancellation_Ratio]])</f>
        <v>7.8868430688193561E-2</v>
      </c>
      <c r="U37" s="19">
        <f>IF(CF_Gen_1[[#This Row],[Incurred]]&lt;=CF_Gen_1[[#This Row],[Valuation]],CF_Gen_1[[#This Row],[Expected_Premium]],-CF_Gen_1[[#This Row],[Probability_of_Inforce]]*CF_Gen_1[[#This Row],[Premium_Refund_Ratio]]*CF_Gen_1[[#This Row],[Cancellation_Ratio]]*SUM(K37:K$105))</f>
        <v>-143638770.13163951</v>
      </c>
      <c r="V3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Row],[Cancellation_Ratio]]*SUM(L37:L$105))</f>
        <v>42664166.50601308</v>
      </c>
      <c r="W37" s="19">
        <f>CF_Gen_1[[#This Row],[Expected_Acquisition]]</f>
        <v>0</v>
      </c>
      <c r="X37" s="19">
        <f>-CF_Gen_1[[#This Row],[Probability_of_Inforce]]*CF_Gen_1[[#This Row],[Earned_Premium]]*(1-CF_Gen_1[[#This Row],[Cancellation_Ratio]])*CF_Gen_1[[#This Row],[PME_Ratio]]+CF_Gen_1[[#This Row],[ULAE_Ratio]]*CF_Gen_1[[#This Row],[Exp_Claim]]</f>
        <v>-11413890.025798872</v>
      </c>
      <c r="Y37" s="19">
        <f>-CF_Gen_1[[#This Row],[Probability_of_Inforce]]*CF_Gen_1[[#This Row],[Earned_Premium]]*(1-CF_Gen_1[[#This Row],[Cancellation_Ratio]])*CF_Gen_1[[#This Row],[Loss_Ratio]]</f>
        <v>-51298382.138421893</v>
      </c>
      <c r="Z37" s="19">
        <f>CF_Gen_1[[#This Row],[Exp_Claim]]*CF_Gen_1[[#This Row],[Risk_Adjustment_Ratio]]</f>
        <v>-7181773.4993790658</v>
      </c>
      <c r="AA37" s="19">
        <f>IF(CF_Gen_1[[#This Row],[Contract]]="RC",-CF_Gen_1[[#This Row],[NPR_Ratio]]*CF_Gen_1[[#This Row],[Exp_Claim]],0)</f>
        <v>0</v>
      </c>
      <c r="AB37" s="19">
        <f>SUMIFS(Actual_CF[Actual_Premium],Actual_CF[ICG],CF_Gen_1[[#This Row],[ICG]],Actual_CF[Incurred],CF_Gen_1[[#This Row],[Incurred]])</f>
        <v>0</v>
      </c>
      <c r="AC37" s="19">
        <f>SUMIFS(Actual_CF[Actual_Commission],Actual_CF[ICG],CF_Gen_1[[#This Row],[ICG]],Actual_CF[Incurred],CF_Gen_1[[#This Row],[Incurred]])</f>
        <v>0</v>
      </c>
      <c r="AD37" s="19">
        <f>SUMIFS(Actual_CF[Actual_Acquisition],Actual_CF[ICG],CF_Gen_1[[#This Row],[ICG]],Actual_CF[Incurred],CF_Gen_1[[#This Row],[Incurred]])</f>
        <v>0</v>
      </c>
    </row>
    <row r="38" spans="1:30">
      <c r="A38" t="str">
        <f t="shared" si="1"/>
        <v>#2024#IC-Property</v>
      </c>
      <c r="B38">
        <f>_xlfn.XLOOKUP(CF_Gen_1[[#This Row],[ICG]],ICG[ICG],ICG[Cohort])</f>
        <v>2024</v>
      </c>
      <c r="C38" t="str">
        <f>_xlfn.XLOOKUP(CF_Gen_1[[#This Row],[ICG]],ICG[ICG],ICG[Portfolio])</f>
        <v>IC-Property</v>
      </c>
      <c r="D38" t="str">
        <f>_xlfn.XLOOKUP(CF_Gen_1[[#This Row],[ICG]],ICG[ICG],ICG[Contract])</f>
        <v>IC</v>
      </c>
      <c r="E38" s="2">
        <f t="shared" si="2"/>
        <v>45930</v>
      </c>
      <c r="F38">
        <v>37</v>
      </c>
      <c r="G38" s="2">
        <f>EOMONTH(DATE(YEAR(CF_Gen_1[[#This Row],[Valuation]])-1,12,31),CF_Gen_1[[#This Row],['#Incurred]]*3)</f>
        <v>49034</v>
      </c>
      <c r="H38" s="14">
        <f>SUMIFS(Expected_CF[Expected_Premium],Expected_CF[ICG],CF_Gen_1[[#This Row],[ICG]],Expected_CF[Incurred],CF_Gen_1[[#This Row],[Incurred]])</f>
        <v>0</v>
      </c>
      <c r="I38" s="14">
        <f>SUMIFS(Expected_CF[Expected_Commission],Expected_CF[ICG],CF_Gen_1[[#This Row],[ICG]],Expected_CF[Incurred],CF_Gen_1[[#This Row],[Incurred]])</f>
        <v>0</v>
      </c>
      <c r="J38" s="14">
        <f>IF(CF_Gen_1[[#This Row],[Contract]]="IC",SUMIFS(Expected_CF[Expected_Acquisition],Expected_CF[ICG],CF_Gen_1[[#This Row],[ICG]],Expected_CF[Incurred],CF_Gen_1[[#This Row],[Incurred]]),0)</f>
        <v>0</v>
      </c>
      <c r="K38" s="14">
        <f>SUMIFS(Earned[Earned_Premium],Earned[ICG],CF_Gen_1[[#This Row],[ICG]],Earned[Incurred],CF_Gen_1[[#This Row],[Incurred]])</f>
        <v>1718579028.1059303</v>
      </c>
      <c r="L38" s="14">
        <f>SUMIFS(Earned[Earned_Commission],Earned[ICG],CF_Gen_1[[#This Row],[ICG]],Earned[Incurred],CF_Gen_1[[#This Row],[Incurred]])</f>
        <v>-527226768.24537665</v>
      </c>
      <c r="M38" s="18">
        <f>_xlfn.XLOOKUP(CF_Gen_1[[#This Row],[ICG]],Assumptions[ICG],Assumptions[Loss_Ratio])</f>
        <v>0.4</v>
      </c>
      <c r="N38" s="18">
        <f>_xlfn.XLOOKUP(CF_Gen_1[[#This Row],[ICG]],Assumptions[ICG],Assumptions[Risk_Adjustment_Ratio])</f>
        <v>0.14000000000000001</v>
      </c>
      <c r="O38" s="18">
        <f>_xlfn.XLOOKUP(CF_Gen_1[[#This Row],[ICG]],Assumptions[ICG],Assumptions[PME_Ratio])</f>
        <v>4.4999999999999998E-2</v>
      </c>
      <c r="P38" s="18">
        <f>_xlfn.XLOOKUP(CF_Gen_1[[#This Row],[ICG]],Assumptions[ICG],Assumptions[ULAE_Ratio])</f>
        <v>0.11</v>
      </c>
      <c r="Q38" s="18">
        <f>_xlfn.XLOOKUP(CF_Gen_1[[#This Row],[ICG]],Assumptions[ICG],Assumptions[Cancellation_Ratio])</f>
        <v>7.0000000000000007E-2</v>
      </c>
      <c r="R38" s="18">
        <f>_xlfn.XLOOKUP(CF_Gen_1[[#This Row],[ICG]],Assumptions[ICG],Assumptions[Premium_Refund_Ratio])</f>
        <v>0.5</v>
      </c>
      <c r="S38" s="18">
        <f>IF(CF_Gen_1[[#This Row],[Contract]]="RC",_xlfn.XLOOKUP(CF_Gen_1[[#This Row],[ICG]],Assumptions[ICG],Assumptions[NPR_Ratio]),0)</f>
        <v>0</v>
      </c>
      <c r="T38" s="17">
        <f>T37*(1-CF_Gen_1[[#This Row],[Cancellation_Ratio]])</f>
        <v>7.3347640540020007E-2</v>
      </c>
      <c r="U38" s="19">
        <f>IF(CF_Gen_1[[#This Row],[Incurred]]&lt;=CF_Gen_1[[#This Row],[Valuation]],CF_Gen_1[[#This Row],[Expected_Premium]],-CF_Gen_1[[#This Row],[Probability_of_Inforce]]*CF_Gen_1[[#This Row],[Premium_Refund_Ratio]]*CF_Gen_1[[#This Row],[Cancellation_Ratio]]*SUM(K38:K$105))</f>
        <v>-129095447.78531283</v>
      </c>
      <c r="V3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Row],[Cancellation_Ratio]]*SUM(L38:L$105))</f>
        <v>38299808.452891819</v>
      </c>
      <c r="W38" s="19">
        <f>CF_Gen_1[[#This Row],[Expected_Acquisition]]</f>
        <v>0</v>
      </c>
      <c r="X38" s="19">
        <f>-CF_Gen_1[[#This Row],[Probability_of_Inforce]]*CF_Gen_1[[#This Row],[Earned_Premium]]*(1-CF_Gen_1[[#This Row],[Cancellation_Ratio]])*CF_Gen_1[[#This Row],[PME_Ratio]]+CF_Gen_1[[#This Row],[ULAE_Ratio]]*CF_Gen_1[[#This Row],[Exp_Claim]]</f>
        <v>-10433466.138967428</v>
      </c>
      <c r="Y38" s="19">
        <f>-CF_Gen_1[[#This Row],[Probability_of_Inforce]]*CF_Gen_1[[#This Row],[Earned_Premium]]*(1-CF_Gen_1[[#This Row],[Cancellation_Ratio]])*CF_Gen_1[[#This Row],[Loss_Ratio]]</f>
        <v>-46891982.647044629</v>
      </c>
      <c r="Z38" s="19">
        <f>CF_Gen_1[[#This Row],[Exp_Claim]]*CF_Gen_1[[#This Row],[Risk_Adjustment_Ratio]]</f>
        <v>-6564877.5705862483</v>
      </c>
      <c r="AA38" s="19">
        <f>IF(CF_Gen_1[[#This Row],[Contract]]="RC",-CF_Gen_1[[#This Row],[NPR_Ratio]]*CF_Gen_1[[#This Row],[Exp_Claim]],0)</f>
        <v>0</v>
      </c>
      <c r="AB38" s="19">
        <f>SUMIFS(Actual_CF[Actual_Premium],Actual_CF[ICG],CF_Gen_1[[#This Row],[ICG]],Actual_CF[Incurred],CF_Gen_1[[#This Row],[Incurred]])</f>
        <v>0</v>
      </c>
      <c r="AC38" s="19">
        <f>SUMIFS(Actual_CF[Actual_Commission],Actual_CF[ICG],CF_Gen_1[[#This Row],[ICG]],Actual_CF[Incurred],CF_Gen_1[[#This Row],[Incurred]])</f>
        <v>0</v>
      </c>
      <c r="AD38" s="19">
        <f>SUMIFS(Actual_CF[Actual_Acquisition],Actual_CF[ICG],CF_Gen_1[[#This Row],[ICG]],Actual_CF[Incurred],CF_Gen_1[[#This Row],[Incurred]])</f>
        <v>0</v>
      </c>
    </row>
    <row r="39" spans="1:30">
      <c r="A39" t="str">
        <f t="shared" si="1"/>
        <v>#2024#IC-Property</v>
      </c>
      <c r="B39">
        <f>_xlfn.XLOOKUP(CF_Gen_1[[#This Row],[ICG]],ICG[ICG],ICG[Cohort])</f>
        <v>2024</v>
      </c>
      <c r="C39" t="str">
        <f>_xlfn.XLOOKUP(CF_Gen_1[[#This Row],[ICG]],ICG[ICG],ICG[Portfolio])</f>
        <v>IC-Property</v>
      </c>
      <c r="D39" t="str">
        <f>_xlfn.XLOOKUP(CF_Gen_1[[#This Row],[ICG]],ICG[ICG],ICG[Contract])</f>
        <v>IC</v>
      </c>
      <c r="E39" s="2">
        <f t="shared" si="2"/>
        <v>45930</v>
      </c>
      <c r="F39">
        <v>38</v>
      </c>
      <c r="G39" s="2">
        <f>EOMONTH(DATE(YEAR(CF_Gen_1[[#This Row],[Valuation]])-1,12,31),CF_Gen_1[[#This Row],['#Incurred]]*3)</f>
        <v>49125</v>
      </c>
      <c r="H39" s="14">
        <f>SUMIFS(Expected_CF[Expected_Premium],Expected_CF[ICG],CF_Gen_1[[#This Row],[ICG]],Expected_CF[Incurred],CF_Gen_1[[#This Row],[Incurred]])</f>
        <v>0</v>
      </c>
      <c r="I39" s="14">
        <f>SUMIFS(Expected_CF[Expected_Commission],Expected_CF[ICG],CF_Gen_1[[#This Row],[ICG]],Expected_CF[Incurred],CF_Gen_1[[#This Row],[Incurred]])</f>
        <v>0</v>
      </c>
      <c r="J39" s="14">
        <f>IF(CF_Gen_1[[#This Row],[Contract]]="IC",SUMIFS(Expected_CF[Expected_Acquisition],Expected_CF[ICG],CF_Gen_1[[#This Row],[ICG]],Expected_CF[Incurred],CF_Gen_1[[#This Row],[Incurred]]),0)</f>
        <v>0</v>
      </c>
      <c r="K39" s="14">
        <f>SUMIFS(Earned[Earned_Premium],Earned[ICG],CF_Gen_1[[#This Row],[ICG]],Earned[Incurred],CF_Gen_1[[#This Row],[Incurred]])</f>
        <v>1688690697.182349</v>
      </c>
      <c r="L39" s="14">
        <f>SUMIFS(Earned[Earned_Commission],Earned[ICG],CF_Gen_1[[#This Row],[ICG]],Earned[Incurred],CF_Gen_1[[#This Row],[Incurred]])</f>
        <v>-517727186.83555007</v>
      </c>
      <c r="M39" s="18">
        <f>_xlfn.XLOOKUP(CF_Gen_1[[#This Row],[ICG]],Assumptions[ICG],Assumptions[Loss_Ratio])</f>
        <v>0.4</v>
      </c>
      <c r="N39" s="18">
        <f>_xlfn.XLOOKUP(CF_Gen_1[[#This Row],[ICG]],Assumptions[ICG],Assumptions[Risk_Adjustment_Ratio])</f>
        <v>0.14000000000000001</v>
      </c>
      <c r="O39" s="18">
        <f>_xlfn.XLOOKUP(CF_Gen_1[[#This Row],[ICG]],Assumptions[ICG],Assumptions[PME_Ratio])</f>
        <v>4.4999999999999998E-2</v>
      </c>
      <c r="P39" s="18">
        <f>_xlfn.XLOOKUP(CF_Gen_1[[#This Row],[ICG]],Assumptions[ICG],Assumptions[ULAE_Ratio])</f>
        <v>0.11</v>
      </c>
      <c r="Q39" s="18">
        <f>_xlfn.XLOOKUP(CF_Gen_1[[#This Row],[ICG]],Assumptions[ICG],Assumptions[Cancellation_Ratio])</f>
        <v>7.0000000000000007E-2</v>
      </c>
      <c r="R39" s="18">
        <f>_xlfn.XLOOKUP(CF_Gen_1[[#This Row],[ICG]],Assumptions[ICG],Assumptions[Premium_Refund_Ratio])</f>
        <v>0.5</v>
      </c>
      <c r="S39" s="18">
        <f>IF(CF_Gen_1[[#This Row],[Contract]]="RC",_xlfn.XLOOKUP(CF_Gen_1[[#This Row],[ICG]],Assumptions[ICG],Assumptions[NPR_Ratio]),0)</f>
        <v>0</v>
      </c>
      <c r="T39" s="17">
        <f>T38*(1-CF_Gen_1[[#This Row],[Cancellation_Ratio]])</f>
        <v>6.8213305702218605E-2</v>
      </c>
      <c r="U39" s="19">
        <f>IF(CF_Gen_1[[#This Row],[Incurred]]&lt;=CF_Gen_1[[#This Row],[Valuation]],CF_Gen_1[[#This Row],[Expected_Premium]],-CF_Gen_1[[#This Row],[Probability_of_Inforce]]*CF_Gen_1[[#This Row],[Premium_Refund_Ratio]]*CF_Gen_1[[#This Row],[Cancellation_Ratio]]*SUM(K39:K$105))</f>
        <v>-115955717.95872451</v>
      </c>
      <c r="V3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Row],[Cancellation_Ratio]]*SUM(L39:L$105))</f>
        <v>34360086.036104381</v>
      </c>
      <c r="W39" s="19">
        <f>CF_Gen_1[[#This Row],[Expected_Acquisition]]</f>
        <v>0</v>
      </c>
      <c r="X39" s="19">
        <f>-CF_Gen_1[[#This Row],[Probability_of_Inforce]]*CF_Gen_1[[#This Row],[Earned_Premium]]*(1-CF_Gen_1[[#This Row],[Cancellation_Ratio]])*CF_Gen_1[[#This Row],[PME_Ratio]]+CF_Gen_1[[#This Row],[ULAE_Ratio]]*CF_Gen_1[[#This Row],[Exp_Claim]]</f>
        <v>-9534373.5351659767</v>
      </c>
      <c r="Y39" s="19">
        <f>-CF_Gen_1[[#This Row],[Probability_of_Inforce]]*CF_Gen_1[[#This Row],[Earned_Premium]]*(1-CF_Gen_1[[#This Row],[Cancellation_Ratio]])*CF_Gen_1[[#This Row],[Loss_Ratio]]</f>
        <v>-42851117.011981912</v>
      </c>
      <c r="Z39" s="19">
        <f>CF_Gen_1[[#This Row],[Exp_Claim]]*CF_Gen_1[[#This Row],[Risk_Adjustment_Ratio]]</f>
        <v>-5999156.3816774683</v>
      </c>
      <c r="AA39" s="19">
        <f>IF(CF_Gen_1[[#This Row],[Contract]]="RC",-CF_Gen_1[[#This Row],[NPR_Ratio]]*CF_Gen_1[[#This Row],[Exp_Claim]],0)</f>
        <v>0</v>
      </c>
      <c r="AB39" s="19">
        <f>SUMIFS(Actual_CF[Actual_Premium],Actual_CF[ICG],CF_Gen_1[[#This Row],[ICG]],Actual_CF[Incurred],CF_Gen_1[[#This Row],[Incurred]])</f>
        <v>0</v>
      </c>
      <c r="AC39" s="19">
        <f>SUMIFS(Actual_CF[Actual_Commission],Actual_CF[ICG],CF_Gen_1[[#This Row],[ICG]],Actual_CF[Incurred],CF_Gen_1[[#This Row],[Incurred]])</f>
        <v>0</v>
      </c>
      <c r="AD39" s="19">
        <f>SUMIFS(Actual_CF[Actual_Acquisition],Actual_CF[ICG],CF_Gen_1[[#This Row],[ICG]],Actual_CF[Incurred],CF_Gen_1[[#This Row],[Incurred]])</f>
        <v>0</v>
      </c>
    </row>
    <row r="40" spans="1:30">
      <c r="A40" t="str">
        <f t="shared" si="1"/>
        <v>#2024#IC-Property</v>
      </c>
      <c r="B40">
        <f>_xlfn.XLOOKUP(CF_Gen_1[[#This Row],[ICG]],ICG[ICG],ICG[Cohort])</f>
        <v>2024</v>
      </c>
      <c r="C40" t="str">
        <f>_xlfn.XLOOKUP(CF_Gen_1[[#This Row],[ICG]],ICG[ICG],ICG[Portfolio])</f>
        <v>IC-Property</v>
      </c>
      <c r="D40" t="str">
        <f>_xlfn.XLOOKUP(CF_Gen_1[[#This Row],[ICG]],ICG[ICG],ICG[Contract])</f>
        <v>IC</v>
      </c>
      <c r="E40" s="2">
        <f t="shared" si="2"/>
        <v>45930</v>
      </c>
      <c r="F40">
        <v>39</v>
      </c>
      <c r="G40" s="2">
        <f>EOMONTH(DATE(YEAR(CF_Gen_1[[#This Row],[Valuation]])-1,12,31),CF_Gen_1[[#This Row],['#Incurred]]*3)</f>
        <v>49217</v>
      </c>
      <c r="H40" s="14">
        <f>SUMIFS(Expected_CF[Expected_Premium],Expected_CF[ICG],CF_Gen_1[[#This Row],[ICG]],Expected_CF[Incurred],CF_Gen_1[[#This Row],[Incurred]])</f>
        <v>0</v>
      </c>
      <c r="I40" s="14">
        <f>SUMIFS(Expected_CF[Expected_Commission],Expected_CF[ICG],CF_Gen_1[[#This Row],[ICG]],Expected_CF[Incurred],CF_Gen_1[[#This Row],[Incurred]])</f>
        <v>0</v>
      </c>
      <c r="J40" s="14">
        <f>IF(CF_Gen_1[[#This Row],[Contract]]="IC",SUMIFS(Expected_CF[Expected_Acquisition],Expected_CF[ICG],CF_Gen_1[[#This Row],[ICG]],Expected_CF[Incurred],CF_Gen_1[[#This Row],[Incurred]]),0)</f>
        <v>0</v>
      </c>
      <c r="K40" s="14">
        <f>SUMIFS(Earned[Earned_Premium],Earned[ICG],CF_Gen_1[[#This Row],[ICG]],Earned[Incurred],CF_Gen_1[[#This Row],[Incurred]])</f>
        <v>1658802366.2587676</v>
      </c>
      <c r="L40" s="14">
        <f>SUMIFS(Earned[Earned_Commission],Earned[ICG],CF_Gen_1[[#This Row],[ICG]],Earned[Incurred],CF_Gen_1[[#This Row],[Incurred]])</f>
        <v>-508227605.42572331</v>
      </c>
      <c r="M40" s="18">
        <f>_xlfn.XLOOKUP(CF_Gen_1[[#This Row],[ICG]],Assumptions[ICG],Assumptions[Loss_Ratio])</f>
        <v>0.4</v>
      </c>
      <c r="N40" s="18">
        <f>_xlfn.XLOOKUP(CF_Gen_1[[#This Row],[ICG]],Assumptions[ICG],Assumptions[Risk_Adjustment_Ratio])</f>
        <v>0.14000000000000001</v>
      </c>
      <c r="O40" s="18">
        <f>_xlfn.XLOOKUP(CF_Gen_1[[#This Row],[ICG]],Assumptions[ICG],Assumptions[PME_Ratio])</f>
        <v>4.4999999999999998E-2</v>
      </c>
      <c r="P40" s="18">
        <f>_xlfn.XLOOKUP(CF_Gen_1[[#This Row],[ICG]],Assumptions[ICG],Assumptions[ULAE_Ratio])</f>
        <v>0.11</v>
      </c>
      <c r="Q40" s="18">
        <f>_xlfn.XLOOKUP(CF_Gen_1[[#This Row],[ICG]],Assumptions[ICG],Assumptions[Cancellation_Ratio])</f>
        <v>7.0000000000000007E-2</v>
      </c>
      <c r="R40" s="18">
        <f>_xlfn.XLOOKUP(CF_Gen_1[[#This Row],[ICG]],Assumptions[ICG],Assumptions[Premium_Refund_Ratio])</f>
        <v>0.5</v>
      </c>
      <c r="S40" s="18">
        <f>IF(CF_Gen_1[[#This Row],[Contract]]="RC",_xlfn.XLOOKUP(CF_Gen_1[[#This Row],[ICG]],Assumptions[ICG],Assumptions[NPR_Ratio]),0)</f>
        <v>0</v>
      </c>
      <c r="T40" s="17">
        <f>T39*(1-CF_Gen_1[[#This Row],[Cancellation_Ratio]])</f>
        <v>6.3438374303063302E-2</v>
      </c>
      <c r="U40" s="19">
        <f>IF(CF_Gen_1[[#This Row],[Incurred]]&lt;=CF_Gen_1[[#This Row],[Valuation]],CF_Gen_1[[#This Row],[Expected_Premium]],-CF_Gen_1[[#This Row],[Probability_of_Inforce]]*CF_Gen_1[[#This Row],[Premium_Refund_Ratio]]*CF_Gen_1[[#This Row],[Cancellation_Ratio]]*SUM(K40:K$105))</f>
        <v>-104089344.96306539</v>
      </c>
      <c r="V4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Row],[Cancellation_Ratio]]*SUM(L40:L$105))</f>
        <v>30805348.026289981</v>
      </c>
      <c r="W40" s="19">
        <f>CF_Gen_1[[#This Row],[Expected_Acquisition]]</f>
        <v>0</v>
      </c>
      <c r="X40" s="19">
        <f>-CF_Gen_1[[#This Row],[Probability_of_Inforce]]*CF_Gen_1[[#This Row],[Earned_Premium]]*(1-CF_Gen_1[[#This Row],[Cancellation_Ratio]])*CF_Gen_1[[#This Row],[PME_Ratio]]+CF_Gen_1[[#This Row],[ULAE_Ratio]]*CF_Gen_1[[#This Row],[Exp_Claim]]</f>
        <v>-8710029.9118157849</v>
      </c>
      <c r="Y40" s="19">
        <f>-CF_Gen_1[[#This Row],[Probability_of_Inforce]]*CF_Gen_1[[#This Row],[Earned_Premium]]*(1-CF_Gen_1[[#This Row],[Cancellation_Ratio]])*CF_Gen_1[[#This Row],[Loss_Ratio]]</f>
        <v>-39146201.850857459</v>
      </c>
      <c r="Z40" s="19">
        <f>CF_Gen_1[[#This Row],[Exp_Claim]]*CF_Gen_1[[#This Row],[Risk_Adjustment_Ratio]]</f>
        <v>-5480468.2591200452</v>
      </c>
      <c r="AA40" s="19">
        <f>IF(CF_Gen_1[[#This Row],[Contract]]="RC",-CF_Gen_1[[#This Row],[NPR_Ratio]]*CF_Gen_1[[#This Row],[Exp_Claim]],0)</f>
        <v>0</v>
      </c>
      <c r="AB40" s="19">
        <f>SUMIFS(Actual_CF[Actual_Premium],Actual_CF[ICG],CF_Gen_1[[#This Row],[ICG]],Actual_CF[Incurred],CF_Gen_1[[#This Row],[Incurred]])</f>
        <v>0</v>
      </c>
      <c r="AC40" s="19">
        <f>SUMIFS(Actual_CF[Actual_Commission],Actual_CF[ICG],CF_Gen_1[[#This Row],[ICG]],Actual_CF[Incurred],CF_Gen_1[[#This Row],[Incurred]])</f>
        <v>0</v>
      </c>
      <c r="AD40" s="19">
        <f>SUMIFS(Actual_CF[Actual_Acquisition],Actual_CF[ICG],CF_Gen_1[[#This Row],[ICG]],Actual_CF[Incurred],CF_Gen_1[[#This Row],[Incurred]])</f>
        <v>0</v>
      </c>
    </row>
    <row r="41" spans="1:30">
      <c r="A41" t="str">
        <f t="shared" si="1"/>
        <v>#2024#IC-Property</v>
      </c>
      <c r="B41">
        <f>_xlfn.XLOOKUP(CF_Gen_1[[#This Row],[ICG]],ICG[ICG],ICG[Cohort])</f>
        <v>2024</v>
      </c>
      <c r="C41" t="str">
        <f>_xlfn.XLOOKUP(CF_Gen_1[[#This Row],[ICG]],ICG[ICG],ICG[Portfolio])</f>
        <v>IC-Property</v>
      </c>
      <c r="D41" t="str">
        <f>_xlfn.XLOOKUP(CF_Gen_1[[#This Row],[ICG]],ICG[ICG],ICG[Contract])</f>
        <v>IC</v>
      </c>
      <c r="E41" s="2">
        <f t="shared" si="2"/>
        <v>45930</v>
      </c>
      <c r="F41">
        <v>40</v>
      </c>
      <c r="G41" s="2">
        <f>EOMONTH(DATE(YEAR(CF_Gen_1[[#This Row],[Valuation]])-1,12,31),CF_Gen_1[[#This Row],['#Incurred]]*3)</f>
        <v>49309</v>
      </c>
      <c r="H41" s="14">
        <f>SUMIFS(Expected_CF[Expected_Premium],Expected_CF[ICG],CF_Gen_1[[#This Row],[ICG]],Expected_CF[Incurred],CF_Gen_1[[#This Row],[Incurred]])</f>
        <v>0</v>
      </c>
      <c r="I41" s="14">
        <f>SUMIFS(Expected_CF[Expected_Commission],Expected_CF[ICG],CF_Gen_1[[#This Row],[ICG]],Expected_CF[Incurred],CF_Gen_1[[#This Row],[Incurred]])</f>
        <v>0</v>
      </c>
      <c r="J41" s="14">
        <f>IF(CF_Gen_1[[#This Row],[Contract]]="IC",SUMIFS(Expected_CF[Expected_Acquisition],Expected_CF[ICG],CF_Gen_1[[#This Row],[ICG]],Expected_CF[Incurred],CF_Gen_1[[#This Row],[Incurred]]),0)</f>
        <v>0</v>
      </c>
      <c r="K41" s="14">
        <f>SUMIFS(Earned[Earned_Premium],Earned[ICG],CF_Gen_1[[#This Row],[ICG]],Earned[Incurred],CF_Gen_1[[#This Row],[Incurred]])</f>
        <v>1628914035.3351865</v>
      </c>
      <c r="L41" s="14">
        <f>SUMIFS(Earned[Earned_Commission],Earned[ICG],CF_Gen_1[[#This Row],[ICG]],Earned[Incurred],CF_Gen_1[[#This Row],[Incurred]])</f>
        <v>-498728024.01589674</v>
      </c>
      <c r="M41" s="18">
        <f>_xlfn.XLOOKUP(CF_Gen_1[[#This Row],[ICG]],Assumptions[ICG],Assumptions[Loss_Ratio])</f>
        <v>0.4</v>
      </c>
      <c r="N41" s="18">
        <f>_xlfn.XLOOKUP(CF_Gen_1[[#This Row],[ICG]],Assumptions[ICG],Assumptions[Risk_Adjustment_Ratio])</f>
        <v>0.14000000000000001</v>
      </c>
      <c r="O41" s="18">
        <f>_xlfn.XLOOKUP(CF_Gen_1[[#This Row],[ICG]],Assumptions[ICG],Assumptions[PME_Ratio])</f>
        <v>4.4999999999999998E-2</v>
      </c>
      <c r="P41" s="18">
        <f>_xlfn.XLOOKUP(CF_Gen_1[[#This Row],[ICG]],Assumptions[ICG],Assumptions[ULAE_Ratio])</f>
        <v>0.11</v>
      </c>
      <c r="Q41" s="18">
        <f>_xlfn.XLOOKUP(CF_Gen_1[[#This Row],[ICG]],Assumptions[ICG],Assumptions[Cancellation_Ratio])</f>
        <v>7.0000000000000007E-2</v>
      </c>
      <c r="R41" s="18">
        <f>_xlfn.XLOOKUP(CF_Gen_1[[#This Row],[ICG]],Assumptions[ICG],Assumptions[Premium_Refund_Ratio])</f>
        <v>0.5</v>
      </c>
      <c r="S41" s="18">
        <f>IF(CF_Gen_1[[#This Row],[Contract]]="RC",_xlfn.XLOOKUP(CF_Gen_1[[#This Row],[ICG]],Assumptions[ICG],Assumptions[NPR_Ratio]),0)</f>
        <v>0</v>
      </c>
      <c r="T41" s="17">
        <f>T40*(1-CF_Gen_1[[#This Row],[Cancellation_Ratio]])</f>
        <v>5.8997688101848869E-2</v>
      </c>
      <c r="U41" s="19">
        <f>IF(CF_Gen_1[[#This Row],[Incurred]]&lt;=CF_Gen_1[[#This Row],[Valuation]],CF_Gen_1[[#This Row],[Expected_Premium]],-CF_Gen_1[[#This Row],[Probability_of_Inforce]]*CF_Gen_1[[#This Row],[Premium_Refund_Ratio]]*CF_Gen_1[[#This Row],[Cancellation_Ratio]]*SUM(K41:K$105))</f>
        <v>-93377798.153700784</v>
      </c>
      <c r="V4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Row],[Cancellation_Ratio]]*SUM(L41:L$105))</f>
        <v>27599524.783211704</v>
      </c>
      <c r="W41" s="19">
        <f>CF_Gen_1[[#This Row],[Expected_Acquisition]]</f>
        <v>0</v>
      </c>
      <c r="X41" s="19">
        <f>-CF_Gen_1[[#This Row],[Probability_of_Inforce]]*CF_Gen_1[[#This Row],[Earned_Premium]]*(1-CF_Gen_1[[#This Row],[Cancellation_Ratio]])*CF_Gen_1[[#This Row],[PME_Ratio]]+CF_Gen_1[[#This Row],[ULAE_Ratio]]*CF_Gen_1[[#This Row],[Exp_Claim]]</f>
        <v>-7954375.9654123075</v>
      </c>
      <c r="Y41" s="19">
        <f>-CF_Gen_1[[#This Row],[Probability_of_Inforce]]*CF_Gen_1[[#This Row],[Earned_Premium]]*(1-CF_Gen_1[[#This Row],[Cancellation_Ratio]])*CF_Gen_1[[#This Row],[Loss_Ratio]]</f>
        <v>-35750004.338931724</v>
      </c>
      <c r="Z41" s="19">
        <f>CF_Gen_1[[#This Row],[Exp_Claim]]*CF_Gen_1[[#This Row],[Risk_Adjustment_Ratio]]</f>
        <v>-5005000.6074504415</v>
      </c>
      <c r="AA41" s="19">
        <f>IF(CF_Gen_1[[#This Row],[Contract]]="RC",-CF_Gen_1[[#This Row],[NPR_Ratio]]*CF_Gen_1[[#This Row],[Exp_Claim]],0)</f>
        <v>0</v>
      </c>
      <c r="AB41" s="19">
        <f>SUMIFS(Actual_CF[Actual_Premium],Actual_CF[ICG],CF_Gen_1[[#This Row],[ICG]],Actual_CF[Incurred],CF_Gen_1[[#This Row],[Incurred]])</f>
        <v>0</v>
      </c>
      <c r="AC41" s="19">
        <f>SUMIFS(Actual_CF[Actual_Commission],Actual_CF[ICG],CF_Gen_1[[#This Row],[ICG]],Actual_CF[Incurred],CF_Gen_1[[#This Row],[Incurred]])</f>
        <v>0</v>
      </c>
      <c r="AD41" s="19">
        <f>SUMIFS(Actual_CF[Actual_Acquisition],Actual_CF[ICG],CF_Gen_1[[#This Row],[ICG]],Actual_CF[Incurred],CF_Gen_1[[#This Row],[Incurred]])</f>
        <v>0</v>
      </c>
    </row>
    <row r="42" spans="1:30">
      <c r="A42" t="str">
        <f t="shared" si="1"/>
        <v>#2024#IC-Property</v>
      </c>
      <c r="B42">
        <f>_xlfn.XLOOKUP(CF_Gen_1[[#This Row],[ICG]],ICG[ICG],ICG[Cohort])</f>
        <v>2024</v>
      </c>
      <c r="C42" t="str">
        <f>_xlfn.XLOOKUP(CF_Gen_1[[#This Row],[ICG]],ICG[ICG],ICG[Portfolio])</f>
        <v>IC-Property</v>
      </c>
      <c r="D42" t="str">
        <f>_xlfn.XLOOKUP(CF_Gen_1[[#This Row],[ICG]],ICG[ICG],ICG[Contract])</f>
        <v>IC</v>
      </c>
      <c r="E42" s="2">
        <f t="shared" si="2"/>
        <v>45930</v>
      </c>
      <c r="F42">
        <v>41</v>
      </c>
      <c r="G42" s="2">
        <f>EOMONTH(DATE(YEAR(CF_Gen_1[[#This Row],[Valuation]])-1,12,31),CF_Gen_1[[#This Row],['#Incurred]]*3)</f>
        <v>49399</v>
      </c>
      <c r="H42" s="14">
        <f>SUMIFS(Expected_CF[Expected_Premium],Expected_CF[ICG],CF_Gen_1[[#This Row],[ICG]],Expected_CF[Incurred],CF_Gen_1[[#This Row],[Incurred]])</f>
        <v>0</v>
      </c>
      <c r="I42" s="14">
        <f>SUMIFS(Expected_CF[Expected_Commission],Expected_CF[ICG],CF_Gen_1[[#This Row],[ICG]],Expected_CF[Incurred],CF_Gen_1[[#This Row],[Incurred]])</f>
        <v>0</v>
      </c>
      <c r="J42" s="14">
        <f>IF(CF_Gen_1[[#This Row],[Contract]]="IC",SUMIFS(Expected_CF[Expected_Acquisition],Expected_CF[ICG],CF_Gen_1[[#This Row],[ICG]],Expected_CF[Incurred],CF_Gen_1[[#This Row],[Incurred]]),0)</f>
        <v>0</v>
      </c>
      <c r="K42" s="14">
        <f>SUMIFS(Earned[Earned_Premium],Earned[ICG],CF_Gen_1[[#This Row],[ICG]],Earned[Incurred],CF_Gen_1[[#This Row],[Incurred]])</f>
        <v>1599025704.4116051</v>
      </c>
      <c r="L42" s="14">
        <f>SUMIFS(Earned[Earned_Commission],Earned[ICG],CF_Gen_1[[#This Row],[ICG]],Earned[Incurred],CF_Gen_1[[#This Row],[Incurred]])</f>
        <v>-489228442.60607022</v>
      </c>
      <c r="M42" s="18">
        <f>_xlfn.XLOOKUP(CF_Gen_1[[#This Row],[ICG]],Assumptions[ICG],Assumptions[Loss_Ratio])</f>
        <v>0.4</v>
      </c>
      <c r="N42" s="18">
        <f>_xlfn.XLOOKUP(CF_Gen_1[[#This Row],[ICG]],Assumptions[ICG],Assumptions[Risk_Adjustment_Ratio])</f>
        <v>0.14000000000000001</v>
      </c>
      <c r="O42" s="18">
        <f>_xlfn.XLOOKUP(CF_Gen_1[[#This Row],[ICG]],Assumptions[ICG],Assumptions[PME_Ratio])</f>
        <v>4.4999999999999998E-2</v>
      </c>
      <c r="P42" s="18">
        <f>_xlfn.XLOOKUP(CF_Gen_1[[#This Row],[ICG]],Assumptions[ICG],Assumptions[ULAE_Ratio])</f>
        <v>0.11</v>
      </c>
      <c r="Q42" s="18">
        <f>_xlfn.XLOOKUP(CF_Gen_1[[#This Row],[ICG]],Assumptions[ICG],Assumptions[Cancellation_Ratio])</f>
        <v>7.0000000000000007E-2</v>
      </c>
      <c r="R42" s="18">
        <f>_xlfn.XLOOKUP(CF_Gen_1[[#This Row],[ICG]],Assumptions[ICG],Assumptions[Premium_Refund_Ratio])</f>
        <v>0.5</v>
      </c>
      <c r="S42" s="18">
        <f>IF(CF_Gen_1[[#This Row],[Contract]]="RC",_xlfn.XLOOKUP(CF_Gen_1[[#This Row],[ICG]],Assumptions[ICG],Assumptions[NPR_Ratio]),0)</f>
        <v>0</v>
      </c>
      <c r="T42" s="17">
        <f>T41*(1-CF_Gen_1[[#This Row],[Cancellation_Ratio]])</f>
        <v>5.4867849934719444E-2</v>
      </c>
      <c r="U42" s="19">
        <f>IF(CF_Gen_1[[#This Row],[Incurred]]&lt;=CF_Gen_1[[#This Row],[Valuation]],CF_Gen_1[[#This Row],[Expected_Premium]],-CF_Gen_1[[#This Row],[Probability_of_Inforce]]*CF_Gen_1[[#This Row],[Premium_Refund_Ratio]]*CF_Gen_1[[#This Row],[Cancellation_Ratio]]*SUM(K42:K$105))</f>
        <v>-83713226.90328519</v>
      </c>
      <c r="V4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Row],[Cancellation_Ratio]]*SUM(L42:L$105))</f>
        <v>24709813.345088862</v>
      </c>
      <c r="W42" s="19">
        <f>CF_Gen_1[[#This Row],[Expected_Acquisition]]</f>
        <v>0</v>
      </c>
      <c r="X42" s="19">
        <f>-CF_Gen_1[[#This Row],[Probability_of_Inforce]]*CF_Gen_1[[#This Row],[Earned_Premium]]*(1-CF_Gen_1[[#This Row],[Cancellation_Ratio]])*CF_Gen_1[[#This Row],[PME_Ratio]]+CF_Gen_1[[#This Row],[ULAE_Ratio]]*CF_Gen_1[[#This Row],[Exp_Claim]]</f>
        <v>-7261834.4249374196</v>
      </c>
      <c r="Y42" s="19">
        <f>-CF_Gen_1[[#This Row],[Probability_of_Inforce]]*CF_Gen_1[[#This Row],[Earned_Premium]]*(1-CF_Gen_1[[#This Row],[Cancellation_Ratio]])*CF_Gen_1[[#This Row],[Loss_Ratio]]</f>
        <v>-32637458.089606382</v>
      </c>
      <c r="Z42" s="19">
        <f>CF_Gen_1[[#This Row],[Exp_Claim]]*CF_Gen_1[[#This Row],[Risk_Adjustment_Ratio]]</f>
        <v>-4569244.1325448938</v>
      </c>
      <c r="AA42" s="19">
        <f>IF(CF_Gen_1[[#This Row],[Contract]]="RC",-CF_Gen_1[[#This Row],[NPR_Ratio]]*CF_Gen_1[[#This Row],[Exp_Claim]],0)</f>
        <v>0</v>
      </c>
      <c r="AB42" s="19">
        <f>SUMIFS(Actual_CF[Actual_Premium],Actual_CF[ICG],CF_Gen_1[[#This Row],[ICG]],Actual_CF[Incurred],CF_Gen_1[[#This Row],[Incurred]])</f>
        <v>0</v>
      </c>
      <c r="AC42" s="19">
        <f>SUMIFS(Actual_CF[Actual_Commission],Actual_CF[ICG],CF_Gen_1[[#This Row],[ICG]],Actual_CF[Incurred],CF_Gen_1[[#This Row],[Incurred]])</f>
        <v>0</v>
      </c>
      <c r="AD42" s="19">
        <f>SUMIFS(Actual_CF[Actual_Acquisition],Actual_CF[ICG],CF_Gen_1[[#This Row],[ICG]],Actual_CF[Incurred],CF_Gen_1[[#This Row],[Incurred]])</f>
        <v>0</v>
      </c>
    </row>
    <row r="43" spans="1:30">
      <c r="A43" t="str">
        <f t="shared" si="1"/>
        <v>#2024#IC-Property</v>
      </c>
      <c r="B43">
        <f>_xlfn.XLOOKUP(CF_Gen_1[[#This Row],[ICG]],ICG[ICG],ICG[Cohort])</f>
        <v>2024</v>
      </c>
      <c r="C43" t="str">
        <f>_xlfn.XLOOKUP(CF_Gen_1[[#This Row],[ICG]],ICG[ICG],ICG[Portfolio])</f>
        <v>IC-Property</v>
      </c>
      <c r="D43" t="str">
        <f>_xlfn.XLOOKUP(CF_Gen_1[[#This Row],[ICG]],ICG[ICG],ICG[Contract])</f>
        <v>IC</v>
      </c>
      <c r="E43" s="2">
        <f t="shared" si="2"/>
        <v>45930</v>
      </c>
      <c r="F43">
        <v>42</v>
      </c>
      <c r="G43" s="2">
        <f>EOMONTH(DATE(YEAR(CF_Gen_1[[#This Row],[Valuation]])-1,12,31),CF_Gen_1[[#This Row],['#Incurred]]*3)</f>
        <v>49490</v>
      </c>
      <c r="H43" s="14">
        <f>SUMIFS(Expected_CF[Expected_Premium],Expected_CF[ICG],CF_Gen_1[[#This Row],[ICG]],Expected_CF[Incurred],CF_Gen_1[[#This Row],[Incurred]])</f>
        <v>0</v>
      </c>
      <c r="I43" s="14">
        <f>SUMIFS(Expected_CF[Expected_Commission],Expected_CF[ICG],CF_Gen_1[[#This Row],[ICG]],Expected_CF[Incurred],CF_Gen_1[[#This Row],[Incurred]])</f>
        <v>0</v>
      </c>
      <c r="J43" s="14">
        <f>IF(CF_Gen_1[[#This Row],[Contract]]="IC",SUMIFS(Expected_CF[Expected_Acquisition],Expected_CF[ICG],CF_Gen_1[[#This Row],[ICG]],Expected_CF[Incurred],CF_Gen_1[[#This Row],[Incurred]]),0)</f>
        <v>0</v>
      </c>
      <c r="K43" s="14">
        <f>SUMIFS(Earned[Earned_Premium],Earned[ICG],CF_Gen_1[[#This Row],[ICG]],Earned[Incurred],CF_Gen_1[[#This Row],[Incurred]])</f>
        <v>1569137373.4880235</v>
      </c>
      <c r="L43" s="14">
        <f>SUMIFS(Earned[Earned_Commission],Earned[ICG],CF_Gen_1[[#This Row],[ICG]],Earned[Incurred],CF_Gen_1[[#This Row],[Incurred]])</f>
        <v>-479728861.19624346</v>
      </c>
      <c r="M43" s="18">
        <f>_xlfn.XLOOKUP(CF_Gen_1[[#This Row],[ICG]],Assumptions[ICG],Assumptions[Loss_Ratio])</f>
        <v>0.4</v>
      </c>
      <c r="N43" s="18">
        <f>_xlfn.XLOOKUP(CF_Gen_1[[#This Row],[ICG]],Assumptions[ICG],Assumptions[Risk_Adjustment_Ratio])</f>
        <v>0.14000000000000001</v>
      </c>
      <c r="O43" s="18">
        <f>_xlfn.XLOOKUP(CF_Gen_1[[#This Row],[ICG]],Assumptions[ICG],Assumptions[PME_Ratio])</f>
        <v>4.4999999999999998E-2</v>
      </c>
      <c r="P43" s="18">
        <f>_xlfn.XLOOKUP(CF_Gen_1[[#This Row],[ICG]],Assumptions[ICG],Assumptions[ULAE_Ratio])</f>
        <v>0.11</v>
      </c>
      <c r="Q43" s="18">
        <f>_xlfn.XLOOKUP(CF_Gen_1[[#This Row],[ICG]],Assumptions[ICG],Assumptions[Cancellation_Ratio])</f>
        <v>7.0000000000000007E-2</v>
      </c>
      <c r="R43" s="18">
        <f>_xlfn.XLOOKUP(CF_Gen_1[[#This Row],[ICG]],Assumptions[ICG],Assumptions[Premium_Refund_Ratio])</f>
        <v>0.5</v>
      </c>
      <c r="S43" s="18">
        <f>IF(CF_Gen_1[[#This Row],[Contract]]="RC",_xlfn.XLOOKUP(CF_Gen_1[[#This Row],[ICG]],Assumptions[ICG],Assumptions[NPR_Ratio]),0)</f>
        <v>0</v>
      </c>
      <c r="T43" s="17">
        <f>T42*(1-CF_Gen_1[[#This Row],[Cancellation_Ratio]])</f>
        <v>5.1027100439289076E-2</v>
      </c>
      <c r="U43" s="19">
        <f>IF(CF_Gen_1[[#This Row],[Incurred]]&lt;=CF_Gen_1[[#This Row],[Valuation]],CF_Gen_1[[#This Row],[Expected_Premium]],-CF_Gen_1[[#This Row],[Probability_of_Inforce]]*CF_Gen_1[[#This Row],[Premium_Refund_Ratio]]*CF_Gen_1[[#This Row],[Cancellation_Ratio]]*SUM(K43:K$105))</f>
        <v>-74997523.437214673</v>
      </c>
      <c r="V4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Row],[Cancellation_Ratio]]*SUM(L43:L$105))</f>
        <v>22106389.600181047</v>
      </c>
      <c r="W43" s="19">
        <f>CF_Gen_1[[#This Row],[Expected_Acquisition]]</f>
        <v>0</v>
      </c>
      <c r="X43" s="19">
        <f>-CF_Gen_1[[#This Row],[Probability_of_Inforce]]*CF_Gen_1[[#This Row],[Earned_Premium]]*(1-CF_Gen_1[[#This Row],[Cancellation_Ratio]])*CF_Gen_1[[#This Row],[PME_Ratio]]+CF_Gen_1[[#This Row],[ULAE_Ratio]]*CF_Gen_1[[#This Row],[Exp_Claim]]</f>
        <v>-6627272.2578984927</v>
      </c>
      <c r="Y43" s="19">
        <f>-CF_Gen_1[[#This Row],[Probability_of_Inforce]]*CF_Gen_1[[#This Row],[Earned_Premium]]*(1-CF_Gen_1[[#This Row],[Cancellation_Ratio]])*CF_Gen_1[[#This Row],[Loss_Ratio]]</f>
        <v>-29785493.293925811</v>
      </c>
      <c r="Z43" s="19">
        <f>CF_Gen_1[[#This Row],[Exp_Claim]]*CF_Gen_1[[#This Row],[Risk_Adjustment_Ratio]]</f>
        <v>-4169969.0611496139</v>
      </c>
      <c r="AA43" s="19">
        <f>IF(CF_Gen_1[[#This Row],[Contract]]="RC",-CF_Gen_1[[#This Row],[NPR_Ratio]]*CF_Gen_1[[#This Row],[Exp_Claim]],0)</f>
        <v>0</v>
      </c>
      <c r="AB43" s="19">
        <f>SUMIFS(Actual_CF[Actual_Premium],Actual_CF[ICG],CF_Gen_1[[#This Row],[ICG]],Actual_CF[Incurred],CF_Gen_1[[#This Row],[Incurred]])</f>
        <v>0</v>
      </c>
      <c r="AC43" s="19">
        <f>SUMIFS(Actual_CF[Actual_Commission],Actual_CF[ICG],CF_Gen_1[[#This Row],[ICG]],Actual_CF[Incurred],CF_Gen_1[[#This Row],[Incurred]])</f>
        <v>0</v>
      </c>
      <c r="AD43" s="19">
        <f>SUMIFS(Actual_CF[Actual_Acquisition],Actual_CF[ICG],CF_Gen_1[[#This Row],[ICG]],Actual_CF[Incurred],CF_Gen_1[[#This Row],[Incurred]])</f>
        <v>0</v>
      </c>
    </row>
    <row r="44" spans="1:30">
      <c r="A44" t="str">
        <f t="shared" si="1"/>
        <v>#2024#IC-Property</v>
      </c>
      <c r="B44">
        <f>_xlfn.XLOOKUP(CF_Gen_1[[#This Row],[ICG]],ICG[ICG],ICG[Cohort])</f>
        <v>2024</v>
      </c>
      <c r="C44" t="str">
        <f>_xlfn.XLOOKUP(CF_Gen_1[[#This Row],[ICG]],ICG[ICG],ICG[Portfolio])</f>
        <v>IC-Property</v>
      </c>
      <c r="D44" t="str">
        <f>_xlfn.XLOOKUP(CF_Gen_1[[#This Row],[ICG]],ICG[ICG],ICG[Contract])</f>
        <v>IC</v>
      </c>
      <c r="E44" s="2">
        <f t="shared" si="2"/>
        <v>45930</v>
      </c>
      <c r="F44">
        <v>43</v>
      </c>
      <c r="G44" s="2">
        <f>EOMONTH(DATE(YEAR(CF_Gen_1[[#This Row],[Valuation]])-1,12,31),CF_Gen_1[[#This Row],['#Incurred]]*3)</f>
        <v>49582</v>
      </c>
      <c r="H44" s="14">
        <f>SUMIFS(Expected_CF[Expected_Premium],Expected_CF[ICG],CF_Gen_1[[#This Row],[ICG]],Expected_CF[Incurred],CF_Gen_1[[#This Row],[Incurred]])</f>
        <v>0</v>
      </c>
      <c r="I44" s="14">
        <f>SUMIFS(Expected_CF[Expected_Commission],Expected_CF[ICG],CF_Gen_1[[#This Row],[ICG]],Expected_CF[Incurred],CF_Gen_1[[#This Row],[Incurred]])</f>
        <v>0</v>
      </c>
      <c r="J44" s="14">
        <f>IF(CF_Gen_1[[#This Row],[Contract]]="IC",SUMIFS(Expected_CF[Expected_Acquisition],Expected_CF[ICG],CF_Gen_1[[#This Row],[ICG]],Expected_CF[Incurred],CF_Gen_1[[#This Row],[Incurred]]),0)</f>
        <v>0</v>
      </c>
      <c r="K44" s="14">
        <f>SUMIFS(Earned[Earned_Premium],Earned[ICG],CF_Gen_1[[#This Row],[ICG]],Earned[Incurred],CF_Gen_1[[#This Row],[Incurred]])</f>
        <v>1539249042.5644424</v>
      </c>
      <c r="L44" s="14">
        <f>SUMIFS(Earned[Earned_Commission],Earned[ICG],CF_Gen_1[[#This Row],[ICG]],Earned[Incurred],CF_Gen_1[[#This Row],[Incurred]])</f>
        <v>-470229279.78641689</v>
      </c>
      <c r="M44" s="18">
        <f>_xlfn.XLOOKUP(CF_Gen_1[[#This Row],[ICG]],Assumptions[ICG],Assumptions[Loss_Ratio])</f>
        <v>0.4</v>
      </c>
      <c r="N44" s="18">
        <f>_xlfn.XLOOKUP(CF_Gen_1[[#This Row],[ICG]],Assumptions[ICG],Assumptions[Risk_Adjustment_Ratio])</f>
        <v>0.14000000000000001</v>
      </c>
      <c r="O44" s="18">
        <f>_xlfn.XLOOKUP(CF_Gen_1[[#This Row],[ICG]],Assumptions[ICG],Assumptions[PME_Ratio])</f>
        <v>4.4999999999999998E-2</v>
      </c>
      <c r="P44" s="18">
        <f>_xlfn.XLOOKUP(CF_Gen_1[[#This Row],[ICG]],Assumptions[ICG],Assumptions[ULAE_Ratio])</f>
        <v>0.11</v>
      </c>
      <c r="Q44" s="18">
        <f>_xlfn.XLOOKUP(CF_Gen_1[[#This Row],[ICG]],Assumptions[ICG],Assumptions[Cancellation_Ratio])</f>
        <v>7.0000000000000007E-2</v>
      </c>
      <c r="R44" s="18">
        <f>_xlfn.XLOOKUP(CF_Gen_1[[#This Row],[ICG]],Assumptions[ICG],Assumptions[Premium_Refund_Ratio])</f>
        <v>0.5</v>
      </c>
      <c r="S44" s="18">
        <f>IF(CF_Gen_1[[#This Row],[Contract]]="RC",_xlfn.XLOOKUP(CF_Gen_1[[#This Row],[ICG]],Assumptions[ICG],Assumptions[NPR_Ratio]),0)</f>
        <v>0</v>
      </c>
      <c r="T44" s="17">
        <f>T43*(1-CF_Gen_1[[#This Row],[Cancellation_Ratio]])</f>
        <v>4.7455203408538836E-2</v>
      </c>
      <c r="U44" s="19">
        <f>IF(CF_Gen_1[[#This Row],[Incurred]]&lt;=CF_Gen_1[[#This Row],[Valuation]],CF_Gen_1[[#This Row],[Expected_Premium]],-CF_Gen_1[[#This Row],[Probability_of_Inforce]]*CF_Gen_1[[#This Row],[Premium_Refund_Ratio]]*CF_Gen_1[[#This Row],[Cancellation_Ratio]]*SUM(K44:K$105))</f>
        <v>-67141466.133391127</v>
      </c>
      <c r="V4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Row],[Cancellation_Ratio]]*SUM(L44:L$105))</f>
        <v>19762145.25405287</v>
      </c>
      <c r="W44" s="19">
        <f>CF_Gen_1[[#This Row],[Expected_Acquisition]]</f>
        <v>0</v>
      </c>
      <c r="X44" s="19">
        <f>-CF_Gen_1[[#This Row],[Probability_of_Inforce]]*CF_Gen_1[[#This Row],[Earned_Premium]]*(1-CF_Gen_1[[#This Row],[Cancellation_Ratio]])*CF_Gen_1[[#This Row],[PME_Ratio]]+CF_Gen_1[[#This Row],[ULAE_Ratio]]*CF_Gen_1[[#This Row],[Exp_Claim]]</f>
        <v>-6045965.8055628259</v>
      </c>
      <c r="Y44" s="19">
        <f>-CF_Gen_1[[#This Row],[Probability_of_Inforce]]*CF_Gen_1[[#This Row],[Earned_Premium]]*(1-CF_Gen_1[[#This Row],[Cancellation_Ratio]])*CF_Gen_1[[#This Row],[Loss_Ratio]]</f>
        <v>-27172880.025001466</v>
      </c>
      <c r="Z44" s="19">
        <f>CF_Gen_1[[#This Row],[Exp_Claim]]*CF_Gen_1[[#This Row],[Risk_Adjustment_Ratio]]</f>
        <v>-3804203.2035002057</v>
      </c>
      <c r="AA44" s="19">
        <f>IF(CF_Gen_1[[#This Row],[Contract]]="RC",-CF_Gen_1[[#This Row],[NPR_Ratio]]*CF_Gen_1[[#This Row],[Exp_Claim]],0)</f>
        <v>0</v>
      </c>
      <c r="AB44" s="19">
        <f>SUMIFS(Actual_CF[Actual_Premium],Actual_CF[ICG],CF_Gen_1[[#This Row],[ICG]],Actual_CF[Incurred],CF_Gen_1[[#This Row],[Incurred]])</f>
        <v>0</v>
      </c>
      <c r="AC44" s="19">
        <f>SUMIFS(Actual_CF[Actual_Commission],Actual_CF[ICG],CF_Gen_1[[#This Row],[ICG]],Actual_CF[Incurred],CF_Gen_1[[#This Row],[Incurred]])</f>
        <v>0</v>
      </c>
      <c r="AD44" s="19">
        <f>SUMIFS(Actual_CF[Actual_Acquisition],Actual_CF[ICG],CF_Gen_1[[#This Row],[ICG]],Actual_CF[Incurred],CF_Gen_1[[#This Row],[Incurred]])</f>
        <v>0</v>
      </c>
    </row>
    <row r="45" spans="1:30">
      <c r="A45" t="str">
        <f t="shared" si="1"/>
        <v>#2024#IC-Property</v>
      </c>
      <c r="B45">
        <f>_xlfn.XLOOKUP(CF_Gen_1[[#This Row],[ICG]],ICG[ICG],ICG[Cohort])</f>
        <v>2024</v>
      </c>
      <c r="C45" t="str">
        <f>_xlfn.XLOOKUP(CF_Gen_1[[#This Row],[ICG]],ICG[ICG],ICG[Portfolio])</f>
        <v>IC-Property</v>
      </c>
      <c r="D45" t="str">
        <f>_xlfn.XLOOKUP(CF_Gen_1[[#This Row],[ICG]],ICG[ICG],ICG[Contract])</f>
        <v>IC</v>
      </c>
      <c r="E45" s="2">
        <f t="shared" si="2"/>
        <v>45930</v>
      </c>
      <c r="F45">
        <v>44</v>
      </c>
      <c r="G45" s="2">
        <f>EOMONTH(DATE(YEAR(CF_Gen_1[[#This Row],[Valuation]])-1,12,31),CF_Gen_1[[#This Row],['#Incurred]]*3)</f>
        <v>49674</v>
      </c>
      <c r="H45" s="14">
        <f>SUMIFS(Expected_CF[Expected_Premium],Expected_CF[ICG],CF_Gen_1[[#This Row],[ICG]],Expected_CF[Incurred],CF_Gen_1[[#This Row],[Incurred]])</f>
        <v>0</v>
      </c>
      <c r="I45" s="14">
        <f>SUMIFS(Expected_CF[Expected_Commission],Expected_CF[ICG],CF_Gen_1[[#This Row],[ICG]],Expected_CF[Incurred],CF_Gen_1[[#This Row],[Incurred]])</f>
        <v>0</v>
      </c>
      <c r="J45" s="14">
        <f>IF(CF_Gen_1[[#This Row],[Contract]]="IC",SUMIFS(Expected_CF[Expected_Acquisition],Expected_CF[ICG],CF_Gen_1[[#This Row],[ICG]],Expected_CF[Incurred],CF_Gen_1[[#This Row],[Incurred]]),0)</f>
        <v>0</v>
      </c>
      <c r="K45" s="14">
        <f>SUMIFS(Earned[Earned_Premium],Earned[ICG],CF_Gen_1[[#This Row],[ICG]],Earned[Incurred],CF_Gen_1[[#This Row],[Incurred]])</f>
        <v>1509360711.640861</v>
      </c>
      <c r="L45" s="14">
        <f>SUMIFS(Earned[Earned_Commission],Earned[ICG],CF_Gen_1[[#This Row],[ICG]],Earned[Incurred],CF_Gen_1[[#This Row],[Incurred]])</f>
        <v>-460729698.37659031</v>
      </c>
      <c r="M45" s="18">
        <f>_xlfn.XLOOKUP(CF_Gen_1[[#This Row],[ICG]],Assumptions[ICG],Assumptions[Loss_Ratio])</f>
        <v>0.4</v>
      </c>
      <c r="N45" s="18">
        <f>_xlfn.XLOOKUP(CF_Gen_1[[#This Row],[ICG]],Assumptions[ICG],Assumptions[Risk_Adjustment_Ratio])</f>
        <v>0.14000000000000001</v>
      </c>
      <c r="O45" s="18">
        <f>_xlfn.XLOOKUP(CF_Gen_1[[#This Row],[ICG]],Assumptions[ICG],Assumptions[PME_Ratio])</f>
        <v>4.4999999999999998E-2</v>
      </c>
      <c r="P45" s="18">
        <f>_xlfn.XLOOKUP(CF_Gen_1[[#This Row],[ICG]],Assumptions[ICG],Assumptions[ULAE_Ratio])</f>
        <v>0.11</v>
      </c>
      <c r="Q45" s="18">
        <f>_xlfn.XLOOKUP(CF_Gen_1[[#This Row],[ICG]],Assumptions[ICG],Assumptions[Cancellation_Ratio])</f>
        <v>7.0000000000000007E-2</v>
      </c>
      <c r="R45" s="18">
        <f>_xlfn.XLOOKUP(CF_Gen_1[[#This Row],[ICG]],Assumptions[ICG],Assumptions[Premium_Refund_Ratio])</f>
        <v>0.5</v>
      </c>
      <c r="S45" s="18">
        <f>IF(CF_Gen_1[[#This Row],[Contract]]="RC",_xlfn.XLOOKUP(CF_Gen_1[[#This Row],[ICG]],Assumptions[ICG],Assumptions[NPR_Ratio]),0)</f>
        <v>0</v>
      </c>
      <c r="T45" s="17">
        <f>T44*(1-CF_Gen_1[[#This Row],[Cancellation_Ratio]])</f>
        <v>4.4133339169941117E-2</v>
      </c>
      <c r="U45" s="19">
        <f>IF(CF_Gen_1[[#This Row],[Incurred]]&lt;=CF_Gen_1[[#This Row],[Valuation]],CF_Gen_1[[#This Row],[Expected_Premium]],-CF_Gen_1[[#This Row],[Probability_of_Inforce]]*CF_Gen_1[[#This Row],[Premium_Refund_Ratio]]*CF_Gen_1[[#This Row],[Cancellation_Ratio]]*SUM(K45:K$105))</f>
        <v>-60063936.501866132</v>
      </c>
      <c r="V4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Row],[Cancellation_Ratio]]*SUM(L45:L$105))</f>
        <v>17652447.496033378</v>
      </c>
      <c r="W45" s="19">
        <f>CF_Gen_1[[#This Row],[Expected_Acquisition]]</f>
        <v>0</v>
      </c>
      <c r="X45" s="19">
        <f>-CF_Gen_1[[#This Row],[Probability_of_Inforce]]*CF_Gen_1[[#This Row],[Earned_Premium]]*(1-CF_Gen_1[[#This Row],[Cancellation_Ratio]])*CF_Gen_1[[#This Row],[PME_Ratio]]+CF_Gen_1[[#This Row],[ULAE_Ratio]]*CF_Gen_1[[#This Row],[Exp_Claim]]</f>
        <v>-5513568.6224904489</v>
      </c>
      <c r="Y45" s="19">
        <f>-CF_Gen_1[[#This Row],[Probability_of_Inforce]]*CF_Gen_1[[#This Row],[Earned_Premium]]*(1-CF_Gen_1[[#This Row],[Cancellation_Ratio]])*CF_Gen_1[[#This Row],[Loss_Ratio]]</f>
        <v>-24780083.696586289</v>
      </c>
      <c r="Z45" s="19">
        <f>CF_Gen_1[[#This Row],[Exp_Claim]]*CF_Gen_1[[#This Row],[Risk_Adjustment_Ratio]]</f>
        <v>-3469211.7175220805</v>
      </c>
      <c r="AA45" s="19">
        <f>IF(CF_Gen_1[[#This Row],[Contract]]="RC",-CF_Gen_1[[#This Row],[NPR_Ratio]]*CF_Gen_1[[#This Row],[Exp_Claim]],0)</f>
        <v>0</v>
      </c>
      <c r="AB45" s="19">
        <f>SUMIFS(Actual_CF[Actual_Premium],Actual_CF[ICG],CF_Gen_1[[#This Row],[ICG]],Actual_CF[Incurred],CF_Gen_1[[#This Row],[Incurred]])</f>
        <v>0</v>
      </c>
      <c r="AC45" s="19">
        <f>SUMIFS(Actual_CF[Actual_Commission],Actual_CF[ICG],CF_Gen_1[[#This Row],[ICG]],Actual_CF[Incurred],CF_Gen_1[[#This Row],[Incurred]])</f>
        <v>0</v>
      </c>
      <c r="AD45" s="19">
        <f>SUMIFS(Actual_CF[Actual_Acquisition],Actual_CF[ICG],CF_Gen_1[[#This Row],[ICG]],Actual_CF[Incurred],CF_Gen_1[[#This Row],[Incurred]])</f>
        <v>0</v>
      </c>
    </row>
    <row r="46" spans="1:30">
      <c r="A46" t="str">
        <f t="shared" si="1"/>
        <v>#2024#IC-Property</v>
      </c>
      <c r="B46">
        <f>_xlfn.XLOOKUP(CF_Gen_1[[#This Row],[ICG]],ICG[ICG],ICG[Cohort])</f>
        <v>2024</v>
      </c>
      <c r="C46" t="str">
        <f>_xlfn.XLOOKUP(CF_Gen_1[[#This Row],[ICG]],ICG[ICG],ICG[Portfolio])</f>
        <v>IC-Property</v>
      </c>
      <c r="D46" t="str">
        <f>_xlfn.XLOOKUP(CF_Gen_1[[#This Row],[ICG]],ICG[ICG],ICG[Contract])</f>
        <v>IC</v>
      </c>
      <c r="E46" s="2">
        <f t="shared" si="2"/>
        <v>45930</v>
      </c>
      <c r="F46">
        <v>45</v>
      </c>
      <c r="G46" s="2">
        <f>EOMONTH(DATE(YEAR(CF_Gen_1[[#This Row],[Valuation]])-1,12,31),CF_Gen_1[[#This Row],['#Incurred]]*3)</f>
        <v>49765</v>
      </c>
      <c r="H46" s="14">
        <f>SUMIFS(Expected_CF[Expected_Premium],Expected_CF[ICG],CF_Gen_1[[#This Row],[ICG]],Expected_CF[Incurred],CF_Gen_1[[#This Row],[Incurred]])</f>
        <v>0</v>
      </c>
      <c r="I46" s="14">
        <f>SUMIFS(Expected_CF[Expected_Commission],Expected_CF[ICG],CF_Gen_1[[#This Row],[ICG]],Expected_CF[Incurred],CF_Gen_1[[#This Row],[Incurred]])</f>
        <v>0</v>
      </c>
      <c r="J46" s="14">
        <f>IF(CF_Gen_1[[#This Row],[Contract]]="IC",SUMIFS(Expected_CF[Expected_Acquisition],Expected_CF[ICG],CF_Gen_1[[#This Row],[ICG]],Expected_CF[Incurred],CF_Gen_1[[#This Row],[Incurred]]),0)</f>
        <v>0</v>
      </c>
      <c r="K46" s="14">
        <f>SUMIFS(Earned[Earned_Premium],Earned[ICG],CF_Gen_1[[#This Row],[ICG]],Earned[Incurred],CF_Gen_1[[#This Row],[Incurred]])</f>
        <v>1479472380.7172797</v>
      </c>
      <c r="L46" s="14">
        <f>SUMIFS(Earned[Earned_Commission],Earned[ICG],CF_Gen_1[[#This Row],[ICG]],Earned[Incurred],CF_Gen_1[[#This Row],[Incurred]])</f>
        <v>-451230116.96676379</v>
      </c>
      <c r="M46" s="18">
        <f>_xlfn.XLOOKUP(CF_Gen_1[[#This Row],[ICG]],Assumptions[ICG],Assumptions[Loss_Ratio])</f>
        <v>0.4</v>
      </c>
      <c r="N46" s="18">
        <f>_xlfn.XLOOKUP(CF_Gen_1[[#This Row],[ICG]],Assumptions[ICG],Assumptions[Risk_Adjustment_Ratio])</f>
        <v>0.14000000000000001</v>
      </c>
      <c r="O46" s="18">
        <f>_xlfn.XLOOKUP(CF_Gen_1[[#This Row],[ICG]],Assumptions[ICG],Assumptions[PME_Ratio])</f>
        <v>4.4999999999999998E-2</v>
      </c>
      <c r="P46" s="18">
        <f>_xlfn.XLOOKUP(CF_Gen_1[[#This Row],[ICG]],Assumptions[ICG],Assumptions[ULAE_Ratio])</f>
        <v>0.11</v>
      </c>
      <c r="Q46" s="18">
        <f>_xlfn.XLOOKUP(CF_Gen_1[[#This Row],[ICG]],Assumptions[ICG],Assumptions[Cancellation_Ratio])</f>
        <v>7.0000000000000007E-2</v>
      </c>
      <c r="R46" s="18">
        <f>_xlfn.XLOOKUP(CF_Gen_1[[#This Row],[ICG]],Assumptions[ICG],Assumptions[Premium_Refund_Ratio])</f>
        <v>0.5</v>
      </c>
      <c r="S46" s="18">
        <f>IF(CF_Gen_1[[#This Row],[Contract]]="RC",_xlfn.XLOOKUP(CF_Gen_1[[#This Row],[ICG]],Assumptions[ICG],Assumptions[NPR_Ratio]),0)</f>
        <v>0</v>
      </c>
      <c r="T46" s="17">
        <f>T45*(1-CF_Gen_1[[#This Row],[Cancellation_Ratio]])</f>
        <v>4.104400542804524E-2</v>
      </c>
      <c r="U46" s="19">
        <f>IF(CF_Gen_1[[#This Row],[Incurred]]&lt;=CF_Gen_1[[#This Row],[Valuation]],CF_Gen_1[[#This Row],[Expected_Premium]],-CF_Gen_1[[#This Row],[Probability_of_Inforce]]*CF_Gen_1[[#This Row],[Premium_Refund_Ratio]]*CF_Gen_1[[#This Row],[Cancellation_Ratio]]*SUM(K46:K$105))</f>
        <v>-53691203.623284213</v>
      </c>
      <c r="V4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Row],[Cancellation_Ratio]]*SUM(L46:L$105))</f>
        <v>15754919.442874976</v>
      </c>
      <c r="W46" s="19">
        <f>CF_Gen_1[[#This Row],[Expected_Acquisition]]</f>
        <v>0</v>
      </c>
      <c r="X46" s="19">
        <f>-CF_Gen_1[[#This Row],[Probability_of_Inforce]]*CF_Gen_1[[#This Row],[Earned_Premium]]*(1-CF_Gen_1[[#This Row],[Cancellation_Ratio]])*CF_Gen_1[[#This Row],[PME_Ratio]]+CF_Gen_1[[#This Row],[ULAE_Ratio]]*CF_Gen_1[[#This Row],[Exp_Claim]]</f>
        <v>-5026081.8126009479</v>
      </c>
      <c r="Y46" s="19">
        <f>-CF_Gen_1[[#This Row],[Probability_of_Inforce]]*CF_Gen_1[[#This Row],[Earned_Premium]]*(1-CF_Gen_1[[#This Row],[Cancellation_Ratio]])*CF_Gen_1[[#This Row],[Loss_Ratio]]</f>
        <v>-22589131.742026731</v>
      </c>
      <c r="Z46" s="19">
        <f>CF_Gen_1[[#This Row],[Exp_Claim]]*CF_Gen_1[[#This Row],[Risk_Adjustment_Ratio]]</f>
        <v>-3162478.4438837427</v>
      </c>
      <c r="AA46" s="19">
        <f>IF(CF_Gen_1[[#This Row],[Contract]]="RC",-CF_Gen_1[[#This Row],[NPR_Ratio]]*CF_Gen_1[[#This Row],[Exp_Claim]],0)</f>
        <v>0</v>
      </c>
      <c r="AB46" s="19">
        <f>SUMIFS(Actual_CF[Actual_Premium],Actual_CF[ICG],CF_Gen_1[[#This Row],[ICG]],Actual_CF[Incurred],CF_Gen_1[[#This Row],[Incurred]])</f>
        <v>0</v>
      </c>
      <c r="AC46" s="19">
        <f>SUMIFS(Actual_CF[Actual_Commission],Actual_CF[ICG],CF_Gen_1[[#This Row],[ICG]],Actual_CF[Incurred],CF_Gen_1[[#This Row],[Incurred]])</f>
        <v>0</v>
      </c>
      <c r="AD46" s="19">
        <f>SUMIFS(Actual_CF[Actual_Acquisition],Actual_CF[ICG],CF_Gen_1[[#This Row],[ICG]],Actual_CF[Incurred],CF_Gen_1[[#This Row],[Incurred]])</f>
        <v>0</v>
      </c>
    </row>
    <row r="47" spans="1:30">
      <c r="A47" t="str">
        <f t="shared" si="1"/>
        <v>#2024#IC-Property</v>
      </c>
      <c r="B47">
        <f>_xlfn.XLOOKUP(CF_Gen_1[[#This Row],[ICG]],ICG[ICG],ICG[Cohort])</f>
        <v>2024</v>
      </c>
      <c r="C47" t="str">
        <f>_xlfn.XLOOKUP(CF_Gen_1[[#This Row],[ICG]],ICG[ICG],ICG[Portfolio])</f>
        <v>IC-Property</v>
      </c>
      <c r="D47" t="str">
        <f>_xlfn.XLOOKUP(CF_Gen_1[[#This Row],[ICG]],ICG[ICG],ICG[Contract])</f>
        <v>IC</v>
      </c>
      <c r="E47" s="2">
        <f t="shared" si="2"/>
        <v>45930</v>
      </c>
      <c r="F47">
        <v>46</v>
      </c>
      <c r="G47" s="2">
        <f>EOMONTH(DATE(YEAR(CF_Gen_1[[#This Row],[Valuation]])-1,12,31),CF_Gen_1[[#This Row],['#Incurred]]*3)</f>
        <v>49856</v>
      </c>
      <c r="H47" s="14">
        <f>SUMIFS(Expected_CF[Expected_Premium],Expected_CF[ICG],CF_Gen_1[[#This Row],[ICG]],Expected_CF[Incurred],CF_Gen_1[[#This Row],[Incurred]])</f>
        <v>0</v>
      </c>
      <c r="I47" s="14">
        <f>SUMIFS(Expected_CF[Expected_Commission],Expected_CF[ICG],CF_Gen_1[[#This Row],[ICG]],Expected_CF[Incurred],CF_Gen_1[[#This Row],[Incurred]])</f>
        <v>0</v>
      </c>
      <c r="J47" s="14">
        <f>IF(CF_Gen_1[[#This Row],[Contract]]="IC",SUMIFS(Expected_CF[Expected_Acquisition],Expected_CF[ICG],CF_Gen_1[[#This Row],[ICG]],Expected_CF[Incurred],CF_Gen_1[[#This Row],[Incurred]]),0)</f>
        <v>0</v>
      </c>
      <c r="K47" s="14">
        <f>SUMIFS(Earned[Earned_Premium],Earned[ICG],CF_Gen_1[[#This Row],[ICG]],Earned[Incurred],CF_Gen_1[[#This Row],[Incurred]])</f>
        <v>1449584049.7936983</v>
      </c>
      <c r="L47" s="14">
        <f>SUMIFS(Earned[Earned_Commission],Earned[ICG],CF_Gen_1[[#This Row],[ICG]],Earned[Incurred],CF_Gen_1[[#This Row],[Incurred]])</f>
        <v>-441730535.5569371</v>
      </c>
      <c r="M47" s="18">
        <f>_xlfn.XLOOKUP(CF_Gen_1[[#This Row],[ICG]],Assumptions[ICG],Assumptions[Loss_Ratio])</f>
        <v>0.4</v>
      </c>
      <c r="N47" s="18">
        <f>_xlfn.XLOOKUP(CF_Gen_1[[#This Row],[ICG]],Assumptions[ICG],Assumptions[Risk_Adjustment_Ratio])</f>
        <v>0.14000000000000001</v>
      </c>
      <c r="O47" s="18">
        <f>_xlfn.XLOOKUP(CF_Gen_1[[#This Row],[ICG]],Assumptions[ICG],Assumptions[PME_Ratio])</f>
        <v>4.4999999999999998E-2</v>
      </c>
      <c r="P47" s="18">
        <f>_xlfn.XLOOKUP(CF_Gen_1[[#This Row],[ICG]],Assumptions[ICG],Assumptions[ULAE_Ratio])</f>
        <v>0.11</v>
      </c>
      <c r="Q47" s="18">
        <f>_xlfn.XLOOKUP(CF_Gen_1[[#This Row],[ICG]],Assumptions[ICG],Assumptions[Cancellation_Ratio])</f>
        <v>7.0000000000000007E-2</v>
      </c>
      <c r="R47" s="18">
        <f>_xlfn.XLOOKUP(CF_Gen_1[[#This Row],[ICG]],Assumptions[ICG],Assumptions[Premium_Refund_Ratio])</f>
        <v>0.5</v>
      </c>
      <c r="S47" s="18">
        <f>IF(CF_Gen_1[[#This Row],[Contract]]="RC",_xlfn.XLOOKUP(CF_Gen_1[[#This Row],[ICG]],Assumptions[ICG],Assumptions[NPR_Ratio]),0)</f>
        <v>0</v>
      </c>
      <c r="T47" s="17">
        <f>T46*(1-CF_Gen_1[[#This Row],[Cancellation_Ratio]])</f>
        <v>3.8170925048082067E-2</v>
      </c>
      <c r="U47" s="19">
        <f>IF(CF_Gen_1[[#This Row],[Incurred]]&lt;=CF_Gen_1[[#This Row],[Valuation]],CF_Gen_1[[#This Row],[Expected_Premium]],-CF_Gen_1[[#This Row],[Probability_of_Inforce]]*CF_Gen_1[[#This Row],[Premium_Refund_Ratio]]*CF_Gen_1[[#This Row],[Cancellation_Ratio]]*SUM(K47:K$105))</f>
        <v>-47956270.342226975</v>
      </c>
      <c r="V4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Row],[Cancellation_Ratio]]*SUM(L47:L$105))</f>
        <v>14049239.597777581</v>
      </c>
      <c r="W47" s="19">
        <f>CF_Gen_1[[#This Row],[Expected_Acquisition]]</f>
        <v>0</v>
      </c>
      <c r="X47" s="19">
        <f>-CF_Gen_1[[#This Row],[Probability_of_Inforce]]*CF_Gen_1[[#This Row],[Earned_Premium]]*(1-CF_Gen_1[[#This Row],[Cancellation_Ratio]])*CF_Gen_1[[#This Row],[PME_Ratio]]+CF_Gen_1[[#This Row],[ULAE_Ratio]]*CF_Gen_1[[#This Row],[Exp_Claim]]</f>
        <v>-4579826.669845772</v>
      </c>
      <c r="Y47" s="19">
        <f>-CF_Gen_1[[#This Row],[Probability_of_Inforce]]*CF_Gen_1[[#This Row],[Earned_Premium]]*(1-CF_Gen_1[[#This Row],[Cancellation_Ratio]])*CF_Gen_1[[#This Row],[Loss_Ratio]]</f>
        <v>-20583490.650992233</v>
      </c>
      <c r="Z47" s="19">
        <f>CF_Gen_1[[#This Row],[Exp_Claim]]*CF_Gen_1[[#This Row],[Risk_Adjustment_Ratio]]</f>
        <v>-2881688.6911389129</v>
      </c>
      <c r="AA47" s="19">
        <f>IF(CF_Gen_1[[#This Row],[Contract]]="RC",-CF_Gen_1[[#This Row],[NPR_Ratio]]*CF_Gen_1[[#This Row],[Exp_Claim]],0)</f>
        <v>0</v>
      </c>
      <c r="AB47" s="19">
        <f>SUMIFS(Actual_CF[Actual_Premium],Actual_CF[ICG],CF_Gen_1[[#This Row],[ICG]],Actual_CF[Incurred],CF_Gen_1[[#This Row],[Incurred]])</f>
        <v>0</v>
      </c>
      <c r="AC47" s="19">
        <f>SUMIFS(Actual_CF[Actual_Commission],Actual_CF[ICG],CF_Gen_1[[#This Row],[ICG]],Actual_CF[Incurred],CF_Gen_1[[#This Row],[Incurred]])</f>
        <v>0</v>
      </c>
      <c r="AD47" s="19">
        <f>SUMIFS(Actual_CF[Actual_Acquisition],Actual_CF[ICG],CF_Gen_1[[#This Row],[ICG]],Actual_CF[Incurred],CF_Gen_1[[#This Row],[Incurred]])</f>
        <v>0</v>
      </c>
    </row>
    <row r="48" spans="1:30">
      <c r="A48" t="str">
        <f t="shared" si="1"/>
        <v>#2024#IC-Property</v>
      </c>
      <c r="B48">
        <f>_xlfn.XLOOKUP(CF_Gen_1[[#This Row],[ICG]],ICG[ICG],ICG[Cohort])</f>
        <v>2024</v>
      </c>
      <c r="C48" t="str">
        <f>_xlfn.XLOOKUP(CF_Gen_1[[#This Row],[ICG]],ICG[ICG],ICG[Portfolio])</f>
        <v>IC-Property</v>
      </c>
      <c r="D48" t="str">
        <f>_xlfn.XLOOKUP(CF_Gen_1[[#This Row],[ICG]],ICG[ICG],ICG[Contract])</f>
        <v>IC</v>
      </c>
      <c r="E48" s="2">
        <f t="shared" si="2"/>
        <v>45930</v>
      </c>
      <c r="F48">
        <v>47</v>
      </c>
      <c r="G48" s="2">
        <f>EOMONTH(DATE(YEAR(CF_Gen_1[[#This Row],[Valuation]])-1,12,31),CF_Gen_1[[#This Row],['#Incurred]]*3)</f>
        <v>49948</v>
      </c>
      <c r="H48" s="14">
        <f>SUMIFS(Expected_CF[Expected_Premium],Expected_CF[ICG],CF_Gen_1[[#This Row],[ICG]],Expected_CF[Incurred],CF_Gen_1[[#This Row],[Incurred]])</f>
        <v>0</v>
      </c>
      <c r="I48" s="14">
        <f>SUMIFS(Expected_CF[Expected_Commission],Expected_CF[ICG],CF_Gen_1[[#This Row],[ICG]],Expected_CF[Incurred],CF_Gen_1[[#This Row],[Incurred]])</f>
        <v>0</v>
      </c>
      <c r="J48" s="14">
        <f>IF(CF_Gen_1[[#This Row],[Contract]]="IC",SUMIFS(Expected_CF[Expected_Acquisition],Expected_CF[ICG],CF_Gen_1[[#This Row],[ICG]],Expected_CF[Incurred],CF_Gen_1[[#This Row],[Incurred]]),0)</f>
        <v>0</v>
      </c>
      <c r="K48" s="14">
        <f>SUMIFS(Earned[Earned_Premium],Earned[ICG],CF_Gen_1[[#This Row],[ICG]],Earned[Incurred],CF_Gen_1[[#This Row],[Incurred]])</f>
        <v>1419695718.8701172</v>
      </c>
      <c r="L48" s="14">
        <f>SUMIFS(Earned[Earned_Commission],Earned[ICG],CF_Gen_1[[#This Row],[ICG]],Earned[Incurred],CF_Gen_1[[#This Row],[Incurred]])</f>
        <v>-432230954.14711046</v>
      </c>
      <c r="M48" s="18">
        <f>_xlfn.XLOOKUP(CF_Gen_1[[#This Row],[ICG]],Assumptions[ICG],Assumptions[Loss_Ratio])</f>
        <v>0.4</v>
      </c>
      <c r="N48" s="18">
        <f>_xlfn.XLOOKUP(CF_Gen_1[[#This Row],[ICG]],Assumptions[ICG],Assumptions[Risk_Adjustment_Ratio])</f>
        <v>0.14000000000000001</v>
      </c>
      <c r="O48" s="18">
        <f>_xlfn.XLOOKUP(CF_Gen_1[[#This Row],[ICG]],Assumptions[ICG],Assumptions[PME_Ratio])</f>
        <v>4.4999999999999998E-2</v>
      </c>
      <c r="P48" s="18">
        <f>_xlfn.XLOOKUP(CF_Gen_1[[#This Row],[ICG]],Assumptions[ICG],Assumptions[ULAE_Ratio])</f>
        <v>0.11</v>
      </c>
      <c r="Q48" s="18">
        <f>_xlfn.XLOOKUP(CF_Gen_1[[#This Row],[ICG]],Assumptions[ICG],Assumptions[Cancellation_Ratio])</f>
        <v>7.0000000000000007E-2</v>
      </c>
      <c r="R48" s="18">
        <f>_xlfn.XLOOKUP(CF_Gen_1[[#This Row],[ICG]],Assumptions[ICG],Assumptions[Premium_Refund_Ratio])</f>
        <v>0.5</v>
      </c>
      <c r="S48" s="18">
        <f>IF(CF_Gen_1[[#This Row],[Contract]]="RC",_xlfn.XLOOKUP(CF_Gen_1[[#This Row],[ICG]],Assumptions[ICG],Assumptions[NPR_Ratio]),0)</f>
        <v>0</v>
      </c>
      <c r="T48" s="17">
        <f>T47*(1-CF_Gen_1[[#This Row],[Cancellation_Ratio]])</f>
        <v>3.5498960294716324E-2</v>
      </c>
      <c r="U48" s="19">
        <f>IF(CF_Gen_1[[#This Row],[Incurred]]&lt;=CF_Gen_1[[#This Row],[Valuation]],CF_Gen_1[[#This Row],[Expected_Premium]],-CF_Gen_1[[#This Row],[Probability_of_Inforce]]*CF_Gen_1[[#This Row],[Premium_Refund_Ratio]]*CF_Gen_1[[#This Row],[Cancellation_Ratio]]*SUM(K48:K$105))</f>
        <v>-42798275.98630929</v>
      </c>
      <c r="V4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Row],[Cancellation_Ratio]]*SUM(L48:L$105))</f>
        <v>12516958.709938668</v>
      </c>
      <c r="W48" s="19">
        <f>CF_Gen_1[[#This Row],[Expected_Acquisition]]</f>
        <v>0</v>
      </c>
      <c r="X48" s="19">
        <f>-CF_Gen_1[[#This Row],[Probability_of_Inforce]]*CF_Gen_1[[#This Row],[Earned_Premium]]*(1-CF_Gen_1[[#This Row],[Cancellation_Ratio]])*CF_Gen_1[[#This Row],[PME_Ratio]]+CF_Gen_1[[#This Row],[ULAE_Ratio]]*CF_Gen_1[[#This Row],[Exp_Claim]]</f>
        <v>-4171419.446194578</v>
      </c>
      <c r="Y48" s="19">
        <f>-CF_Gen_1[[#This Row],[Probability_of_Inforce]]*CF_Gen_1[[#This Row],[Earned_Premium]]*(1-CF_Gen_1[[#This Row],[Cancellation_Ratio]])*CF_Gen_1[[#This Row],[Loss_Ratio]]</f>
        <v>-18747952.567166641</v>
      </c>
      <c r="Z48" s="19">
        <f>CF_Gen_1[[#This Row],[Exp_Claim]]*CF_Gen_1[[#This Row],[Risk_Adjustment_Ratio]]</f>
        <v>-2624713.3594033299</v>
      </c>
      <c r="AA48" s="19">
        <f>IF(CF_Gen_1[[#This Row],[Contract]]="RC",-CF_Gen_1[[#This Row],[NPR_Ratio]]*CF_Gen_1[[#This Row],[Exp_Claim]],0)</f>
        <v>0</v>
      </c>
      <c r="AB48" s="19">
        <f>SUMIFS(Actual_CF[Actual_Premium],Actual_CF[ICG],CF_Gen_1[[#This Row],[ICG]],Actual_CF[Incurred],CF_Gen_1[[#This Row],[Incurred]])</f>
        <v>0</v>
      </c>
      <c r="AC48" s="19">
        <f>SUMIFS(Actual_CF[Actual_Commission],Actual_CF[ICG],CF_Gen_1[[#This Row],[ICG]],Actual_CF[Incurred],CF_Gen_1[[#This Row],[Incurred]])</f>
        <v>0</v>
      </c>
      <c r="AD48" s="19">
        <f>SUMIFS(Actual_CF[Actual_Acquisition],Actual_CF[ICG],CF_Gen_1[[#This Row],[ICG]],Actual_CF[Incurred],CF_Gen_1[[#This Row],[Incurred]])</f>
        <v>0</v>
      </c>
    </row>
    <row r="49" spans="1:30">
      <c r="A49" t="str">
        <f t="shared" si="1"/>
        <v>#2024#IC-Property</v>
      </c>
      <c r="B49">
        <f>_xlfn.XLOOKUP(CF_Gen_1[[#This Row],[ICG]],ICG[ICG],ICG[Cohort])</f>
        <v>2024</v>
      </c>
      <c r="C49" t="str">
        <f>_xlfn.XLOOKUP(CF_Gen_1[[#This Row],[ICG]],ICG[ICG],ICG[Portfolio])</f>
        <v>IC-Property</v>
      </c>
      <c r="D49" t="str">
        <f>_xlfn.XLOOKUP(CF_Gen_1[[#This Row],[ICG]],ICG[ICG],ICG[Contract])</f>
        <v>IC</v>
      </c>
      <c r="E49" s="2">
        <f t="shared" si="2"/>
        <v>45930</v>
      </c>
      <c r="F49">
        <v>48</v>
      </c>
      <c r="G49" s="2">
        <f>EOMONTH(DATE(YEAR(CF_Gen_1[[#This Row],[Valuation]])-1,12,31),CF_Gen_1[[#This Row],['#Incurred]]*3)</f>
        <v>50040</v>
      </c>
      <c r="H49" s="14">
        <f>SUMIFS(Expected_CF[Expected_Premium],Expected_CF[ICG],CF_Gen_1[[#This Row],[ICG]],Expected_CF[Incurred],CF_Gen_1[[#This Row],[Incurred]])</f>
        <v>0</v>
      </c>
      <c r="I49" s="14">
        <f>SUMIFS(Expected_CF[Expected_Commission],Expected_CF[ICG],CF_Gen_1[[#This Row],[ICG]],Expected_CF[Incurred],CF_Gen_1[[#This Row],[Incurred]])</f>
        <v>0</v>
      </c>
      <c r="J49" s="14">
        <f>IF(CF_Gen_1[[#This Row],[Contract]]="IC",SUMIFS(Expected_CF[Expected_Acquisition],Expected_CF[ICG],CF_Gen_1[[#This Row],[ICG]],Expected_CF[Incurred],CF_Gen_1[[#This Row],[Incurred]]),0)</f>
        <v>0</v>
      </c>
      <c r="K49" s="14">
        <f>SUMIFS(Earned[Earned_Premium],Earned[ICG],CF_Gen_1[[#This Row],[ICG]],Earned[Incurred],CF_Gen_1[[#This Row],[Incurred]])</f>
        <v>1389807387.9465358</v>
      </c>
      <c r="L49" s="14">
        <f>SUMIFS(Earned[Earned_Commission],Earned[ICG],CF_Gen_1[[#This Row],[ICG]],Earned[Incurred],CF_Gen_1[[#This Row],[Incurred]])</f>
        <v>-422731372.73728389</v>
      </c>
      <c r="M49" s="18">
        <f>_xlfn.XLOOKUP(CF_Gen_1[[#This Row],[ICG]],Assumptions[ICG],Assumptions[Loss_Ratio])</f>
        <v>0.4</v>
      </c>
      <c r="N49" s="18">
        <f>_xlfn.XLOOKUP(CF_Gen_1[[#This Row],[ICG]],Assumptions[ICG],Assumptions[Risk_Adjustment_Ratio])</f>
        <v>0.14000000000000001</v>
      </c>
      <c r="O49" s="18">
        <f>_xlfn.XLOOKUP(CF_Gen_1[[#This Row],[ICG]],Assumptions[ICG],Assumptions[PME_Ratio])</f>
        <v>4.4999999999999998E-2</v>
      </c>
      <c r="P49" s="18">
        <f>_xlfn.XLOOKUP(CF_Gen_1[[#This Row],[ICG]],Assumptions[ICG],Assumptions[ULAE_Ratio])</f>
        <v>0.11</v>
      </c>
      <c r="Q49" s="18">
        <f>_xlfn.XLOOKUP(CF_Gen_1[[#This Row],[ICG]],Assumptions[ICG],Assumptions[Cancellation_Ratio])</f>
        <v>7.0000000000000007E-2</v>
      </c>
      <c r="R49" s="18">
        <f>_xlfn.XLOOKUP(CF_Gen_1[[#This Row],[ICG]],Assumptions[ICG],Assumptions[Premium_Refund_Ratio])</f>
        <v>0.5</v>
      </c>
      <c r="S49" s="18">
        <f>IF(CF_Gen_1[[#This Row],[Contract]]="RC",_xlfn.XLOOKUP(CF_Gen_1[[#This Row],[ICG]],Assumptions[ICG],Assumptions[NPR_Ratio]),0)</f>
        <v>0</v>
      </c>
      <c r="T49" s="17">
        <f>T48*(1-CF_Gen_1[[#This Row],[Cancellation_Ratio]])</f>
        <v>3.301403307408618E-2</v>
      </c>
      <c r="U49" s="19">
        <f>IF(CF_Gen_1[[#This Row],[Incurred]]&lt;=CF_Gen_1[[#This Row],[Valuation]],CF_Gen_1[[#This Row],[Expected_Premium]],-CF_Gen_1[[#This Row],[Probability_of_Inforce]]*CF_Gen_1[[#This Row],[Premium_Refund_Ratio]]*CF_Gen_1[[#This Row],[Cancellation_Ratio]]*SUM(K49:K$105))</f>
        <v>-38161950.817640543</v>
      </c>
      <c r="V4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Row],[Cancellation_Ratio]]*SUM(L49:L$105))</f>
        <v>11141332.554687981</v>
      </c>
      <c r="W49" s="19">
        <f>CF_Gen_1[[#This Row],[Expected_Acquisition]]</f>
        <v>0</v>
      </c>
      <c r="X49" s="19">
        <f>-CF_Gen_1[[#This Row],[Probability_of_Inforce]]*CF_Gen_1[[#This Row],[Earned_Premium]]*(1-CF_Gen_1[[#This Row],[Cancellation_Ratio]])*CF_Gen_1[[#This Row],[PME_Ratio]]+CF_Gen_1[[#This Row],[ULAE_Ratio]]*CF_Gen_1[[#This Row],[Exp_Claim]]</f>
        <v>-3797748.0831723055</v>
      </c>
      <c r="Y49" s="19">
        <f>-CF_Gen_1[[#This Row],[Probability_of_Inforce]]*CF_Gen_1[[#This Row],[Earned_Premium]]*(1-CF_Gen_1[[#This Row],[Cancellation_Ratio]])*CF_Gen_1[[#This Row],[Loss_Ratio]]</f>
        <v>-17068530.710886769</v>
      </c>
      <c r="Z49" s="19">
        <f>CF_Gen_1[[#This Row],[Exp_Claim]]*CF_Gen_1[[#This Row],[Risk_Adjustment_Ratio]]</f>
        <v>-2389594.299524148</v>
      </c>
      <c r="AA49" s="19">
        <f>IF(CF_Gen_1[[#This Row],[Contract]]="RC",-CF_Gen_1[[#This Row],[NPR_Ratio]]*CF_Gen_1[[#This Row],[Exp_Claim]],0)</f>
        <v>0</v>
      </c>
      <c r="AB49" s="19">
        <f>SUMIFS(Actual_CF[Actual_Premium],Actual_CF[ICG],CF_Gen_1[[#This Row],[ICG]],Actual_CF[Incurred],CF_Gen_1[[#This Row],[Incurred]])</f>
        <v>0</v>
      </c>
      <c r="AC49" s="19">
        <f>SUMIFS(Actual_CF[Actual_Commission],Actual_CF[ICG],CF_Gen_1[[#This Row],[ICG]],Actual_CF[Incurred],CF_Gen_1[[#This Row],[Incurred]])</f>
        <v>0</v>
      </c>
      <c r="AD49" s="19">
        <f>SUMIFS(Actual_CF[Actual_Acquisition],Actual_CF[ICG],CF_Gen_1[[#This Row],[ICG]],Actual_CF[Incurred],CF_Gen_1[[#This Row],[Incurred]])</f>
        <v>0</v>
      </c>
    </row>
    <row r="50" spans="1:30">
      <c r="A50" t="str">
        <f t="shared" si="1"/>
        <v>#2024#IC-Property</v>
      </c>
      <c r="B50">
        <f>_xlfn.XLOOKUP(CF_Gen_1[[#This Row],[ICG]],ICG[ICG],ICG[Cohort])</f>
        <v>2024</v>
      </c>
      <c r="C50" t="str">
        <f>_xlfn.XLOOKUP(CF_Gen_1[[#This Row],[ICG]],ICG[ICG],ICG[Portfolio])</f>
        <v>IC-Property</v>
      </c>
      <c r="D50" t="str">
        <f>_xlfn.XLOOKUP(CF_Gen_1[[#This Row],[ICG]],ICG[ICG],ICG[Contract])</f>
        <v>IC</v>
      </c>
      <c r="E50" s="2">
        <f t="shared" si="2"/>
        <v>45930</v>
      </c>
      <c r="F50">
        <v>49</v>
      </c>
      <c r="G50" s="2">
        <f>EOMONTH(DATE(YEAR(CF_Gen_1[[#This Row],[Valuation]])-1,12,31),CF_Gen_1[[#This Row],['#Incurred]]*3)</f>
        <v>50130</v>
      </c>
      <c r="H50" s="14">
        <f>SUMIFS(Expected_CF[Expected_Premium],Expected_CF[ICG],CF_Gen_1[[#This Row],[ICG]],Expected_CF[Incurred],CF_Gen_1[[#This Row],[Incurred]])</f>
        <v>0</v>
      </c>
      <c r="I50" s="14">
        <f>SUMIFS(Expected_CF[Expected_Commission],Expected_CF[ICG],CF_Gen_1[[#This Row],[ICG]],Expected_CF[Incurred],CF_Gen_1[[#This Row],[Incurred]])</f>
        <v>0</v>
      </c>
      <c r="J50" s="14">
        <f>IF(CF_Gen_1[[#This Row],[Contract]]="IC",SUMIFS(Expected_CF[Expected_Acquisition],Expected_CF[ICG],CF_Gen_1[[#This Row],[ICG]],Expected_CF[Incurred],CF_Gen_1[[#This Row],[Incurred]]),0)</f>
        <v>0</v>
      </c>
      <c r="K50" s="14">
        <f>SUMIFS(Earned[Earned_Premium],Earned[ICG],CF_Gen_1[[#This Row],[ICG]],Earned[Incurred],CF_Gen_1[[#This Row],[Incurred]])</f>
        <v>1359919057.0229545</v>
      </c>
      <c r="L50" s="14">
        <f>SUMIFS(Earned[Earned_Commission],Earned[ICG],CF_Gen_1[[#This Row],[ICG]],Earned[Incurred],CF_Gen_1[[#This Row],[Incurred]])</f>
        <v>-413231791.32745731</v>
      </c>
      <c r="M50" s="18">
        <f>_xlfn.XLOOKUP(CF_Gen_1[[#This Row],[ICG]],Assumptions[ICG],Assumptions[Loss_Ratio])</f>
        <v>0.4</v>
      </c>
      <c r="N50" s="18">
        <f>_xlfn.XLOOKUP(CF_Gen_1[[#This Row],[ICG]],Assumptions[ICG],Assumptions[Risk_Adjustment_Ratio])</f>
        <v>0.14000000000000001</v>
      </c>
      <c r="O50" s="18">
        <f>_xlfn.XLOOKUP(CF_Gen_1[[#This Row],[ICG]],Assumptions[ICG],Assumptions[PME_Ratio])</f>
        <v>4.4999999999999998E-2</v>
      </c>
      <c r="P50" s="18">
        <f>_xlfn.XLOOKUP(CF_Gen_1[[#This Row],[ICG]],Assumptions[ICG],Assumptions[ULAE_Ratio])</f>
        <v>0.11</v>
      </c>
      <c r="Q50" s="18">
        <f>_xlfn.XLOOKUP(CF_Gen_1[[#This Row],[ICG]],Assumptions[ICG],Assumptions[Cancellation_Ratio])</f>
        <v>7.0000000000000007E-2</v>
      </c>
      <c r="R50" s="18">
        <f>_xlfn.XLOOKUP(CF_Gen_1[[#This Row],[ICG]],Assumptions[ICG],Assumptions[Premium_Refund_Ratio])</f>
        <v>0.5</v>
      </c>
      <c r="S50" s="18">
        <f>IF(CF_Gen_1[[#This Row],[Contract]]="RC",_xlfn.XLOOKUP(CF_Gen_1[[#This Row],[ICG]],Assumptions[ICG],Assumptions[NPR_Ratio]),0)</f>
        <v>0</v>
      </c>
      <c r="T50" s="17">
        <f>T49*(1-CF_Gen_1[[#This Row],[Cancellation_Ratio]])</f>
        <v>3.0703050758900147E-2</v>
      </c>
      <c r="U50" s="19">
        <f>IF(CF_Gen_1[[#This Row],[Incurred]]&lt;=CF_Gen_1[[#This Row],[Valuation]],CF_Gen_1[[#This Row],[Expected_Premium]],-CF_Gen_1[[#This Row],[Probability_of_Inforce]]*CF_Gen_1[[#This Row],[Premium_Refund_Ratio]]*CF_Gen_1[[#This Row],[Cancellation_Ratio]]*SUM(K50:K$105))</f>
        <v>-33997117.823203117</v>
      </c>
      <c r="V5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Row],[Cancellation_Ratio]]*SUM(L50:L$105))</f>
        <v>9907169.2780511901</v>
      </c>
      <c r="W50" s="19">
        <f>CF_Gen_1[[#This Row],[Expected_Acquisition]]</f>
        <v>0</v>
      </c>
      <c r="X50" s="19">
        <f>-CF_Gen_1[[#This Row],[Probability_of_Inforce]]*CF_Gen_1[[#This Row],[Earned_Premium]]*(1-CF_Gen_1[[#This Row],[Cancellation_Ratio]])*CF_Gen_1[[#This Row],[PME_Ratio]]+CF_Gen_1[[#This Row],[ULAE_Ratio]]*CF_Gen_1[[#This Row],[Exp_Claim]]</f>
        <v>-3455950.7556867986</v>
      </c>
      <c r="Y50" s="19">
        <f>-CF_Gen_1[[#This Row],[Probability_of_Inforce]]*CF_Gen_1[[#This Row],[Earned_Premium]]*(1-CF_Gen_1[[#This Row],[Cancellation_Ratio]])*CF_Gen_1[[#This Row],[Loss_Ratio]]</f>
        <v>-15532362.946906962</v>
      </c>
      <c r="Z50" s="19">
        <f>CF_Gen_1[[#This Row],[Exp_Claim]]*CF_Gen_1[[#This Row],[Risk_Adjustment_Ratio]]</f>
        <v>-2174530.8125669747</v>
      </c>
      <c r="AA50" s="19">
        <f>IF(CF_Gen_1[[#This Row],[Contract]]="RC",-CF_Gen_1[[#This Row],[NPR_Ratio]]*CF_Gen_1[[#This Row],[Exp_Claim]],0)</f>
        <v>0</v>
      </c>
      <c r="AB50" s="19">
        <f>SUMIFS(Actual_CF[Actual_Premium],Actual_CF[ICG],CF_Gen_1[[#This Row],[ICG]],Actual_CF[Incurred],CF_Gen_1[[#This Row],[Incurred]])</f>
        <v>0</v>
      </c>
      <c r="AC50" s="19">
        <f>SUMIFS(Actual_CF[Actual_Commission],Actual_CF[ICG],CF_Gen_1[[#This Row],[ICG]],Actual_CF[Incurred],CF_Gen_1[[#This Row],[Incurred]])</f>
        <v>0</v>
      </c>
      <c r="AD50" s="19">
        <f>SUMIFS(Actual_CF[Actual_Acquisition],Actual_CF[ICG],CF_Gen_1[[#This Row],[ICG]],Actual_CF[Incurred],CF_Gen_1[[#This Row],[Incurred]])</f>
        <v>0</v>
      </c>
    </row>
    <row r="51" spans="1:30">
      <c r="A51" t="str">
        <f t="shared" si="1"/>
        <v>#2024#IC-Property</v>
      </c>
      <c r="B51">
        <f>_xlfn.XLOOKUP(CF_Gen_1[[#This Row],[ICG]],ICG[ICG],ICG[Cohort])</f>
        <v>2024</v>
      </c>
      <c r="C51" t="str">
        <f>_xlfn.XLOOKUP(CF_Gen_1[[#This Row],[ICG]],ICG[ICG],ICG[Portfolio])</f>
        <v>IC-Property</v>
      </c>
      <c r="D51" t="str">
        <f>_xlfn.XLOOKUP(CF_Gen_1[[#This Row],[ICG]],ICG[ICG],ICG[Contract])</f>
        <v>IC</v>
      </c>
      <c r="E51" s="2">
        <f t="shared" si="2"/>
        <v>45930</v>
      </c>
      <c r="F51">
        <v>50</v>
      </c>
      <c r="G51" s="2">
        <f>EOMONTH(DATE(YEAR(CF_Gen_1[[#This Row],[Valuation]])-1,12,31),CF_Gen_1[[#This Row],['#Incurred]]*3)</f>
        <v>50221</v>
      </c>
      <c r="H51" s="14">
        <f>SUMIFS(Expected_CF[Expected_Premium],Expected_CF[ICG],CF_Gen_1[[#This Row],[ICG]],Expected_CF[Incurred],CF_Gen_1[[#This Row],[Incurred]])</f>
        <v>0</v>
      </c>
      <c r="I51" s="14">
        <f>SUMIFS(Expected_CF[Expected_Commission],Expected_CF[ICG],CF_Gen_1[[#This Row],[ICG]],Expected_CF[Incurred],CF_Gen_1[[#This Row],[Incurred]])</f>
        <v>0</v>
      </c>
      <c r="J51" s="14">
        <f>IF(CF_Gen_1[[#This Row],[Contract]]="IC",SUMIFS(Expected_CF[Expected_Acquisition],Expected_CF[ICG],CF_Gen_1[[#This Row],[ICG]],Expected_CF[Incurred],CF_Gen_1[[#This Row],[Incurred]]),0)</f>
        <v>0</v>
      </c>
      <c r="K51" s="14">
        <f>SUMIFS(Earned[Earned_Premium],Earned[ICG],CF_Gen_1[[#This Row],[ICG]],Earned[Incurred],CF_Gen_1[[#This Row],[Incurred]])</f>
        <v>1330030726.0993731</v>
      </c>
      <c r="L51" s="14">
        <f>SUMIFS(Earned[Earned_Commission],Earned[ICG],CF_Gen_1[[#This Row],[ICG]],Earned[Incurred],CF_Gen_1[[#This Row],[Incurred]])</f>
        <v>-403732209.91763067</v>
      </c>
      <c r="M51" s="18">
        <f>_xlfn.XLOOKUP(CF_Gen_1[[#This Row],[ICG]],Assumptions[ICG],Assumptions[Loss_Ratio])</f>
        <v>0.4</v>
      </c>
      <c r="N51" s="18">
        <f>_xlfn.XLOOKUP(CF_Gen_1[[#This Row],[ICG]],Assumptions[ICG],Assumptions[Risk_Adjustment_Ratio])</f>
        <v>0.14000000000000001</v>
      </c>
      <c r="O51" s="18">
        <f>_xlfn.XLOOKUP(CF_Gen_1[[#This Row],[ICG]],Assumptions[ICG],Assumptions[PME_Ratio])</f>
        <v>4.4999999999999998E-2</v>
      </c>
      <c r="P51" s="18">
        <f>_xlfn.XLOOKUP(CF_Gen_1[[#This Row],[ICG]],Assumptions[ICG],Assumptions[ULAE_Ratio])</f>
        <v>0.11</v>
      </c>
      <c r="Q51" s="18">
        <f>_xlfn.XLOOKUP(CF_Gen_1[[#This Row],[ICG]],Assumptions[ICG],Assumptions[Cancellation_Ratio])</f>
        <v>7.0000000000000007E-2</v>
      </c>
      <c r="R51" s="18">
        <f>_xlfn.XLOOKUP(CF_Gen_1[[#This Row],[ICG]],Assumptions[ICG],Assumptions[Premium_Refund_Ratio])</f>
        <v>0.5</v>
      </c>
      <c r="S51" s="18">
        <f>IF(CF_Gen_1[[#This Row],[Contract]]="RC",_xlfn.XLOOKUP(CF_Gen_1[[#This Row],[ICG]],Assumptions[ICG],Assumptions[NPR_Ratio]),0)</f>
        <v>0</v>
      </c>
      <c r="T51" s="17">
        <f>T50*(1-CF_Gen_1[[#This Row],[Cancellation_Ratio]])</f>
        <v>2.8553837205777133E-2</v>
      </c>
      <c r="U51" s="19">
        <f>IF(CF_Gen_1[[#This Row],[Incurred]]&lt;=CF_Gen_1[[#This Row],[Valuation]],CF_Gen_1[[#This Row],[Expected_Premium]],-CF_Gen_1[[#This Row],[Probability_of_Inforce]]*CF_Gen_1[[#This Row],[Premium_Refund_Ratio]]*CF_Gen_1[[#This Row],[Cancellation_Ratio]]*SUM(K51:K$105))</f>
        <v>-30258237.817724533</v>
      </c>
      <c r="V5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Row],[Cancellation_Ratio]]*SUM(L51:L$105))</f>
        <v>8800690.0631640516</v>
      </c>
      <c r="W51" s="19">
        <f>CF_Gen_1[[#This Row],[Expected_Acquisition]]</f>
        <v>0</v>
      </c>
      <c r="X51" s="19">
        <f>-CF_Gen_1[[#This Row],[Probability_of_Inforce]]*CF_Gen_1[[#This Row],[Earned_Premium]]*(1-CF_Gen_1[[#This Row],[Cancellation_Ratio]])*CF_Gen_1[[#This Row],[PME_Ratio]]+CF_Gen_1[[#This Row],[ULAE_Ratio]]*CF_Gen_1[[#This Row],[Exp_Claim]]</f>
        <v>-3143396.088441717</v>
      </c>
      <c r="Y51" s="19">
        <f>-CF_Gen_1[[#This Row],[Probability_of_Inforce]]*CF_Gen_1[[#This Row],[Earned_Premium]]*(1-CF_Gen_1[[#This Row],[Cancellation_Ratio]])*CF_Gen_1[[#This Row],[Loss_Ratio]]</f>
        <v>-14127622.869400976</v>
      </c>
      <c r="Z51" s="19">
        <f>CF_Gen_1[[#This Row],[Exp_Claim]]*CF_Gen_1[[#This Row],[Risk_Adjustment_Ratio]]</f>
        <v>-1977867.2017161369</v>
      </c>
      <c r="AA51" s="19">
        <f>IF(CF_Gen_1[[#This Row],[Contract]]="RC",-CF_Gen_1[[#This Row],[NPR_Ratio]]*CF_Gen_1[[#This Row],[Exp_Claim]],0)</f>
        <v>0</v>
      </c>
      <c r="AB51" s="19">
        <f>SUMIFS(Actual_CF[Actual_Premium],Actual_CF[ICG],CF_Gen_1[[#This Row],[ICG]],Actual_CF[Incurred],CF_Gen_1[[#This Row],[Incurred]])</f>
        <v>0</v>
      </c>
      <c r="AC51" s="19">
        <f>SUMIFS(Actual_CF[Actual_Commission],Actual_CF[ICG],CF_Gen_1[[#This Row],[ICG]],Actual_CF[Incurred],CF_Gen_1[[#This Row],[Incurred]])</f>
        <v>0</v>
      </c>
      <c r="AD51" s="19">
        <f>SUMIFS(Actual_CF[Actual_Acquisition],Actual_CF[ICG],CF_Gen_1[[#This Row],[ICG]],Actual_CF[Incurred],CF_Gen_1[[#This Row],[Incurred]])</f>
        <v>0</v>
      </c>
    </row>
    <row r="52" spans="1:30">
      <c r="A52" t="str">
        <f t="shared" si="1"/>
        <v>#2024#IC-Property</v>
      </c>
      <c r="B52">
        <f>_xlfn.XLOOKUP(CF_Gen_1[[#This Row],[ICG]],ICG[ICG],ICG[Cohort])</f>
        <v>2024</v>
      </c>
      <c r="C52" t="str">
        <f>_xlfn.XLOOKUP(CF_Gen_1[[#This Row],[ICG]],ICG[ICG],ICG[Portfolio])</f>
        <v>IC-Property</v>
      </c>
      <c r="D52" t="str">
        <f>_xlfn.XLOOKUP(CF_Gen_1[[#This Row],[ICG]],ICG[ICG],ICG[Contract])</f>
        <v>IC</v>
      </c>
      <c r="E52" s="2">
        <f t="shared" si="2"/>
        <v>45930</v>
      </c>
      <c r="F52">
        <v>51</v>
      </c>
      <c r="G52" s="2">
        <f>EOMONTH(DATE(YEAR(CF_Gen_1[[#This Row],[Valuation]])-1,12,31),CF_Gen_1[[#This Row],['#Incurred]]*3)</f>
        <v>50313</v>
      </c>
      <c r="H52" s="14">
        <f>SUMIFS(Expected_CF[Expected_Premium],Expected_CF[ICG],CF_Gen_1[[#This Row],[ICG]],Expected_CF[Incurred],CF_Gen_1[[#This Row],[Incurred]])</f>
        <v>0</v>
      </c>
      <c r="I52" s="14">
        <f>SUMIFS(Expected_CF[Expected_Commission],Expected_CF[ICG],CF_Gen_1[[#This Row],[ICG]],Expected_CF[Incurred],CF_Gen_1[[#This Row],[Incurred]])</f>
        <v>0</v>
      </c>
      <c r="J52" s="14">
        <f>IF(CF_Gen_1[[#This Row],[Contract]]="IC",SUMIFS(Expected_CF[Expected_Acquisition],Expected_CF[ICG],CF_Gen_1[[#This Row],[ICG]],Expected_CF[Incurred],CF_Gen_1[[#This Row],[Incurred]]),0)</f>
        <v>0</v>
      </c>
      <c r="K52" s="14">
        <f>SUMIFS(Earned[Earned_Premium],Earned[ICG],CF_Gen_1[[#This Row],[ICG]],Earned[Incurred],CF_Gen_1[[#This Row],[Incurred]])</f>
        <v>1300142395.1757917</v>
      </c>
      <c r="L52" s="14">
        <f>SUMIFS(Earned[Earned_Commission],Earned[ICG],CF_Gen_1[[#This Row],[ICG]],Earned[Incurred],CF_Gen_1[[#This Row],[Incurred]])</f>
        <v>-394232628.5078041</v>
      </c>
      <c r="M52" s="18">
        <f>_xlfn.XLOOKUP(CF_Gen_1[[#This Row],[ICG]],Assumptions[ICG],Assumptions[Loss_Ratio])</f>
        <v>0.4</v>
      </c>
      <c r="N52" s="18">
        <f>_xlfn.XLOOKUP(CF_Gen_1[[#This Row],[ICG]],Assumptions[ICG],Assumptions[Risk_Adjustment_Ratio])</f>
        <v>0.14000000000000001</v>
      </c>
      <c r="O52" s="18">
        <f>_xlfn.XLOOKUP(CF_Gen_1[[#This Row],[ICG]],Assumptions[ICG],Assumptions[PME_Ratio])</f>
        <v>4.4999999999999998E-2</v>
      </c>
      <c r="P52" s="18">
        <f>_xlfn.XLOOKUP(CF_Gen_1[[#This Row],[ICG]],Assumptions[ICG],Assumptions[ULAE_Ratio])</f>
        <v>0.11</v>
      </c>
      <c r="Q52" s="18">
        <f>_xlfn.XLOOKUP(CF_Gen_1[[#This Row],[ICG]],Assumptions[ICG],Assumptions[Cancellation_Ratio])</f>
        <v>7.0000000000000007E-2</v>
      </c>
      <c r="R52" s="18">
        <f>_xlfn.XLOOKUP(CF_Gen_1[[#This Row],[ICG]],Assumptions[ICG],Assumptions[Premium_Refund_Ratio])</f>
        <v>0.5</v>
      </c>
      <c r="S52" s="18">
        <f>IF(CF_Gen_1[[#This Row],[Contract]]="RC",_xlfn.XLOOKUP(CF_Gen_1[[#This Row],[ICG]],Assumptions[ICG],Assumptions[NPR_Ratio]),0)</f>
        <v>0</v>
      </c>
      <c r="T52" s="17">
        <f>T51*(1-CF_Gen_1[[#This Row],[Cancellation_Ratio]])</f>
        <v>2.6555068601372734E-2</v>
      </c>
      <c r="U52" s="19">
        <f>IF(CF_Gen_1[[#This Row],[Incurred]]&lt;=CF_Gen_1[[#This Row],[Valuation]],CF_Gen_1[[#This Row],[Expected_Premium]],-CF_Gen_1[[#This Row],[Probability_of_Inforce]]*CF_Gen_1[[#This Row],[Premium_Refund_Ratio]]*CF_Gen_1[[#This Row],[Cancellation_Ratio]]*SUM(K52:K$105))</f>
        <v>-26903994.169411235</v>
      </c>
      <c r="V5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Row],[Cancellation_Ratio]]*SUM(L52:L$105))</f>
        <v>7809401.9801594447</v>
      </c>
      <c r="W52" s="19">
        <f>CF_Gen_1[[#This Row],[Expected_Acquisition]]</f>
        <v>0</v>
      </c>
      <c r="X52" s="19">
        <f>-CF_Gen_1[[#This Row],[Probability_of_Inforce]]*CF_Gen_1[[#This Row],[Earned_Premium]]*(1-CF_Gen_1[[#This Row],[Cancellation_Ratio]])*CF_Gen_1[[#This Row],[PME_Ratio]]+CF_Gen_1[[#This Row],[ULAE_Ratio]]*CF_Gen_1[[#This Row],[Exp_Claim]]</f>
        <v>-2857664.9159080824</v>
      </c>
      <c r="Y52" s="19">
        <f>-CF_Gen_1[[#This Row],[Probability_of_Inforce]]*CF_Gen_1[[#This Row],[Earned_Premium]]*(1-CF_Gen_1[[#This Row],[Cancellation_Ratio]])*CF_Gen_1[[#This Row],[Loss_Ratio]]</f>
        <v>-12843437.824305989</v>
      </c>
      <c r="Z52" s="19">
        <f>CF_Gen_1[[#This Row],[Exp_Claim]]*CF_Gen_1[[#This Row],[Risk_Adjustment_Ratio]]</f>
        <v>-1798081.2954028386</v>
      </c>
      <c r="AA52" s="19">
        <f>IF(CF_Gen_1[[#This Row],[Contract]]="RC",-CF_Gen_1[[#This Row],[NPR_Ratio]]*CF_Gen_1[[#This Row],[Exp_Claim]],0)</f>
        <v>0</v>
      </c>
      <c r="AB52" s="19">
        <f>SUMIFS(Actual_CF[Actual_Premium],Actual_CF[ICG],CF_Gen_1[[#This Row],[ICG]],Actual_CF[Incurred],CF_Gen_1[[#This Row],[Incurred]])</f>
        <v>0</v>
      </c>
      <c r="AC52" s="19">
        <f>SUMIFS(Actual_CF[Actual_Commission],Actual_CF[ICG],CF_Gen_1[[#This Row],[ICG]],Actual_CF[Incurred],CF_Gen_1[[#This Row],[Incurred]])</f>
        <v>0</v>
      </c>
      <c r="AD52" s="19">
        <f>SUMIFS(Actual_CF[Actual_Acquisition],Actual_CF[ICG],CF_Gen_1[[#This Row],[ICG]],Actual_CF[Incurred],CF_Gen_1[[#This Row],[Incurred]])</f>
        <v>0</v>
      </c>
    </row>
    <row r="53" spans="1:30">
      <c r="A53" t="str">
        <f t="shared" si="1"/>
        <v>#2024#IC-Property</v>
      </c>
      <c r="B53">
        <f>_xlfn.XLOOKUP(CF_Gen_1[[#This Row],[ICG]],ICG[ICG],ICG[Cohort])</f>
        <v>2024</v>
      </c>
      <c r="C53" t="str">
        <f>_xlfn.XLOOKUP(CF_Gen_1[[#This Row],[ICG]],ICG[ICG],ICG[Portfolio])</f>
        <v>IC-Property</v>
      </c>
      <c r="D53" t="str">
        <f>_xlfn.XLOOKUP(CF_Gen_1[[#This Row],[ICG]],ICG[ICG],ICG[Contract])</f>
        <v>IC</v>
      </c>
      <c r="E53" s="2">
        <f t="shared" si="2"/>
        <v>45930</v>
      </c>
      <c r="F53">
        <v>52</v>
      </c>
      <c r="G53" s="2">
        <f>EOMONTH(DATE(YEAR(CF_Gen_1[[#This Row],[Valuation]])-1,12,31),CF_Gen_1[[#This Row],['#Incurred]]*3)</f>
        <v>50405</v>
      </c>
      <c r="H53" s="14">
        <f>SUMIFS(Expected_CF[Expected_Premium],Expected_CF[ICG],CF_Gen_1[[#This Row],[ICG]],Expected_CF[Incurred],CF_Gen_1[[#This Row],[Incurred]])</f>
        <v>0</v>
      </c>
      <c r="I53" s="14">
        <f>SUMIFS(Expected_CF[Expected_Commission],Expected_CF[ICG],CF_Gen_1[[#This Row],[ICG]],Expected_CF[Incurred],CF_Gen_1[[#This Row],[Incurred]])</f>
        <v>0</v>
      </c>
      <c r="J53" s="14">
        <f>IF(CF_Gen_1[[#This Row],[Contract]]="IC",SUMIFS(Expected_CF[Expected_Acquisition],Expected_CF[ICG],CF_Gen_1[[#This Row],[ICG]],Expected_CF[Incurred],CF_Gen_1[[#This Row],[Incurred]]),0)</f>
        <v>0</v>
      </c>
      <c r="K53" s="14">
        <f>SUMIFS(Earned[Earned_Premium],Earned[ICG],CF_Gen_1[[#This Row],[ICG]],Earned[Incurred],CF_Gen_1[[#This Row],[Incurred]])</f>
        <v>1270254064.2522104</v>
      </c>
      <c r="L53" s="14">
        <f>SUMIFS(Earned[Earned_Commission],Earned[ICG],CF_Gen_1[[#This Row],[ICG]],Earned[Incurred],CF_Gen_1[[#This Row],[Incurred]])</f>
        <v>-384733047.09797746</v>
      </c>
      <c r="M53" s="18">
        <f>_xlfn.XLOOKUP(CF_Gen_1[[#This Row],[ICG]],Assumptions[ICG],Assumptions[Loss_Ratio])</f>
        <v>0.4</v>
      </c>
      <c r="N53" s="18">
        <f>_xlfn.XLOOKUP(CF_Gen_1[[#This Row],[ICG]],Assumptions[ICG],Assumptions[Risk_Adjustment_Ratio])</f>
        <v>0.14000000000000001</v>
      </c>
      <c r="O53" s="18">
        <f>_xlfn.XLOOKUP(CF_Gen_1[[#This Row],[ICG]],Assumptions[ICG],Assumptions[PME_Ratio])</f>
        <v>4.4999999999999998E-2</v>
      </c>
      <c r="P53" s="18">
        <f>_xlfn.XLOOKUP(CF_Gen_1[[#This Row],[ICG]],Assumptions[ICG],Assumptions[ULAE_Ratio])</f>
        <v>0.11</v>
      </c>
      <c r="Q53" s="18">
        <f>_xlfn.XLOOKUP(CF_Gen_1[[#This Row],[ICG]],Assumptions[ICG],Assumptions[Cancellation_Ratio])</f>
        <v>7.0000000000000007E-2</v>
      </c>
      <c r="R53" s="18">
        <f>_xlfn.XLOOKUP(CF_Gen_1[[#This Row],[ICG]],Assumptions[ICG],Assumptions[Premium_Refund_Ratio])</f>
        <v>0.5</v>
      </c>
      <c r="S53" s="18">
        <f>IF(CF_Gen_1[[#This Row],[Contract]]="RC",_xlfn.XLOOKUP(CF_Gen_1[[#This Row],[ICG]],Assumptions[ICG],Assumptions[NPR_Ratio]),0)</f>
        <v>0</v>
      </c>
      <c r="T53" s="17">
        <f>T52*(1-CF_Gen_1[[#This Row],[Cancellation_Ratio]])</f>
        <v>2.469621379927664E-2</v>
      </c>
      <c r="U53" s="19">
        <f>IF(CF_Gen_1[[#This Row],[Incurred]]&lt;=CF_Gen_1[[#This Row],[Valuation]],CF_Gen_1[[#This Row],[Expected_Premium]],-CF_Gen_1[[#This Row],[Probability_of_Inforce]]*CF_Gen_1[[#This Row],[Premium_Refund_Ratio]]*CF_Gen_1[[#This Row],[Cancellation_Ratio]]*SUM(K53:K$105))</f>
        <v>-23896913.767925669</v>
      </c>
      <c r="V5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Row],[Cancellation_Ratio]]*SUM(L53:L$105))</f>
        <v>6921981.9767384985</v>
      </c>
      <c r="W53" s="19">
        <f>CF_Gen_1[[#This Row],[Expected_Acquisition]]</f>
        <v>0</v>
      </c>
      <c r="X53" s="19">
        <f>-CF_Gen_1[[#This Row],[Probability_of_Inforce]]*CF_Gen_1[[#This Row],[Earned_Premium]]*(1-CF_Gen_1[[#This Row],[Cancellation_Ratio]])*CF_Gen_1[[#This Row],[PME_Ratio]]+CF_Gen_1[[#This Row],[ULAE_Ratio]]*CF_Gen_1[[#This Row],[Exp_Claim]]</f>
        <v>-2596533.466695792</v>
      </c>
      <c r="Y53" s="19">
        <f>-CF_Gen_1[[#This Row],[Probability_of_Inforce]]*CF_Gen_1[[#This Row],[Earned_Premium]]*(1-CF_Gen_1[[#This Row],[Cancellation_Ratio]])*CF_Gen_1[[#This Row],[Loss_Ratio]]</f>
        <v>-11669813.333464235</v>
      </c>
      <c r="Z53" s="19">
        <f>CF_Gen_1[[#This Row],[Exp_Claim]]*CF_Gen_1[[#This Row],[Risk_Adjustment_Ratio]]</f>
        <v>-1633773.866684993</v>
      </c>
      <c r="AA53" s="19">
        <f>IF(CF_Gen_1[[#This Row],[Contract]]="RC",-CF_Gen_1[[#This Row],[NPR_Ratio]]*CF_Gen_1[[#This Row],[Exp_Claim]],0)</f>
        <v>0</v>
      </c>
      <c r="AB53" s="19">
        <f>SUMIFS(Actual_CF[Actual_Premium],Actual_CF[ICG],CF_Gen_1[[#This Row],[ICG]],Actual_CF[Incurred],CF_Gen_1[[#This Row],[Incurred]])</f>
        <v>0</v>
      </c>
      <c r="AC53" s="19">
        <f>SUMIFS(Actual_CF[Actual_Commission],Actual_CF[ICG],CF_Gen_1[[#This Row],[ICG]],Actual_CF[Incurred],CF_Gen_1[[#This Row],[Incurred]])</f>
        <v>0</v>
      </c>
      <c r="AD53" s="19">
        <f>SUMIFS(Actual_CF[Actual_Acquisition],Actual_CF[ICG],CF_Gen_1[[#This Row],[ICG]],Actual_CF[Incurred],CF_Gen_1[[#This Row],[Incurred]])</f>
        <v>0</v>
      </c>
    </row>
    <row r="54" spans="1:30">
      <c r="A54" t="str">
        <f t="shared" si="1"/>
        <v>#2024#IC-Property</v>
      </c>
      <c r="B54">
        <f>_xlfn.XLOOKUP(CF_Gen_1[[#This Row],[ICG]],ICG[ICG],ICG[Cohort])</f>
        <v>2024</v>
      </c>
      <c r="C54" t="str">
        <f>_xlfn.XLOOKUP(CF_Gen_1[[#This Row],[ICG]],ICG[ICG],ICG[Portfolio])</f>
        <v>IC-Property</v>
      </c>
      <c r="D54" t="str">
        <f>_xlfn.XLOOKUP(CF_Gen_1[[#This Row],[ICG]],ICG[ICG],ICG[Contract])</f>
        <v>IC</v>
      </c>
      <c r="E54" s="2">
        <f t="shared" si="2"/>
        <v>45930</v>
      </c>
      <c r="F54">
        <v>53</v>
      </c>
      <c r="G54" s="2">
        <f>EOMONTH(DATE(YEAR(CF_Gen_1[[#This Row],[Valuation]])-1,12,31),CF_Gen_1[[#This Row],['#Incurred]]*3)</f>
        <v>50495</v>
      </c>
      <c r="H54" s="14">
        <f>SUMIFS(Expected_CF[Expected_Premium],Expected_CF[ICG],CF_Gen_1[[#This Row],[ICG]],Expected_CF[Incurred],CF_Gen_1[[#This Row],[Incurred]])</f>
        <v>0</v>
      </c>
      <c r="I54" s="14">
        <f>SUMIFS(Expected_CF[Expected_Commission],Expected_CF[ICG],CF_Gen_1[[#This Row],[ICG]],Expected_CF[Incurred],CF_Gen_1[[#This Row],[Incurred]])</f>
        <v>0</v>
      </c>
      <c r="J54" s="14">
        <f>IF(CF_Gen_1[[#This Row],[Contract]]="IC",SUMIFS(Expected_CF[Expected_Acquisition],Expected_CF[ICG],CF_Gen_1[[#This Row],[ICG]],Expected_CF[Incurred],CF_Gen_1[[#This Row],[Incurred]]),0)</f>
        <v>0</v>
      </c>
      <c r="K54" s="14">
        <f>SUMIFS(Earned[Earned_Premium],Earned[ICG],CF_Gen_1[[#This Row],[ICG]],Earned[Incurred],CF_Gen_1[[#This Row],[Incurred]])</f>
        <v>1240365733.328629</v>
      </c>
      <c r="L54" s="14">
        <f>SUMIFS(Earned[Earned_Commission],Earned[ICG],CF_Gen_1[[#This Row],[ICG]],Earned[Incurred],CF_Gen_1[[#This Row],[Incurred]])</f>
        <v>-375233465.68815088</v>
      </c>
      <c r="M54" s="18">
        <f>_xlfn.XLOOKUP(CF_Gen_1[[#This Row],[ICG]],Assumptions[ICG],Assumptions[Loss_Ratio])</f>
        <v>0.4</v>
      </c>
      <c r="N54" s="18">
        <f>_xlfn.XLOOKUP(CF_Gen_1[[#This Row],[ICG]],Assumptions[ICG],Assumptions[Risk_Adjustment_Ratio])</f>
        <v>0.14000000000000001</v>
      </c>
      <c r="O54" s="18">
        <f>_xlfn.XLOOKUP(CF_Gen_1[[#This Row],[ICG]],Assumptions[ICG],Assumptions[PME_Ratio])</f>
        <v>4.4999999999999998E-2</v>
      </c>
      <c r="P54" s="18">
        <f>_xlfn.XLOOKUP(CF_Gen_1[[#This Row],[ICG]],Assumptions[ICG],Assumptions[ULAE_Ratio])</f>
        <v>0.11</v>
      </c>
      <c r="Q54" s="18">
        <f>_xlfn.XLOOKUP(CF_Gen_1[[#This Row],[ICG]],Assumptions[ICG],Assumptions[Cancellation_Ratio])</f>
        <v>7.0000000000000007E-2</v>
      </c>
      <c r="R54" s="18">
        <f>_xlfn.XLOOKUP(CF_Gen_1[[#This Row],[ICG]],Assumptions[ICG],Assumptions[Premium_Refund_Ratio])</f>
        <v>0.5</v>
      </c>
      <c r="S54" s="18">
        <f>IF(CF_Gen_1[[#This Row],[Contract]]="RC",_xlfn.XLOOKUP(CF_Gen_1[[#This Row],[ICG]],Assumptions[ICG],Assumptions[NPR_Ratio]),0)</f>
        <v>0</v>
      </c>
      <c r="T54" s="17">
        <f>T53*(1-CF_Gen_1[[#This Row],[Cancellation_Ratio]])</f>
        <v>2.2967478833327275E-2</v>
      </c>
      <c r="U54" s="19">
        <f>IF(CF_Gen_1[[#This Row],[Incurred]]&lt;=CF_Gen_1[[#This Row],[Valuation]],CF_Gen_1[[#This Row],[Expected_Premium]],-CF_Gen_1[[#This Row],[Probability_of_Inforce]]*CF_Gen_1[[#This Row],[Premium_Refund_Ratio]]*CF_Gen_1[[#This Row],[Cancellation_Ratio]]*SUM(K54:K$105))</f>
        <v>-21203021.137492746</v>
      </c>
      <c r="V5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Row],[Cancellation_Ratio]]*SUM(L54:L$105))</f>
        <v>6128171.0543171531</v>
      </c>
      <c r="W54" s="19">
        <f>CF_Gen_1[[#This Row],[Expected_Acquisition]]</f>
        <v>0</v>
      </c>
      <c r="X54" s="19">
        <f>-CF_Gen_1[[#This Row],[Probability_of_Inforce]]*CF_Gen_1[[#This Row],[Earned_Premium]]*(1-CF_Gen_1[[#This Row],[Cancellation_Ratio]])*CF_Gen_1[[#This Row],[PME_Ratio]]+CF_Gen_1[[#This Row],[ULAE_Ratio]]*CF_Gen_1[[#This Row],[Exp_Claim]]</f>
        <v>-2357957.8622852727</v>
      </c>
      <c r="Y54" s="19">
        <f>-CF_Gen_1[[#This Row],[Probability_of_Inforce]]*CF_Gen_1[[#This Row],[Earned_Premium]]*(1-CF_Gen_1[[#This Row],[Cancellation_Ratio]])*CF_Gen_1[[#This Row],[Loss_Ratio]]</f>
        <v>-10597563.426001227</v>
      </c>
      <c r="Z54" s="19">
        <f>CF_Gen_1[[#This Row],[Exp_Claim]]*CF_Gen_1[[#This Row],[Risk_Adjustment_Ratio]]</f>
        <v>-1483658.8796401718</v>
      </c>
      <c r="AA54" s="19">
        <f>IF(CF_Gen_1[[#This Row],[Contract]]="RC",-CF_Gen_1[[#This Row],[NPR_Ratio]]*CF_Gen_1[[#This Row],[Exp_Claim]],0)</f>
        <v>0</v>
      </c>
      <c r="AB54" s="19">
        <f>SUMIFS(Actual_CF[Actual_Premium],Actual_CF[ICG],CF_Gen_1[[#This Row],[ICG]],Actual_CF[Incurred],CF_Gen_1[[#This Row],[Incurred]])</f>
        <v>0</v>
      </c>
      <c r="AC54" s="19">
        <f>SUMIFS(Actual_CF[Actual_Commission],Actual_CF[ICG],CF_Gen_1[[#This Row],[ICG]],Actual_CF[Incurred],CF_Gen_1[[#This Row],[Incurred]])</f>
        <v>0</v>
      </c>
      <c r="AD54" s="19">
        <f>SUMIFS(Actual_CF[Actual_Acquisition],Actual_CF[ICG],CF_Gen_1[[#This Row],[ICG]],Actual_CF[Incurred],CF_Gen_1[[#This Row],[Incurred]])</f>
        <v>0</v>
      </c>
    </row>
    <row r="55" spans="1:30">
      <c r="A55" t="str">
        <f t="shared" si="1"/>
        <v>#2024#IC-Property</v>
      </c>
      <c r="B55">
        <f>_xlfn.XLOOKUP(CF_Gen_1[[#This Row],[ICG]],ICG[ICG],ICG[Cohort])</f>
        <v>2024</v>
      </c>
      <c r="C55" t="str">
        <f>_xlfn.XLOOKUP(CF_Gen_1[[#This Row],[ICG]],ICG[ICG],ICG[Portfolio])</f>
        <v>IC-Property</v>
      </c>
      <c r="D55" t="str">
        <f>_xlfn.XLOOKUP(CF_Gen_1[[#This Row],[ICG]],ICG[ICG],ICG[Contract])</f>
        <v>IC</v>
      </c>
      <c r="E55" s="2">
        <f t="shared" si="2"/>
        <v>45930</v>
      </c>
      <c r="F55">
        <v>54</v>
      </c>
      <c r="G55" s="2">
        <f>EOMONTH(DATE(YEAR(CF_Gen_1[[#This Row],[Valuation]])-1,12,31),CF_Gen_1[[#This Row],['#Incurred]]*3)</f>
        <v>50586</v>
      </c>
      <c r="H55" s="14">
        <f>SUMIFS(Expected_CF[Expected_Premium],Expected_CF[ICG],CF_Gen_1[[#This Row],[ICG]],Expected_CF[Incurred],CF_Gen_1[[#This Row],[Incurred]])</f>
        <v>0</v>
      </c>
      <c r="I55" s="14">
        <f>SUMIFS(Expected_CF[Expected_Commission],Expected_CF[ICG],CF_Gen_1[[#This Row],[ICG]],Expected_CF[Incurred],CF_Gen_1[[#This Row],[Incurred]])</f>
        <v>0</v>
      </c>
      <c r="J55" s="14">
        <f>IF(CF_Gen_1[[#This Row],[Contract]]="IC",SUMIFS(Expected_CF[Expected_Acquisition],Expected_CF[ICG],CF_Gen_1[[#This Row],[ICG]],Expected_CF[Incurred],CF_Gen_1[[#This Row],[Incurred]]),0)</f>
        <v>0</v>
      </c>
      <c r="K55" s="14">
        <f>SUMIFS(Earned[Earned_Premium],Earned[ICG],CF_Gen_1[[#This Row],[ICG]],Earned[Incurred],CF_Gen_1[[#This Row],[Incurred]])</f>
        <v>1210477402.4050477</v>
      </c>
      <c r="L55" s="14">
        <f>SUMIFS(Earned[Earned_Commission],Earned[ICG],CF_Gen_1[[#This Row],[ICG]],Earned[Incurred],CF_Gen_1[[#This Row],[Incurred]])</f>
        <v>-365733884.27832425</v>
      </c>
      <c r="M55" s="18">
        <f>_xlfn.XLOOKUP(CF_Gen_1[[#This Row],[ICG]],Assumptions[ICG],Assumptions[Loss_Ratio])</f>
        <v>0.4</v>
      </c>
      <c r="N55" s="18">
        <f>_xlfn.XLOOKUP(CF_Gen_1[[#This Row],[ICG]],Assumptions[ICG],Assumptions[Risk_Adjustment_Ratio])</f>
        <v>0.14000000000000001</v>
      </c>
      <c r="O55" s="18">
        <f>_xlfn.XLOOKUP(CF_Gen_1[[#This Row],[ICG]],Assumptions[ICG],Assumptions[PME_Ratio])</f>
        <v>4.4999999999999998E-2</v>
      </c>
      <c r="P55" s="18">
        <f>_xlfn.XLOOKUP(CF_Gen_1[[#This Row],[ICG]],Assumptions[ICG],Assumptions[ULAE_Ratio])</f>
        <v>0.11</v>
      </c>
      <c r="Q55" s="18">
        <f>_xlfn.XLOOKUP(CF_Gen_1[[#This Row],[ICG]],Assumptions[ICG],Assumptions[Cancellation_Ratio])</f>
        <v>7.0000000000000007E-2</v>
      </c>
      <c r="R55" s="18">
        <f>_xlfn.XLOOKUP(CF_Gen_1[[#This Row],[ICG]],Assumptions[ICG],Assumptions[Premium_Refund_Ratio])</f>
        <v>0.5</v>
      </c>
      <c r="S55" s="18">
        <f>IF(CF_Gen_1[[#This Row],[Contract]]="RC",_xlfn.XLOOKUP(CF_Gen_1[[#This Row],[ICG]],Assumptions[ICG],Assumptions[NPR_Ratio]),0)</f>
        <v>0</v>
      </c>
      <c r="T55" s="17">
        <f>T54*(1-CF_Gen_1[[#This Row],[Cancellation_Ratio]])</f>
        <v>2.1359755314994365E-2</v>
      </c>
      <c r="U55" s="19">
        <f>IF(CF_Gen_1[[#This Row],[Incurred]]&lt;=CF_Gen_1[[#This Row],[Valuation]],CF_Gen_1[[#This Row],[Expected_Premium]],-CF_Gen_1[[#This Row],[Probability_of_Inforce]]*CF_Gen_1[[#This Row],[Premium_Refund_Ratio]]*CF_Gen_1[[#This Row],[Cancellation_Ratio]]*SUM(K55:K$105))</f>
        <v>-18791522.85809315</v>
      </c>
      <c r="V5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Row],[Cancellation_Ratio]]*SUM(L55:L$105))</f>
        <v>5418677.7550565843</v>
      </c>
      <c r="W55" s="19">
        <f>CF_Gen_1[[#This Row],[Expected_Acquisition]]</f>
        <v>0</v>
      </c>
      <c r="X55" s="19">
        <f>-CF_Gen_1[[#This Row],[Probability_of_Inforce]]*CF_Gen_1[[#This Row],[Earned_Premium]]*(1-CF_Gen_1[[#This Row],[Cancellation_Ratio]])*CF_Gen_1[[#This Row],[PME_Ratio]]+CF_Gen_1[[#This Row],[ULAE_Ratio]]*CF_Gen_1[[#This Row],[Exp_Claim]]</f>
        <v>-2140059.8285054173</v>
      </c>
      <c r="Y55" s="19">
        <f>-CF_Gen_1[[#This Row],[Probability_of_Inforce]]*CF_Gen_1[[#This Row],[Earned_Premium]]*(1-CF_Gen_1[[#This Row],[Cancellation_Ratio]])*CF_Gen_1[[#This Row],[Loss_Ratio]]</f>
        <v>-9618246.4202490654</v>
      </c>
      <c r="Z55" s="19">
        <f>CF_Gen_1[[#This Row],[Exp_Claim]]*CF_Gen_1[[#This Row],[Risk_Adjustment_Ratio]]</f>
        <v>-1346554.4988348694</v>
      </c>
      <c r="AA55" s="19">
        <f>IF(CF_Gen_1[[#This Row],[Contract]]="RC",-CF_Gen_1[[#This Row],[NPR_Ratio]]*CF_Gen_1[[#This Row],[Exp_Claim]],0)</f>
        <v>0</v>
      </c>
      <c r="AB55" s="19">
        <f>SUMIFS(Actual_CF[Actual_Premium],Actual_CF[ICG],CF_Gen_1[[#This Row],[ICG]],Actual_CF[Incurred],CF_Gen_1[[#This Row],[Incurred]])</f>
        <v>0</v>
      </c>
      <c r="AC55" s="19">
        <f>SUMIFS(Actual_CF[Actual_Commission],Actual_CF[ICG],CF_Gen_1[[#This Row],[ICG]],Actual_CF[Incurred],CF_Gen_1[[#This Row],[Incurred]])</f>
        <v>0</v>
      </c>
      <c r="AD55" s="19">
        <f>SUMIFS(Actual_CF[Actual_Acquisition],Actual_CF[ICG],CF_Gen_1[[#This Row],[ICG]],Actual_CF[Incurred],CF_Gen_1[[#This Row],[Incurred]])</f>
        <v>0</v>
      </c>
    </row>
    <row r="56" spans="1:30">
      <c r="A56" t="str">
        <f t="shared" si="1"/>
        <v>#2024#IC-Property</v>
      </c>
      <c r="B56">
        <f>_xlfn.XLOOKUP(CF_Gen_1[[#This Row],[ICG]],ICG[ICG],ICG[Cohort])</f>
        <v>2024</v>
      </c>
      <c r="C56" t="str">
        <f>_xlfn.XLOOKUP(CF_Gen_1[[#This Row],[ICG]],ICG[ICG],ICG[Portfolio])</f>
        <v>IC-Property</v>
      </c>
      <c r="D56" t="str">
        <f>_xlfn.XLOOKUP(CF_Gen_1[[#This Row],[ICG]],ICG[ICG],ICG[Contract])</f>
        <v>IC</v>
      </c>
      <c r="E56" s="2">
        <f t="shared" si="2"/>
        <v>45930</v>
      </c>
      <c r="F56">
        <v>55</v>
      </c>
      <c r="G56" s="2">
        <f>EOMONTH(DATE(YEAR(CF_Gen_1[[#This Row],[Valuation]])-1,12,31),CF_Gen_1[[#This Row],['#Incurred]]*3)</f>
        <v>50678</v>
      </c>
      <c r="H56" s="14">
        <f>SUMIFS(Expected_CF[Expected_Premium],Expected_CF[ICG],CF_Gen_1[[#This Row],[ICG]],Expected_CF[Incurred],CF_Gen_1[[#This Row],[Incurred]])</f>
        <v>0</v>
      </c>
      <c r="I56" s="14">
        <f>SUMIFS(Expected_CF[Expected_Commission],Expected_CF[ICG],CF_Gen_1[[#This Row],[ICG]],Expected_CF[Incurred],CF_Gen_1[[#This Row],[Incurred]])</f>
        <v>0</v>
      </c>
      <c r="J56" s="14">
        <f>IF(CF_Gen_1[[#This Row],[Contract]]="IC",SUMIFS(Expected_CF[Expected_Acquisition],Expected_CF[ICG],CF_Gen_1[[#This Row],[ICG]],Expected_CF[Incurred],CF_Gen_1[[#This Row],[Incurred]]),0)</f>
        <v>0</v>
      </c>
      <c r="K56" s="14">
        <f>SUMIFS(Earned[Earned_Premium],Earned[ICG],CF_Gen_1[[#This Row],[ICG]],Earned[Incurred],CF_Gen_1[[#This Row],[Incurred]])</f>
        <v>1180589071.4814665</v>
      </c>
      <c r="L56" s="14">
        <f>SUMIFS(Earned[Earned_Commission],Earned[ICG],CF_Gen_1[[#This Row],[ICG]],Earned[Incurred],CF_Gen_1[[#This Row],[Incurred]])</f>
        <v>-356234302.86849767</v>
      </c>
      <c r="M56" s="18">
        <f>_xlfn.XLOOKUP(CF_Gen_1[[#This Row],[ICG]],Assumptions[ICG],Assumptions[Loss_Ratio])</f>
        <v>0.4</v>
      </c>
      <c r="N56" s="18">
        <f>_xlfn.XLOOKUP(CF_Gen_1[[#This Row],[ICG]],Assumptions[ICG],Assumptions[Risk_Adjustment_Ratio])</f>
        <v>0.14000000000000001</v>
      </c>
      <c r="O56" s="18">
        <f>_xlfn.XLOOKUP(CF_Gen_1[[#This Row],[ICG]],Assumptions[ICG],Assumptions[PME_Ratio])</f>
        <v>4.4999999999999998E-2</v>
      </c>
      <c r="P56" s="18">
        <f>_xlfn.XLOOKUP(CF_Gen_1[[#This Row],[ICG]],Assumptions[ICG],Assumptions[ULAE_Ratio])</f>
        <v>0.11</v>
      </c>
      <c r="Q56" s="18">
        <f>_xlfn.XLOOKUP(CF_Gen_1[[#This Row],[ICG]],Assumptions[ICG],Assumptions[Cancellation_Ratio])</f>
        <v>7.0000000000000007E-2</v>
      </c>
      <c r="R56" s="18">
        <f>_xlfn.XLOOKUP(CF_Gen_1[[#This Row],[ICG]],Assumptions[ICG],Assumptions[Premium_Refund_Ratio])</f>
        <v>0.5</v>
      </c>
      <c r="S56" s="18">
        <f>IF(CF_Gen_1[[#This Row],[Contract]]="RC",_xlfn.XLOOKUP(CF_Gen_1[[#This Row],[ICG]],Assumptions[ICG],Assumptions[NPR_Ratio]),0)</f>
        <v>0</v>
      </c>
      <c r="T56" s="17">
        <f>T55*(1-CF_Gen_1[[#This Row],[Cancellation_Ratio]])</f>
        <v>1.9864572442944758E-2</v>
      </c>
      <c r="U56" s="19">
        <f>IF(CF_Gen_1[[#This Row],[Incurred]]&lt;=CF_Gen_1[[#This Row],[Valuation]],CF_Gen_1[[#This Row],[Expected_Premium]],-CF_Gen_1[[#This Row],[Probability_of_Inforce]]*CF_Gen_1[[#This Row],[Premium_Refund_Ratio]]*CF_Gen_1[[#This Row],[Cancellation_Ratio]]*SUM(K56:K$105))</f>
        <v>-16634519.696254836</v>
      </c>
      <c r="V5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Row],[Cancellation_Ratio]]*SUM(L56:L$105))</f>
        <v>4785090.1588346008</v>
      </c>
      <c r="W56" s="19">
        <f>CF_Gen_1[[#This Row],[Expected_Acquisition]]</f>
        <v>0</v>
      </c>
      <c r="X56" s="19">
        <f>-CF_Gen_1[[#This Row],[Probability_of_Inforce]]*CF_Gen_1[[#This Row],[Earned_Premium]]*(1-CF_Gen_1[[#This Row],[Cancellation_Ratio]])*CF_Gen_1[[#This Row],[PME_Ratio]]+CF_Gen_1[[#This Row],[ULAE_Ratio]]*CF_Gen_1[[#This Row],[Exp_Claim]]</f>
        <v>-1941113.5259295432</v>
      </c>
      <c r="Y56" s="19">
        <f>-CF_Gen_1[[#This Row],[Probability_of_Inforce]]*CF_Gen_1[[#This Row],[Earned_Premium]]*(1-CF_Gen_1[[#This Row],[Cancellation_Ratio]])*CF_Gen_1[[#This Row],[Loss_Ratio]]</f>
        <v>-8724105.7345148008</v>
      </c>
      <c r="Z56" s="19">
        <f>CF_Gen_1[[#This Row],[Exp_Claim]]*CF_Gen_1[[#This Row],[Risk_Adjustment_Ratio]]</f>
        <v>-1221374.8028320721</v>
      </c>
      <c r="AA56" s="19">
        <f>IF(CF_Gen_1[[#This Row],[Contract]]="RC",-CF_Gen_1[[#This Row],[NPR_Ratio]]*CF_Gen_1[[#This Row],[Exp_Claim]],0)</f>
        <v>0</v>
      </c>
      <c r="AB56" s="19">
        <f>SUMIFS(Actual_CF[Actual_Premium],Actual_CF[ICG],CF_Gen_1[[#This Row],[ICG]],Actual_CF[Incurred],CF_Gen_1[[#This Row],[Incurred]])</f>
        <v>0</v>
      </c>
      <c r="AC56" s="19">
        <f>SUMIFS(Actual_CF[Actual_Commission],Actual_CF[ICG],CF_Gen_1[[#This Row],[ICG]],Actual_CF[Incurred],CF_Gen_1[[#This Row],[Incurred]])</f>
        <v>0</v>
      </c>
      <c r="AD56" s="19">
        <f>SUMIFS(Actual_CF[Actual_Acquisition],Actual_CF[ICG],CF_Gen_1[[#This Row],[ICG]],Actual_CF[Incurred],CF_Gen_1[[#This Row],[Incurred]])</f>
        <v>0</v>
      </c>
    </row>
    <row r="57" spans="1:30">
      <c r="A57" t="str">
        <f t="shared" si="1"/>
        <v>#2024#IC-Property</v>
      </c>
      <c r="B57">
        <f>_xlfn.XLOOKUP(CF_Gen_1[[#This Row],[ICG]],ICG[ICG],ICG[Cohort])</f>
        <v>2024</v>
      </c>
      <c r="C57" t="str">
        <f>_xlfn.XLOOKUP(CF_Gen_1[[#This Row],[ICG]],ICG[ICG],ICG[Portfolio])</f>
        <v>IC-Property</v>
      </c>
      <c r="D57" t="str">
        <f>_xlfn.XLOOKUP(CF_Gen_1[[#This Row],[ICG]],ICG[ICG],ICG[Contract])</f>
        <v>IC</v>
      </c>
      <c r="E57" s="2">
        <f t="shared" si="2"/>
        <v>45930</v>
      </c>
      <c r="F57">
        <v>56</v>
      </c>
      <c r="G57" s="2">
        <f>EOMONTH(DATE(YEAR(CF_Gen_1[[#This Row],[Valuation]])-1,12,31),CF_Gen_1[[#This Row],['#Incurred]]*3)</f>
        <v>50770</v>
      </c>
      <c r="H57" s="14">
        <f>SUMIFS(Expected_CF[Expected_Premium],Expected_CF[ICG],CF_Gen_1[[#This Row],[ICG]],Expected_CF[Incurred],CF_Gen_1[[#This Row],[Incurred]])</f>
        <v>0</v>
      </c>
      <c r="I57" s="14">
        <f>SUMIFS(Expected_CF[Expected_Commission],Expected_CF[ICG],CF_Gen_1[[#This Row],[ICG]],Expected_CF[Incurred],CF_Gen_1[[#This Row],[Incurred]])</f>
        <v>0</v>
      </c>
      <c r="J57" s="14">
        <f>IF(CF_Gen_1[[#This Row],[Contract]]="IC",SUMIFS(Expected_CF[Expected_Acquisition],Expected_CF[ICG],CF_Gen_1[[#This Row],[ICG]],Expected_CF[Incurred],CF_Gen_1[[#This Row],[Incurred]]),0)</f>
        <v>0</v>
      </c>
      <c r="K57" s="14">
        <f>SUMIFS(Earned[Earned_Premium],Earned[ICG],CF_Gen_1[[#This Row],[ICG]],Earned[Incurred],CF_Gen_1[[#This Row],[Incurred]])</f>
        <v>1150700740.5578852</v>
      </c>
      <c r="L57" s="14">
        <f>SUMIFS(Earned[Earned_Commission],Earned[ICG],CF_Gen_1[[#This Row],[ICG]],Earned[Incurred],CF_Gen_1[[#This Row],[Incurred]])</f>
        <v>-346734721.45867097</v>
      </c>
      <c r="M57" s="18">
        <f>_xlfn.XLOOKUP(CF_Gen_1[[#This Row],[ICG]],Assumptions[ICG],Assumptions[Loss_Ratio])</f>
        <v>0.4</v>
      </c>
      <c r="N57" s="18">
        <f>_xlfn.XLOOKUP(CF_Gen_1[[#This Row],[ICG]],Assumptions[ICG],Assumptions[Risk_Adjustment_Ratio])</f>
        <v>0.14000000000000001</v>
      </c>
      <c r="O57" s="18">
        <f>_xlfn.XLOOKUP(CF_Gen_1[[#This Row],[ICG]],Assumptions[ICG],Assumptions[PME_Ratio])</f>
        <v>4.4999999999999998E-2</v>
      </c>
      <c r="P57" s="18">
        <f>_xlfn.XLOOKUP(CF_Gen_1[[#This Row],[ICG]],Assumptions[ICG],Assumptions[ULAE_Ratio])</f>
        <v>0.11</v>
      </c>
      <c r="Q57" s="18">
        <f>_xlfn.XLOOKUP(CF_Gen_1[[#This Row],[ICG]],Assumptions[ICG],Assumptions[Cancellation_Ratio])</f>
        <v>7.0000000000000007E-2</v>
      </c>
      <c r="R57" s="18">
        <f>_xlfn.XLOOKUP(CF_Gen_1[[#This Row],[ICG]],Assumptions[ICG],Assumptions[Premium_Refund_Ratio])</f>
        <v>0.5</v>
      </c>
      <c r="S57" s="18">
        <f>IF(CF_Gen_1[[#This Row],[Contract]]="RC",_xlfn.XLOOKUP(CF_Gen_1[[#This Row],[ICG]],Assumptions[ICG],Assumptions[NPR_Ratio]),0)</f>
        <v>0</v>
      </c>
      <c r="T57" s="17">
        <f>T56*(1-CF_Gen_1[[#This Row],[Cancellation_Ratio]])</f>
        <v>1.8474052371938623E-2</v>
      </c>
      <c r="U57" s="19">
        <f>IF(CF_Gen_1[[#This Row],[Incurred]]&lt;=CF_Gen_1[[#This Row],[Valuation]],CF_Gen_1[[#This Row],[Expected_Premium]],-CF_Gen_1[[#This Row],[Probability_of_Inforce]]*CF_Gen_1[[#This Row],[Premium_Refund_Ratio]]*CF_Gen_1[[#This Row],[Cancellation_Ratio]]*SUM(K57:K$105))</f>
        <v>-14706744.065746952</v>
      </c>
      <c r="V5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Row],[Cancellation_Ratio]]*SUM(L57:L$105))</f>
        <v>4219795.6568405991</v>
      </c>
      <c r="W57" s="19">
        <f>CF_Gen_1[[#This Row],[Expected_Acquisition]]</f>
        <v>0</v>
      </c>
      <c r="X57" s="19">
        <f>-CF_Gen_1[[#This Row],[Probability_of_Inforce]]*CF_Gen_1[[#This Row],[Earned_Premium]]*(1-CF_Gen_1[[#This Row],[Cancellation_Ratio]])*CF_Gen_1[[#This Row],[PME_Ratio]]+CF_Gen_1[[#This Row],[ULAE_Ratio]]*CF_Gen_1[[#This Row],[Exp_Claim]]</f>
        <v>-1759533.4125546152</v>
      </c>
      <c r="Y57" s="19">
        <f>-CF_Gen_1[[#This Row],[Probability_of_Inforce]]*CF_Gen_1[[#This Row],[Earned_Premium]]*(1-CF_Gen_1[[#This Row],[Cancellation_Ratio]])*CF_Gen_1[[#This Row],[Loss_Ratio]]</f>
        <v>-7908015.3373241127</v>
      </c>
      <c r="Z57" s="19">
        <f>CF_Gen_1[[#This Row],[Exp_Claim]]*CF_Gen_1[[#This Row],[Risk_Adjustment_Ratio]]</f>
        <v>-1107122.147225376</v>
      </c>
      <c r="AA57" s="19">
        <f>IF(CF_Gen_1[[#This Row],[Contract]]="RC",-CF_Gen_1[[#This Row],[NPR_Ratio]]*CF_Gen_1[[#This Row],[Exp_Claim]],0)</f>
        <v>0</v>
      </c>
      <c r="AB57" s="19">
        <f>SUMIFS(Actual_CF[Actual_Premium],Actual_CF[ICG],CF_Gen_1[[#This Row],[ICG]],Actual_CF[Incurred],CF_Gen_1[[#This Row],[Incurred]])</f>
        <v>0</v>
      </c>
      <c r="AC57" s="19">
        <f>SUMIFS(Actual_CF[Actual_Commission],Actual_CF[ICG],CF_Gen_1[[#This Row],[ICG]],Actual_CF[Incurred],CF_Gen_1[[#This Row],[Incurred]])</f>
        <v>0</v>
      </c>
      <c r="AD57" s="19">
        <f>SUMIFS(Actual_CF[Actual_Acquisition],Actual_CF[ICG],CF_Gen_1[[#This Row],[ICG]],Actual_CF[Incurred],CF_Gen_1[[#This Row],[Incurred]])</f>
        <v>0</v>
      </c>
    </row>
    <row r="58" spans="1:30">
      <c r="A58" t="str">
        <f t="shared" si="1"/>
        <v>#2024#IC-Property</v>
      </c>
      <c r="B58">
        <f>_xlfn.XLOOKUP(CF_Gen_1[[#This Row],[ICG]],ICG[ICG],ICG[Cohort])</f>
        <v>2024</v>
      </c>
      <c r="C58" t="str">
        <f>_xlfn.XLOOKUP(CF_Gen_1[[#This Row],[ICG]],ICG[ICG],ICG[Portfolio])</f>
        <v>IC-Property</v>
      </c>
      <c r="D58" t="str">
        <f>_xlfn.XLOOKUP(CF_Gen_1[[#This Row],[ICG]],ICG[ICG],ICG[Contract])</f>
        <v>IC</v>
      </c>
      <c r="E58" s="2">
        <f t="shared" si="2"/>
        <v>45930</v>
      </c>
      <c r="F58">
        <v>57</v>
      </c>
      <c r="G58" s="2">
        <f>EOMONTH(DATE(YEAR(CF_Gen_1[[#This Row],[Valuation]])-1,12,31),CF_Gen_1[[#This Row],['#Incurred]]*3)</f>
        <v>50860</v>
      </c>
      <c r="H58" s="14">
        <f>SUMIFS(Expected_CF[Expected_Premium],Expected_CF[ICG],CF_Gen_1[[#This Row],[ICG]],Expected_CF[Incurred],CF_Gen_1[[#This Row],[Incurred]])</f>
        <v>0</v>
      </c>
      <c r="I58" s="14">
        <f>SUMIFS(Expected_CF[Expected_Commission],Expected_CF[ICG],CF_Gen_1[[#This Row],[ICG]],Expected_CF[Incurred],CF_Gen_1[[#This Row],[Incurred]])</f>
        <v>0</v>
      </c>
      <c r="J58" s="14">
        <f>IF(CF_Gen_1[[#This Row],[Contract]]="IC",SUMIFS(Expected_CF[Expected_Acquisition],Expected_CF[ICG],CF_Gen_1[[#This Row],[ICG]],Expected_CF[Incurred],CF_Gen_1[[#This Row],[Incurred]]),0)</f>
        <v>0</v>
      </c>
      <c r="K58" s="14">
        <f>SUMIFS(Earned[Earned_Premium],Earned[ICG],CF_Gen_1[[#This Row],[ICG]],Earned[Incurred],CF_Gen_1[[#This Row],[Incurred]])</f>
        <v>1120812409.6343038</v>
      </c>
      <c r="L58" s="14">
        <f>SUMIFS(Earned[Earned_Commission],Earned[ICG],CF_Gen_1[[#This Row],[ICG]],Earned[Incurred],CF_Gen_1[[#This Row],[Incurred]])</f>
        <v>-337235140.04884446</v>
      </c>
      <c r="M58" s="18">
        <f>_xlfn.XLOOKUP(CF_Gen_1[[#This Row],[ICG]],Assumptions[ICG],Assumptions[Loss_Ratio])</f>
        <v>0.4</v>
      </c>
      <c r="N58" s="18">
        <f>_xlfn.XLOOKUP(CF_Gen_1[[#This Row],[ICG]],Assumptions[ICG],Assumptions[Risk_Adjustment_Ratio])</f>
        <v>0.14000000000000001</v>
      </c>
      <c r="O58" s="18">
        <f>_xlfn.XLOOKUP(CF_Gen_1[[#This Row],[ICG]],Assumptions[ICG],Assumptions[PME_Ratio])</f>
        <v>4.4999999999999998E-2</v>
      </c>
      <c r="P58" s="18">
        <f>_xlfn.XLOOKUP(CF_Gen_1[[#This Row],[ICG]],Assumptions[ICG],Assumptions[ULAE_Ratio])</f>
        <v>0.11</v>
      </c>
      <c r="Q58" s="18">
        <f>_xlfn.XLOOKUP(CF_Gen_1[[#This Row],[ICG]],Assumptions[ICG],Assumptions[Cancellation_Ratio])</f>
        <v>7.0000000000000007E-2</v>
      </c>
      <c r="R58" s="18">
        <f>_xlfn.XLOOKUP(CF_Gen_1[[#This Row],[ICG]],Assumptions[ICG],Assumptions[Premium_Refund_Ratio])</f>
        <v>0.5</v>
      </c>
      <c r="S58" s="18">
        <f>IF(CF_Gen_1[[#This Row],[Contract]]="RC",_xlfn.XLOOKUP(CF_Gen_1[[#This Row],[ICG]],Assumptions[ICG],Assumptions[NPR_Ratio]),0)</f>
        <v>0</v>
      </c>
      <c r="T58" s="17">
        <f>T57*(1-CF_Gen_1[[#This Row],[Cancellation_Ratio]])</f>
        <v>1.7180868705902918E-2</v>
      </c>
      <c r="U58" s="19">
        <f>IF(CF_Gen_1[[#This Row],[Incurred]]&lt;=CF_Gen_1[[#This Row],[Valuation]],CF_Gen_1[[#This Row],[Expected_Premium]],-CF_Gen_1[[#This Row],[Probability_of_Inforce]]*CF_Gen_1[[#This Row],[Premium_Refund_Ratio]]*CF_Gen_1[[#This Row],[Cancellation_Ratio]]*SUM(K58:K$105))</f>
        <v>-12985320.639128802</v>
      </c>
      <c r="V5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Row],[Cancellation_Ratio]]*SUM(L58:L$105))</f>
        <v>3715907.8304811832</v>
      </c>
      <c r="W58" s="19">
        <f>CF_Gen_1[[#This Row],[Expected_Acquisition]]</f>
        <v>0</v>
      </c>
      <c r="X58" s="19">
        <f>-CF_Gen_1[[#This Row],[Probability_of_Inforce]]*CF_Gen_1[[#This Row],[Earned_Premium]]*(1-CF_Gen_1[[#This Row],[Cancellation_Ratio]])*CF_Gen_1[[#This Row],[PME_Ratio]]+CF_Gen_1[[#This Row],[ULAE_Ratio]]*CF_Gen_1[[#This Row],[Exp_Claim]]</f>
        <v>-1593863.058775122</v>
      </c>
      <c r="Y58" s="19">
        <f>-CF_Gen_1[[#This Row],[Probability_of_Inforce]]*CF_Gen_1[[#This Row],[Earned_Premium]]*(1-CF_Gen_1[[#This Row],[Cancellation_Ratio]])*CF_Gen_1[[#This Row],[Loss_Ratio]]</f>
        <v>-7163429.4776409985</v>
      </c>
      <c r="Z58" s="19">
        <f>CF_Gen_1[[#This Row],[Exp_Claim]]*CF_Gen_1[[#This Row],[Risk_Adjustment_Ratio]]</f>
        <v>-1002880.1268697398</v>
      </c>
      <c r="AA58" s="19">
        <f>IF(CF_Gen_1[[#This Row],[Contract]]="RC",-CF_Gen_1[[#This Row],[NPR_Ratio]]*CF_Gen_1[[#This Row],[Exp_Claim]],0)</f>
        <v>0</v>
      </c>
      <c r="AB58" s="19">
        <f>SUMIFS(Actual_CF[Actual_Premium],Actual_CF[ICG],CF_Gen_1[[#This Row],[ICG]],Actual_CF[Incurred],CF_Gen_1[[#This Row],[Incurred]])</f>
        <v>0</v>
      </c>
      <c r="AC58" s="19">
        <f>SUMIFS(Actual_CF[Actual_Commission],Actual_CF[ICG],CF_Gen_1[[#This Row],[ICG]],Actual_CF[Incurred],CF_Gen_1[[#This Row],[Incurred]])</f>
        <v>0</v>
      </c>
      <c r="AD58" s="19">
        <f>SUMIFS(Actual_CF[Actual_Acquisition],Actual_CF[ICG],CF_Gen_1[[#This Row],[ICG]],Actual_CF[Incurred],CF_Gen_1[[#This Row],[Incurred]])</f>
        <v>0</v>
      </c>
    </row>
    <row r="59" spans="1:30">
      <c r="A59" t="str">
        <f t="shared" si="1"/>
        <v>#2024#IC-Property</v>
      </c>
      <c r="B59">
        <f>_xlfn.XLOOKUP(CF_Gen_1[[#This Row],[ICG]],ICG[ICG],ICG[Cohort])</f>
        <v>2024</v>
      </c>
      <c r="C59" t="str">
        <f>_xlfn.XLOOKUP(CF_Gen_1[[#This Row],[ICG]],ICG[ICG],ICG[Portfolio])</f>
        <v>IC-Property</v>
      </c>
      <c r="D59" t="str">
        <f>_xlfn.XLOOKUP(CF_Gen_1[[#This Row],[ICG]],ICG[ICG],ICG[Contract])</f>
        <v>IC</v>
      </c>
      <c r="E59" s="2">
        <f t="shared" si="2"/>
        <v>45930</v>
      </c>
      <c r="F59">
        <v>58</v>
      </c>
      <c r="G59" s="2">
        <f>EOMONTH(DATE(YEAR(CF_Gen_1[[#This Row],[Valuation]])-1,12,31),CF_Gen_1[[#This Row],['#Incurred]]*3)</f>
        <v>50951</v>
      </c>
      <c r="H59" s="14">
        <f>SUMIFS(Expected_CF[Expected_Premium],Expected_CF[ICG],CF_Gen_1[[#This Row],[ICG]],Expected_CF[Incurred],CF_Gen_1[[#This Row],[Incurred]])</f>
        <v>0</v>
      </c>
      <c r="I59" s="14">
        <f>SUMIFS(Expected_CF[Expected_Commission],Expected_CF[ICG],CF_Gen_1[[#This Row],[ICG]],Expected_CF[Incurred],CF_Gen_1[[#This Row],[Incurred]])</f>
        <v>0</v>
      </c>
      <c r="J59" s="14">
        <f>IF(CF_Gen_1[[#This Row],[Contract]]="IC",SUMIFS(Expected_CF[Expected_Acquisition],Expected_CF[ICG],CF_Gen_1[[#This Row],[ICG]],Expected_CF[Incurred],CF_Gen_1[[#This Row],[Incurred]]),0)</f>
        <v>0</v>
      </c>
      <c r="K59" s="14">
        <f>SUMIFS(Earned[Earned_Premium],Earned[ICG],CF_Gen_1[[#This Row],[ICG]],Earned[Incurred],CF_Gen_1[[#This Row],[Incurred]])</f>
        <v>1090924078.7107224</v>
      </c>
      <c r="L59" s="14">
        <f>SUMIFS(Earned[Earned_Commission],Earned[ICG],CF_Gen_1[[#This Row],[ICG]],Earned[Incurred],CF_Gen_1[[#This Row],[Incurred]])</f>
        <v>-327735558.63901788</v>
      </c>
      <c r="M59" s="18">
        <f>_xlfn.XLOOKUP(CF_Gen_1[[#This Row],[ICG]],Assumptions[ICG],Assumptions[Loss_Ratio])</f>
        <v>0.4</v>
      </c>
      <c r="N59" s="18">
        <f>_xlfn.XLOOKUP(CF_Gen_1[[#This Row],[ICG]],Assumptions[ICG],Assumptions[Risk_Adjustment_Ratio])</f>
        <v>0.14000000000000001</v>
      </c>
      <c r="O59" s="18">
        <f>_xlfn.XLOOKUP(CF_Gen_1[[#This Row],[ICG]],Assumptions[ICG],Assumptions[PME_Ratio])</f>
        <v>4.4999999999999998E-2</v>
      </c>
      <c r="P59" s="18">
        <f>_xlfn.XLOOKUP(CF_Gen_1[[#This Row],[ICG]],Assumptions[ICG],Assumptions[ULAE_Ratio])</f>
        <v>0.11</v>
      </c>
      <c r="Q59" s="18">
        <f>_xlfn.XLOOKUP(CF_Gen_1[[#This Row],[ICG]],Assumptions[ICG],Assumptions[Cancellation_Ratio])</f>
        <v>7.0000000000000007E-2</v>
      </c>
      <c r="R59" s="18">
        <f>_xlfn.XLOOKUP(CF_Gen_1[[#This Row],[ICG]],Assumptions[ICG],Assumptions[Premium_Refund_Ratio])</f>
        <v>0.5</v>
      </c>
      <c r="S59" s="18">
        <f>IF(CF_Gen_1[[#This Row],[Contract]]="RC",_xlfn.XLOOKUP(CF_Gen_1[[#This Row],[ICG]],Assumptions[ICG],Assumptions[NPR_Ratio]),0)</f>
        <v>0</v>
      </c>
      <c r="T59" s="17">
        <f>T58*(1-CF_Gen_1[[#This Row],[Cancellation_Ratio]])</f>
        <v>1.5978207896489714E-2</v>
      </c>
      <c r="U59" s="19">
        <f>IF(CF_Gen_1[[#This Row],[Incurred]]&lt;=CF_Gen_1[[#This Row],[Valuation]],CF_Gen_1[[#This Row],[Expected_Premium]],-CF_Gen_1[[#This Row],[Probability_of_Inforce]]*CF_Gen_1[[#This Row],[Premium_Refund_Ratio]]*CF_Gen_1[[#This Row],[Cancellation_Ratio]]*SUM(K59:K$105))</f>
        <v>-11449548.115096197</v>
      </c>
      <c r="V5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Row],[Cancellation_Ratio]]*SUM(L59:L$105))</f>
        <v>3267199.8211279213</v>
      </c>
      <c r="W59" s="19">
        <f>CF_Gen_1[[#This Row],[Expected_Acquisition]]</f>
        <v>0</v>
      </c>
      <c r="X59" s="19">
        <f>-CF_Gen_1[[#This Row],[Probability_of_Inforce]]*CF_Gen_1[[#This Row],[Earned_Premium]]*(1-CF_Gen_1[[#This Row],[Cancellation_Ratio]])*CF_Gen_1[[#This Row],[PME_Ratio]]+CF_Gen_1[[#This Row],[ULAE_Ratio]]*CF_Gen_1[[#This Row],[Exp_Claim]]</f>
        <v>-1442764.8408032407</v>
      </c>
      <c r="Y59" s="19">
        <f>-CF_Gen_1[[#This Row],[Probability_of_Inforce]]*CF_Gen_1[[#This Row],[Earned_Premium]]*(1-CF_Gen_1[[#This Row],[Cancellation_Ratio]])*CF_Gen_1[[#This Row],[Loss_Ratio]]</f>
        <v>-6484336.3631606326</v>
      </c>
      <c r="Z59" s="19">
        <f>CF_Gen_1[[#This Row],[Exp_Claim]]*CF_Gen_1[[#This Row],[Risk_Adjustment_Ratio]]</f>
        <v>-907807.09084248869</v>
      </c>
      <c r="AA59" s="19">
        <f>IF(CF_Gen_1[[#This Row],[Contract]]="RC",-CF_Gen_1[[#This Row],[NPR_Ratio]]*CF_Gen_1[[#This Row],[Exp_Claim]],0)</f>
        <v>0</v>
      </c>
      <c r="AB59" s="19">
        <f>SUMIFS(Actual_CF[Actual_Premium],Actual_CF[ICG],CF_Gen_1[[#This Row],[ICG]],Actual_CF[Incurred],CF_Gen_1[[#This Row],[Incurred]])</f>
        <v>0</v>
      </c>
      <c r="AC59" s="19">
        <f>SUMIFS(Actual_CF[Actual_Commission],Actual_CF[ICG],CF_Gen_1[[#This Row],[ICG]],Actual_CF[Incurred],CF_Gen_1[[#This Row],[Incurred]])</f>
        <v>0</v>
      </c>
      <c r="AD59" s="19">
        <f>SUMIFS(Actual_CF[Actual_Acquisition],Actual_CF[ICG],CF_Gen_1[[#This Row],[ICG]],Actual_CF[Incurred],CF_Gen_1[[#This Row],[Incurred]])</f>
        <v>0</v>
      </c>
    </row>
    <row r="60" spans="1:30">
      <c r="A60" t="str">
        <f t="shared" si="1"/>
        <v>#2024#IC-Property</v>
      </c>
      <c r="B60">
        <f>_xlfn.XLOOKUP(CF_Gen_1[[#This Row],[ICG]],ICG[ICG],ICG[Cohort])</f>
        <v>2024</v>
      </c>
      <c r="C60" t="str">
        <f>_xlfn.XLOOKUP(CF_Gen_1[[#This Row],[ICG]],ICG[ICG],ICG[Portfolio])</f>
        <v>IC-Property</v>
      </c>
      <c r="D60" t="str">
        <f>_xlfn.XLOOKUP(CF_Gen_1[[#This Row],[ICG]],ICG[ICG],ICG[Contract])</f>
        <v>IC</v>
      </c>
      <c r="E60" s="2">
        <f t="shared" si="2"/>
        <v>45930</v>
      </c>
      <c r="F60">
        <v>59</v>
      </c>
      <c r="G60" s="2">
        <f>EOMONTH(DATE(YEAR(CF_Gen_1[[#This Row],[Valuation]])-1,12,31),CF_Gen_1[[#This Row],['#Incurred]]*3)</f>
        <v>51043</v>
      </c>
      <c r="H60" s="14">
        <f>SUMIFS(Expected_CF[Expected_Premium],Expected_CF[ICG],CF_Gen_1[[#This Row],[ICG]],Expected_CF[Incurred],CF_Gen_1[[#This Row],[Incurred]])</f>
        <v>0</v>
      </c>
      <c r="I60" s="14">
        <f>SUMIFS(Expected_CF[Expected_Commission],Expected_CF[ICG],CF_Gen_1[[#This Row],[ICG]],Expected_CF[Incurred],CF_Gen_1[[#This Row],[Incurred]])</f>
        <v>0</v>
      </c>
      <c r="J60" s="14">
        <f>IF(CF_Gen_1[[#This Row],[Contract]]="IC",SUMIFS(Expected_CF[Expected_Acquisition],Expected_CF[ICG],CF_Gen_1[[#This Row],[ICG]],Expected_CF[Incurred],CF_Gen_1[[#This Row],[Incurred]]),0)</f>
        <v>0</v>
      </c>
      <c r="K60" s="14">
        <f>SUMIFS(Earned[Earned_Premium],Earned[ICG],CF_Gen_1[[#This Row],[ICG]],Earned[Incurred],CF_Gen_1[[#This Row],[Incurred]])</f>
        <v>1061035747.7871408</v>
      </c>
      <c r="L60" s="14">
        <f>SUMIFS(Earned[Earned_Commission],Earned[ICG],CF_Gen_1[[#This Row],[ICG]],Earned[Incurred],CF_Gen_1[[#This Row],[Incurred]])</f>
        <v>-318235977.2291913</v>
      </c>
      <c r="M60" s="18">
        <f>_xlfn.XLOOKUP(CF_Gen_1[[#This Row],[ICG]],Assumptions[ICG],Assumptions[Loss_Ratio])</f>
        <v>0.4</v>
      </c>
      <c r="N60" s="18">
        <f>_xlfn.XLOOKUP(CF_Gen_1[[#This Row],[ICG]],Assumptions[ICG],Assumptions[Risk_Adjustment_Ratio])</f>
        <v>0.14000000000000001</v>
      </c>
      <c r="O60" s="18">
        <f>_xlfn.XLOOKUP(CF_Gen_1[[#This Row],[ICG]],Assumptions[ICG],Assumptions[PME_Ratio])</f>
        <v>4.4999999999999998E-2</v>
      </c>
      <c r="P60" s="18">
        <f>_xlfn.XLOOKUP(CF_Gen_1[[#This Row],[ICG]],Assumptions[ICG],Assumptions[ULAE_Ratio])</f>
        <v>0.11</v>
      </c>
      <c r="Q60" s="18">
        <f>_xlfn.XLOOKUP(CF_Gen_1[[#This Row],[ICG]],Assumptions[ICG],Assumptions[Cancellation_Ratio])</f>
        <v>7.0000000000000007E-2</v>
      </c>
      <c r="R60" s="18">
        <f>_xlfn.XLOOKUP(CF_Gen_1[[#This Row],[ICG]],Assumptions[ICG],Assumptions[Premium_Refund_Ratio])</f>
        <v>0.5</v>
      </c>
      <c r="S60" s="18">
        <f>IF(CF_Gen_1[[#This Row],[Contract]]="RC",_xlfn.XLOOKUP(CF_Gen_1[[#This Row],[ICG]],Assumptions[ICG],Assumptions[NPR_Ratio]),0)</f>
        <v>0</v>
      </c>
      <c r="T60" s="17">
        <f>T59*(1-CF_Gen_1[[#This Row],[Cancellation_Ratio]])</f>
        <v>1.4859733343735432E-2</v>
      </c>
      <c r="U60" s="19">
        <f>IF(CF_Gen_1[[#This Row],[Incurred]]&lt;=CF_Gen_1[[#This Row],[Valuation]],CF_Gen_1[[#This Row],[Expected_Premium]],-CF_Gen_1[[#This Row],[Probability_of_Inforce]]*CF_Gen_1[[#This Row],[Premium_Refund_Ratio]]*CF_Gen_1[[#This Row],[Cancellation_Ratio]]*SUM(K60:K$105))</f>
        <v>-10080700.315262908</v>
      </c>
      <c r="V6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Row],[Cancellation_Ratio]]*SUM(L60:L$105))</f>
        <v>2868043.6283467077</v>
      </c>
      <c r="W60" s="19">
        <f>CF_Gen_1[[#This Row],[Expected_Acquisition]]</f>
        <v>0</v>
      </c>
      <c r="X60" s="19">
        <f>-CF_Gen_1[[#This Row],[Probability_of_Inforce]]*CF_Gen_1[[#This Row],[Earned_Premium]]*(1-CF_Gen_1[[#This Row],[Cancellation_Ratio]])*CF_Gen_1[[#This Row],[PME_Ratio]]+CF_Gen_1[[#This Row],[ULAE_Ratio]]*CF_Gen_1[[#This Row],[Exp_Claim]]</f>
        <v>-1305010.4443594241</v>
      </c>
      <c r="Y60" s="19">
        <f>-CF_Gen_1[[#This Row],[Probability_of_Inforce]]*CF_Gen_1[[#This Row],[Earned_Premium]]*(1-CF_Gen_1[[#This Row],[Cancellation_Ratio]])*CF_Gen_1[[#This Row],[Loss_Ratio]]</f>
        <v>-5865215.4802670749</v>
      </c>
      <c r="Z60" s="19">
        <f>CF_Gen_1[[#This Row],[Exp_Claim]]*CF_Gen_1[[#This Row],[Risk_Adjustment_Ratio]]</f>
        <v>-821130.16723739053</v>
      </c>
      <c r="AA60" s="19">
        <f>IF(CF_Gen_1[[#This Row],[Contract]]="RC",-CF_Gen_1[[#This Row],[NPR_Ratio]]*CF_Gen_1[[#This Row],[Exp_Claim]],0)</f>
        <v>0</v>
      </c>
      <c r="AB60" s="19">
        <f>SUMIFS(Actual_CF[Actual_Premium],Actual_CF[ICG],CF_Gen_1[[#This Row],[ICG]],Actual_CF[Incurred],CF_Gen_1[[#This Row],[Incurred]])</f>
        <v>0</v>
      </c>
      <c r="AC60" s="19">
        <f>SUMIFS(Actual_CF[Actual_Commission],Actual_CF[ICG],CF_Gen_1[[#This Row],[ICG]],Actual_CF[Incurred],CF_Gen_1[[#This Row],[Incurred]])</f>
        <v>0</v>
      </c>
      <c r="AD60" s="19">
        <f>SUMIFS(Actual_CF[Actual_Acquisition],Actual_CF[ICG],CF_Gen_1[[#This Row],[ICG]],Actual_CF[Incurred],CF_Gen_1[[#This Row],[Incurred]])</f>
        <v>0</v>
      </c>
    </row>
    <row r="61" spans="1:30">
      <c r="A61" t="str">
        <f t="shared" si="1"/>
        <v>#2024#IC-Property</v>
      </c>
      <c r="B61">
        <f>_xlfn.XLOOKUP(CF_Gen_1[[#This Row],[ICG]],ICG[ICG],ICG[Cohort])</f>
        <v>2024</v>
      </c>
      <c r="C61" t="str">
        <f>_xlfn.XLOOKUP(CF_Gen_1[[#This Row],[ICG]],ICG[ICG],ICG[Portfolio])</f>
        <v>IC-Property</v>
      </c>
      <c r="D61" t="str">
        <f>_xlfn.XLOOKUP(CF_Gen_1[[#This Row],[ICG]],ICG[ICG],ICG[Contract])</f>
        <v>IC</v>
      </c>
      <c r="E61" s="2">
        <f t="shared" si="2"/>
        <v>45930</v>
      </c>
      <c r="F61">
        <v>60</v>
      </c>
      <c r="G61" s="2">
        <f>EOMONTH(DATE(YEAR(CF_Gen_1[[#This Row],[Valuation]])-1,12,31),CF_Gen_1[[#This Row],['#Incurred]]*3)</f>
        <v>51135</v>
      </c>
      <c r="H61" s="14">
        <f>SUMIFS(Expected_CF[Expected_Premium],Expected_CF[ICG],CF_Gen_1[[#This Row],[ICG]],Expected_CF[Incurred],CF_Gen_1[[#This Row],[Incurred]])</f>
        <v>0</v>
      </c>
      <c r="I61" s="14">
        <f>SUMIFS(Expected_CF[Expected_Commission],Expected_CF[ICG],CF_Gen_1[[#This Row],[ICG]],Expected_CF[Incurred],CF_Gen_1[[#This Row],[Incurred]])</f>
        <v>0</v>
      </c>
      <c r="J61" s="14">
        <f>IF(CF_Gen_1[[#This Row],[Contract]]="IC",SUMIFS(Expected_CF[Expected_Acquisition],Expected_CF[ICG],CF_Gen_1[[#This Row],[ICG]],Expected_CF[Incurred],CF_Gen_1[[#This Row],[Incurred]]),0)</f>
        <v>0</v>
      </c>
      <c r="K61" s="14">
        <f>SUMIFS(Earned[Earned_Premium],Earned[ICG],CF_Gen_1[[#This Row],[ICG]],Earned[Incurred],CF_Gen_1[[#This Row],[Incurred]])</f>
        <v>1031147416.8635596</v>
      </c>
      <c r="L61" s="14">
        <f>SUMIFS(Earned[Earned_Commission],Earned[ICG],CF_Gen_1[[#This Row],[ICG]],Earned[Incurred],CF_Gen_1[[#This Row],[Incurred]])</f>
        <v>-308736395.81936467</v>
      </c>
      <c r="M61" s="18">
        <f>_xlfn.XLOOKUP(CF_Gen_1[[#This Row],[ICG]],Assumptions[ICG],Assumptions[Loss_Ratio])</f>
        <v>0.4</v>
      </c>
      <c r="N61" s="18">
        <f>_xlfn.XLOOKUP(CF_Gen_1[[#This Row],[ICG]],Assumptions[ICG],Assumptions[Risk_Adjustment_Ratio])</f>
        <v>0.14000000000000001</v>
      </c>
      <c r="O61" s="18">
        <f>_xlfn.XLOOKUP(CF_Gen_1[[#This Row],[ICG]],Assumptions[ICG],Assumptions[PME_Ratio])</f>
        <v>4.4999999999999998E-2</v>
      </c>
      <c r="P61" s="18">
        <f>_xlfn.XLOOKUP(CF_Gen_1[[#This Row],[ICG]],Assumptions[ICG],Assumptions[ULAE_Ratio])</f>
        <v>0.11</v>
      </c>
      <c r="Q61" s="18">
        <f>_xlfn.XLOOKUP(CF_Gen_1[[#This Row],[ICG]],Assumptions[ICG],Assumptions[Cancellation_Ratio])</f>
        <v>7.0000000000000007E-2</v>
      </c>
      <c r="R61" s="18">
        <f>_xlfn.XLOOKUP(CF_Gen_1[[#This Row],[ICG]],Assumptions[ICG],Assumptions[Premium_Refund_Ratio])</f>
        <v>0.5</v>
      </c>
      <c r="S61" s="18">
        <f>IF(CF_Gen_1[[#This Row],[Contract]]="RC",_xlfn.XLOOKUP(CF_Gen_1[[#This Row],[ICG]],Assumptions[ICG],Assumptions[NPR_Ratio]),0)</f>
        <v>0</v>
      </c>
      <c r="T61" s="17">
        <f>T60*(1-CF_Gen_1[[#This Row],[Cancellation_Ratio]])</f>
        <v>1.3819552009673951E-2</v>
      </c>
      <c r="U61" s="19">
        <f>IF(CF_Gen_1[[#This Row],[Incurred]]&lt;=CF_Gen_1[[#This Row],[Valuation]],CF_Gen_1[[#This Row],[Expected_Premium]],-CF_Gen_1[[#This Row],[Probability_of_Inforce]]*CF_Gen_1[[#This Row],[Premium_Refund_Ratio]]*CF_Gen_1[[#This Row],[Cancellation_Ratio]]*SUM(K61:K$105))</f>
        <v>-8861844.9386711344</v>
      </c>
      <c r="V6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Row],[Cancellation_Ratio]]*SUM(L61:L$105))</f>
        <v>2513354.8220090503</v>
      </c>
      <c r="W61" s="19">
        <f>CF_Gen_1[[#This Row],[Expected_Acquisition]]</f>
        <v>0</v>
      </c>
      <c r="X61" s="19">
        <f>-CF_Gen_1[[#This Row],[Probability_of_Inforce]]*CF_Gen_1[[#This Row],[Earned_Premium]]*(1-CF_Gen_1[[#This Row],[Cancellation_Ratio]])*CF_Gen_1[[#This Row],[PME_Ratio]]+CF_Gen_1[[#This Row],[ULAE_Ratio]]*CF_Gen_1[[#This Row],[Exp_Claim]]</f>
        <v>-1179472.1156978062</v>
      </c>
      <c r="Y61" s="19">
        <f>-CF_Gen_1[[#This Row],[Probability_of_Inforce]]*CF_Gen_1[[#This Row],[Earned_Premium]]*(1-CF_Gen_1[[#This Row],[Cancellation_Ratio]])*CF_Gen_1[[#This Row],[Loss_Ratio]]</f>
        <v>-5300998.2727991305</v>
      </c>
      <c r="Z61" s="19">
        <f>CF_Gen_1[[#This Row],[Exp_Claim]]*CF_Gen_1[[#This Row],[Risk_Adjustment_Ratio]]</f>
        <v>-742139.75819187833</v>
      </c>
      <c r="AA61" s="19">
        <f>IF(CF_Gen_1[[#This Row],[Contract]]="RC",-CF_Gen_1[[#This Row],[NPR_Ratio]]*CF_Gen_1[[#This Row],[Exp_Claim]],0)</f>
        <v>0</v>
      </c>
      <c r="AB61" s="19">
        <f>SUMIFS(Actual_CF[Actual_Premium],Actual_CF[ICG],CF_Gen_1[[#This Row],[ICG]],Actual_CF[Incurred],CF_Gen_1[[#This Row],[Incurred]])</f>
        <v>0</v>
      </c>
      <c r="AC61" s="19">
        <f>SUMIFS(Actual_CF[Actual_Commission],Actual_CF[ICG],CF_Gen_1[[#This Row],[ICG]],Actual_CF[Incurred],CF_Gen_1[[#This Row],[Incurred]])</f>
        <v>0</v>
      </c>
      <c r="AD61" s="19">
        <f>SUMIFS(Actual_CF[Actual_Acquisition],Actual_CF[ICG],CF_Gen_1[[#This Row],[ICG]],Actual_CF[Incurred],CF_Gen_1[[#This Row],[Incurred]])</f>
        <v>0</v>
      </c>
    </row>
    <row r="62" spans="1:30">
      <c r="A62" t="str">
        <f t="shared" si="1"/>
        <v>#2024#IC-Property</v>
      </c>
      <c r="B62">
        <f>_xlfn.XLOOKUP(CF_Gen_1[[#This Row],[ICG]],ICG[ICG],ICG[Cohort])</f>
        <v>2024</v>
      </c>
      <c r="C62" t="str">
        <f>_xlfn.XLOOKUP(CF_Gen_1[[#This Row],[ICG]],ICG[ICG],ICG[Portfolio])</f>
        <v>IC-Property</v>
      </c>
      <c r="D62" t="str">
        <f>_xlfn.XLOOKUP(CF_Gen_1[[#This Row],[ICG]],ICG[ICG],ICG[Contract])</f>
        <v>IC</v>
      </c>
      <c r="E62" s="2">
        <f t="shared" si="2"/>
        <v>45930</v>
      </c>
      <c r="F62">
        <v>61</v>
      </c>
      <c r="G62" s="2">
        <f>EOMONTH(DATE(YEAR(CF_Gen_1[[#This Row],[Valuation]])-1,12,31),CF_Gen_1[[#This Row],['#Incurred]]*3)</f>
        <v>51226</v>
      </c>
      <c r="H62" s="14">
        <f>SUMIFS(Expected_CF[Expected_Premium],Expected_CF[ICG],CF_Gen_1[[#This Row],[ICG]],Expected_CF[Incurred],CF_Gen_1[[#This Row],[Incurred]])</f>
        <v>0</v>
      </c>
      <c r="I62" s="14">
        <f>SUMIFS(Expected_CF[Expected_Commission],Expected_CF[ICG],CF_Gen_1[[#This Row],[ICG]],Expected_CF[Incurred],CF_Gen_1[[#This Row],[Incurred]])</f>
        <v>0</v>
      </c>
      <c r="J62" s="14">
        <f>IF(CF_Gen_1[[#This Row],[Contract]]="IC",SUMIFS(Expected_CF[Expected_Acquisition],Expected_CF[ICG],CF_Gen_1[[#This Row],[ICG]],Expected_CF[Incurred],CF_Gen_1[[#This Row],[Incurred]]),0)</f>
        <v>0</v>
      </c>
      <c r="K62" s="14">
        <f>SUMIFS(Earned[Earned_Premium],Earned[ICG],CF_Gen_1[[#This Row],[ICG]],Earned[Incurred],CF_Gen_1[[#This Row],[Incurred]])</f>
        <v>1001259085.9399782</v>
      </c>
      <c r="L62" s="14">
        <f>SUMIFS(Earned[Earned_Commission],Earned[ICG],CF_Gen_1[[#This Row],[ICG]],Earned[Incurred],CF_Gen_1[[#This Row],[Incurred]])</f>
        <v>-299236814.40953809</v>
      </c>
      <c r="M62" s="18">
        <f>_xlfn.XLOOKUP(CF_Gen_1[[#This Row],[ICG]],Assumptions[ICG],Assumptions[Loss_Ratio])</f>
        <v>0.4</v>
      </c>
      <c r="N62" s="18">
        <f>_xlfn.XLOOKUP(CF_Gen_1[[#This Row],[ICG]],Assumptions[ICG],Assumptions[Risk_Adjustment_Ratio])</f>
        <v>0.14000000000000001</v>
      </c>
      <c r="O62" s="18">
        <f>_xlfn.XLOOKUP(CF_Gen_1[[#This Row],[ICG]],Assumptions[ICG],Assumptions[PME_Ratio])</f>
        <v>4.4999999999999998E-2</v>
      </c>
      <c r="P62" s="18">
        <f>_xlfn.XLOOKUP(CF_Gen_1[[#This Row],[ICG]],Assumptions[ICG],Assumptions[ULAE_Ratio])</f>
        <v>0.11</v>
      </c>
      <c r="Q62" s="18">
        <f>_xlfn.XLOOKUP(CF_Gen_1[[#This Row],[ICG]],Assumptions[ICG],Assumptions[Cancellation_Ratio])</f>
        <v>7.0000000000000007E-2</v>
      </c>
      <c r="R62" s="18">
        <f>_xlfn.XLOOKUP(CF_Gen_1[[#This Row],[ICG]],Assumptions[ICG],Assumptions[Premium_Refund_Ratio])</f>
        <v>0.5</v>
      </c>
      <c r="S62" s="18">
        <f>IF(CF_Gen_1[[#This Row],[Contract]]="RC",_xlfn.XLOOKUP(CF_Gen_1[[#This Row],[ICG]],Assumptions[ICG],Assumptions[NPR_Ratio]),0)</f>
        <v>0</v>
      </c>
      <c r="T62" s="17">
        <f>T61*(1-CF_Gen_1[[#This Row],[Cancellation_Ratio]])</f>
        <v>1.2852183368996774E-2</v>
      </c>
      <c r="U62" s="19">
        <f>IF(CF_Gen_1[[#This Row],[Incurred]]&lt;=CF_Gen_1[[#This Row],[Valuation]],CF_Gen_1[[#This Row],[Expected_Premium]],-CF_Gen_1[[#This Row],[Probability_of_Inforce]]*CF_Gen_1[[#This Row],[Premium_Refund_Ratio]]*CF_Gen_1[[#This Row],[Cancellation_Ratio]]*SUM(K62:K$105))</f>
        <v>-7777678.4440942314</v>
      </c>
      <c r="V6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Row],[Cancellation_Ratio]]*SUM(L62:L$105))</f>
        <v>2198542.1974570388</v>
      </c>
      <c r="W62" s="19">
        <f>CF_Gen_1[[#This Row],[Expected_Acquisition]]</f>
        <v>0</v>
      </c>
      <c r="X62" s="19">
        <f>-CF_Gen_1[[#This Row],[Probability_of_Inforce]]*CF_Gen_1[[#This Row],[Earned_Premium]]*(1-CF_Gen_1[[#This Row],[Cancellation_Ratio]])*CF_Gen_1[[#This Row],[PME_Ratio]]+CF_Gen_1[[#This Row],[ULAE_Ratio]]*CF_Gen_1[[#This Row],[Exp_Claim]]</f>
        <v>-1065114.6018714539</v>
      </c>
      <c r="Y62" s="19">
        <f>-CF_Gen_1[[#This Row],[Probability_of_Inforce]]*CF_Gen_1[[#This Row],[Earned_Premium]]*(1-CF_Gen_1[[#This Row],[Cancellation_Ratio]])*CF_Gen_1[[#This Row],[Loss_Ratio]]</f>
        <v>-4787031.9185233889</v>
      </c>
      <c r="Z62" s="19">
        <f>CF_Gen_1[[#This Row],[Exp_Claim]]*CF_Gen_1[[#This Row],[Risk_Adjustment_Ratio]]</f>
        <v>-670184.46859327448</v>
      </c>
      <c r="AA62" s="19">
        <f>IF(CF_Gen_1[[#This Row],[Contract]]="RC",-CF_Gen_1[[#This Row],[NPR_Ratio]]*CF_Gen_1[[#This Row],[Exp_Claim]],0)</f>
        <v>0</v>
      </c>
      <c r="AB62" s="19">
        <f>SUMIFS(Actual_CF[Actual_Premium],Actual_CF[ICG],CF_Gen_1[[#This Row],[ICG]],Actual_CF[Incurred],CF_Gen_1[[#This Row],[Incurred]])</f>
        <v>0</v>
      </c>
      <c r="AC62" s="19">
        <f>SUMIFS(Actual_CF[Actual_Commission],Actual_CF[ICG],CF_Gen_1[[#This Row],[ICG]],Actual_CF[Incurred],CF_Gen_1[[#This Row],[Incurred]])</f>
        <v>0</v>
      </c>
      <c r="AD62" s="19">
        <f>SUMIFS(Actual_CF[Actual_Acquisition],Actual_CF[ICG],CF_Gen_1[[#This Row],[ICG]],Actual_CF[Incurred],CF_Gen_1[[#This Row],[Incurred]])</f>
        <v>0</v>
      </c>
    </row>
    <row r="63" spans="1:30">
      <c r="A63" t="str">
        <f t="shared" si="1"/>
        <v>#2024#IC-Property</v>
      </c>
      <c r="B63">
        <f>_xlfn.XLOOKUP(CF_Gen_1[[#This Row],[ICG]],ICG[ICG],ICG[Cohort])</f>
        <v>2024</v>
      </c>
      <c r="C63" t="str">
        <f>_xlfn.XLOOKUP(CF_Gen_1[[#This Row],[ICG]],ICG[ICG],ICG[Portfolio])</f>
        <v>IC-Property</v>
      </c>
      <c r="D63" t="str">
        <f>_xlfn.XLOOKUP(CF_Gen_1[[#This Row],[ICG]],ICG[ICG],ICG[Contract])</f>
        <v>IC</v>
      </c>
      <c r="E63" s="2">
        <f t="shared" si="2"/>
        <v>45930</v>
      </c>
      <c r="F63">
        <v>62</v>
      </c>
      <c r="G63" s="2">
        <f>EOMONTH(DATE(YEAR(CF_Gen_1[[#This Row],[Valuation]])-1,12,31),CF_Gen_1[[#This Row],['#Incurred]]*3)</f>
        <v>51317</v>
      </c>
      <c r="H63" s="14">
        <f>SUMIFS(Expected_CF[Expected_Premium],Expected_CF[ICG],CF_Gen_1[[#This Row],[ICG]],Expected_CF[Incurred],CF_Gen_1[[#This Row],[Incurred]])</f>
        <v>0</v>
      </c>
      <c r="I63" s="14">
        <f>SUMIFS(Expected_CF[Expected_Commission],Expected_CF[ICG],CF_Gen_1[[#This Row],[ICG]],Expected_CF[Incurred],CF_Gen_1[[#This Row],[Incurred]])</f>
        <v>0</v>
      </c>
      <c r="J63" s="14">
        <f>IF(CF_Gen_1[[#This Row],[Contract]]="IC",SUMIFS(Expected_CF[Expected_Acquisition],Expected_CF[ICG],CF_Gen_1[[#This Row],[ICG]],Expected_CF[Incurred],CF_Gen_1[[#This Row],[Incurred]]),0)</f>
        <v>0</v>
      </c>
      <c r="K63" s="14">
        <f>SUMIFS(Earned[Earned_Premium],Earned[ICG],CF_Gen_1[[#This Row],[ICG]],Earned[Incurred],CF_Gen_1[[#This Row],[Incurred]])</f>
        <v>971370755.01639676</v>
      </c>
      <c r="L63" s="14">
        <f>SUMIFS(Earned[Earned_Commission],Earned[ICG],CF_Gen_1[[#This Row],[ICG]],Earned[Incurred],CF_Gen_1[[#This Row],[Incurred]])</f>
        <v>-289737232.99971145</v>
      </c>
      <c r="M63" s="18">
        <f>_xlfn.XLOOKUP(CF_Gen_1[[#This Row],[ICG]],Assumptions[ICG],Assumptions[Loss_Ratio])</f>
        <v>0.4</v>
      </c>
      <c r="N63" s="18">
        <f>_xlfn.XLOOKUP(CF_Gen_1[[#This Row],[ICG]],Assumptions[ICG],Assumptions[Risk_Adjustment_Ratio])</f>
        <v>0.14000000000000001</v>
      </c>
      <c r="O63" s="18">
        <f>_xlfn.XLOOKUP(CF_Gen_1[[#This Row],[ICG]],Assumptions[ICG],Assumptions[PME_Ratio])</f>
        <v>4.4999999999999998E-2</v>
      </c>
      <c r="P63" s="18">
        <f>_xlfn.XLOOKUP(CF_Gen_1[[#This Row],[ICG]],Assumptions[ICG],Assumptions[ULAE_Ratio])</f>
        <v>0.11</v>
      </c>
      <c r="Q63" s="18">
        <f>_xlfn.XLOOKUP(CF_Gen_1[[#This Row],[ICG]],Assumptions[ICG],Assumptions[Cancellation_Ratio])</f>
        <v>7.0000000000000007E-2</v>
      </c>
      <c r="R63" s="18">
        <f>_xlfn.XLOOKUP(CF_Gen_1[[#This Row],[ICG]],Assumptions[ICG],Assumptions[Premium_Refund_Ratio])</f>
        <v>0.5</v>
      </c>
      <c r="S63" s="18">
        <f>IF(CF_Gen_1[[#This Row],[Contract]]="RC",_xlfn.XLOOKUP(CF_Gen_1[[#This Row],[ICG]],Assumptions[ICG],Assumptions[NPR_Ratio]),0)</f>
        <v>0</v>
      </c>
      <c r="T63" s="17">
        <f>T62*(1-CF_Gen_1[[#This Row],[Cancellation_Ratio]])</f>
        <v>1.1952530533167E-2</v>
      </c>
      <c r="U63" s="19">
        <f>IF(CF_Gen_1[[#This Row],[Incurred]]&lt;=CF_Gen_1[[#This Row],[Valuation]],CF_Gen_1[[#This Row],[Expected_Premium]],-CF_Gen_1[[#This Row],[Probability_of_Inforce]]*CF_Gen_1[[#This Row],[Premium_Refund_Ratio]]*CF_Gen_1[[#This Row],[Cancellation_Ratio]]*SUM(K63:K$105))</f>
        <v>-6814375.6601368384</v>
      </c>
      <c r="V6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Row],[Cancellation_Ratio]]*SUM(L63:L$105))</f>
        <v>1919461.9430043292</v>
      </c>
      <c r="W63" s="19">
        <f>CF_Gen_1[[#This Row],[Expected_Acquisition]]</f>
        <v>0</v>
      </c>
      <c r="X63" s="19">
        <f>-CF_Gen_1[[#This Row],[Probability_of_Inforce]]*CF_Gen_1[[#This Row],[Earned_Premium]]*(1-CF_Gen_1[[#This Row],[Cancellation_Ratio]])*CF_Gen_1[[#This Row],[PME_Ratio]]+CF_Gen_1[[#This Row],[ULAE_Ratio]]*CF_Gen_1[[#This Row],[Exp_Claim]]</f>
        <v>-960987.7266138714</v>
      </c>
      <c r="Y63" s="19">
        <f>-CF_Gen_1[[#This Row],[Probability_of_Inforce]]*CF_Gen_1[[#This Row],[Earned_Premium]]*(1-CF_Gen_1[[#This Row],[Cancellation_Ratio]])*CF_Gen_1[[#This Row],[Loss_Ratio]]</f>
        <v>-4319045.9623095347</v>
      </c>
      <c r="Z63" s="19">
        <f>CF_Gen_1[[#This Row],[Exp_Claim]]*CF_Gen_1[[#This Row],[Risk_Adjustment_Ratio]]</f>
        <v>-604666.43472333485</v>
      </c>
      <c r="AA63" s="19">
        <f>IF(CF_Gen_1[[#This Row],[Contract]]="RC",-CF_Gen_1[[#This Row],[NPR_Ratio]]*CF_Gen_1[[#This Row],[Exp_Claim]],0)</f>
        <v>0</v>
      </c>
      <c r="AB63" s="19">
        <f>SUMIFS(Actual_CF[Actual_Premium],Actual_CF[ICG],CF_Gen_1[[#This Row],[ICG]],Actual_CF[Incurred],CF_Gen_1[[#This Row],[Incurred]])</f>
        <v>0</v>
      </c>
      <c r="AC63" s="19">
        <f>SUMIFS(Actual_CF[Actual_Commission],Actual_CF[ICG],CF_Gen_1[[#This Row],[ICG]],Actual_CF[Incurred],CF_Gen_1[[#This Row],[Incurred]])</f>
        <v>0</v>
      </c>
      <c r="AD63" s="19">
        <f>SUMIFS(Actual_CF[Actual_Acquisition],Actual_CF[ICG],CF_Gen_1[[#This Row],[ICG]],Actual_CF[Incurred],CF_Gen_1[[#This Row],[Incurred]])</f>
        <v>0</v>
      </c>
    </row>
    <row r="64" spans="1:30">
      <c r="A64" t="str">
        <f t="shared" si="1"/>
        <v>#2024#IC-Property</v>
      </c>
      <c r="B64">
        <f>_xlfn.XLOOKUP(CF_Gen_1[[#This Row],[ICG]],ICG[ICG],ICG[Cohort])</f>
        <v>2024</v>
      </c>
      <c r="C64" t="str">
        <f>_xlfn.XLOOKUP(CF_Gen_1[[#This Row],[ICG]],ICG[ICG],ICG[Portfolio])</f>
        <v>IC-Property</v>
      </c>
      <c r="D64" t="str">
        <f>_xlfn.XLOOKUP(CF_Gen_1[[#This Row],[ICG]],ICG[ICG],ICG[Contract])</f>
        <v>IC</v>
      </c>
      <c r="E64" s="2">
        <f t="shared" si="2"/>
        <v>45930</v>
      </c>
      <c r="F64">
        <v>63</v>
      </c>
      <c r="G64" s="2">
        <f>EOMONTH(DATE(YEAR(CF_Gen_1[[#This Row],[Valuation]])-1,12,31),CF_Gen_1[[#This Row],['#Incurred]]*3)</f>
        <v>51409</v>
      </c>
      <c r="H64" s="14">
        <f>SUMIFS(Expected_CF[Expected_Premium],Expected_CF[ICG],CF_Gen_1[[#This Row],[ICG]],Expected_CF[Incurred],CF_Gen_1[[#This Row],[Incurred]])</f>
        <v>0</v>
      </c>
      <c r="I64" s="14">
        <f>SUMIFS(Expected_CF[Expected_Commission],Expected_CF[ICG],CF_Gen_1[[#This Row],[ICG]],Expected_CF[Incurred],CF_Gen_1[[#This Row],[Incurred]])</f>
        <v>0</v>
      </c>
      <c r="J64" s="14">
        <f>IF(CF_Gen_1[[#This Row],[Contract]]="IC",SUMIFS(Expected_CF[Expected_Acquisition],Expected_CF[ICG],CF_Gen_1[[#This Row],[ICG]],Expected_CF[Incurred],CF_Gen_1[[#This Row],[Incurred]]),0)</f>
        <v>0</v>
      </c>
      <c r="K64" s="14">
        <f>SUMIFS(Earned[Earned_Premium],Earned[ICG],CF_Gen_1[[#This Row],[ICG]],Earned[Incurred],CF_Gen_1[[#This Row],[Incurred]])</f>
        <v>941482424.0928154</v>
      </c>
      <c r="L64" s="14">
        <f>SUMIFS(Earned[Earned_Commission],Earned[ICG],CF_Gen_1[[#This Row],[ICG]],Earned[Incurred],CF_Gen_1[[#This Row],[Incurred]])</f>
        <v>-280237651.58988482</v>
      </c>
      <c r="M64" s="18">
        <f>_xlfn.XLOOKUP(CF_Gen_1[[#This Row],[ICG]],Assumptions[ICG],Assumptions[Loss_Ratio])</f>
        <v>0.4</v>
      </c>
      <c r="N64" s="18">
        <f>_xlfn.XLOOKUP(CF_Gen_1[[#This Row],[ICG]],Assumptions[ICG],Assumptions[Risk_Adjustment_Ratio])</f>
        <v>0.14000000000000001</v>
      </c>
      <c r="O64" s="18">
        <f>_xlfn.XLOOKUP(CF_Gen_1[[#This Row],[ICG]],Assumptions[ICG],Assumptions[PME_Ratio])</f>
        <v>4.4999999999999998E-2</v>
      </c>
      <c r="P64" s="18">
        <f>_xlfn.XLOOKUP(CF_Gen_1[[#This Row],[ICG]],Assumptions[ICG],Assumptions[ULAE_Ratio])</f>
        <v>0.11</v>
      </c>
      <c r="Q64" s="18">
        <f>_xlfn.XLOOKUP(CF_Gen_1[[#This Row],[ICG]],Assumptions[ICG],Assumptions[Cancellation_Ratio])</f>
        <v>7.0000000000000007E-2</v>
      </c>
      <c r="R64" s="18">
        <f>_xlfn.XLOOKUP(CF_Gen_1[[#This Row],[ICG]],Assumptions[ICG],Assumptions[Premium_Refund_Ratio])</f>
        <v>0.5</v>
      </c>
      <c r="S64" s="18">
        <f>IF(CF_Gen_1[[#This Row],[Contract]]="RC",_xlfn.XLOOKUP(CF_Gen_1[[#This Row],[ICG]],Assumptions[ICG],Assumptions[NPR_Ratio]),0)</f>
        <v>0</v>
      </c>
      <c r="T64" s="17">
        <f>T63*(1-CF_Gen_1[[#This Row],[Cancellation_Ratio]])</f>
        <v>1.1115853395845308E-2</v>
      </c>
      <c r="U64" s="19">
        <f>IF(CF_Gen_1[[#This Row],[Incurred]]&lt;=CF_Gen_1[[#This Row],[Valuation]],CF_Gen_1[[#This Row],[Expected_Premium]],-CF_Gen_1[[#This Row],[Probability_of_Inforce]]*CF_Gen_1[[#This Row],[Premium_Refund_Ratio]]*CF_Gen_1[[#This Row],[Cancellation_Ratio]]*SUM(K64:K$105))</f>
        <v>-5959452.8422251754</v>
      </c>
      <c r="V6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Row],[Cancellation_Ratio]]*SUM(L64:L$105))</f>
        <v>1672375.925807032</v>
      </c>
      <c r="W64" s="19">
        <f>CF_Gen_1[[#This Row],[Expected_Acquisition]]</f>
        <v>0</v>
      </c>
      <c r="X64" s="19">
        <f>-CF_Gen_1[[#This Row],[Probability_of_Inforce]]*CF_Gen_1[[#This Row],[Earned_Premium]]*(1-CF_Gen_1[[#This Row],[Cancellation_Ratio]])*CF_Gen_1[[#This Row],[PME_Ratio]]+CF_Gen_1[[#This Row],[ULAE_Ratio]]*CF_Gen_1[[#This Row],[Exp_Claim]]</f>
        <v>-866219.55234318029</v>
      </c>
      <c r="Y64" s="19">
        <f>-CF_Gen_1[[#This Row],[Probability_of_Inforce]]*CF_Gen_1[[#This Row],[Earned_Premium]]*(1-CF_Gen_1[[#This Row],[Cancellation_Ratio]])*CF_Gen_1[[#This Row],[Loss_Ratio]]</f>
        <v>-3893121.5835648552</v>
      </c>
      <c r="Z64" s="19">
        <f>CF_Gen_1[[#This Row],[Exp_Claim]]*CF_Gen_1[[#This Row],[Risk_Adjustment_Ratio]]</f>
        <v>-545037.02169907978</v>
      </c>
      <c r="AA64" s="19">
        <f>IF(CF_Gen_1[[#This Row],[Contract]]="RC",-CF_Gen_1[[#This Row],[NPR_Ratio]]*CF_Gen_1[[#This Row],[Exp_Claim]],0)</f>
        <v>0</v>
      </c>
      <c r="AB64" s="19">
        <f>SUMIFS(Actual_CF[Actual_Premium],Actual_CF[ICG],CF_Gen_1[[#This Row],[ICG]],Actual_CF[Incurred],CF_Gen_1[[#This Row],[Incurred]])</f>
        <v>0</v>
      </c>
      <c r="AC64" s="19">
        <f>SUMIFS(Actual_CF[Actual_Commission],Actual_CF[ICG],CF_Gen_1[[#This Row],[ICG]],Actual_CF[Incurred],CF_Gen_1[[#This Row],[Incurred]])</f>
        <v>0</v>
      </c>
      <c r="AD64" s="19">
        <f>SUMIFS(Actual_CF[Actual_Acquisition],Actual_CF[ICG],CF_Gen_1[[#This Row],[ICG]],Actual_CF[Incurred],CF_Gen_1[[#This Row],[Incurred]])</f>
        <v>0</v>
      </c>
    </row>
    <row r="65" spans="1:30">
      <c r="A65" t="str">
        <f t="shared" si="1"/>
        <v>#2024#IC-Property</v>
      </c>
      <c r="B65">
        <f>_xlfn.XLOOKUP(CF_Gen_1[[#This Row],[ICG]],ICG[ICG],ICG[Cohort])</f>
        <v>2024</v>
      </c>
      <c r="C65" t="str">
        <f>_xlfn.XLOOKUP(CF_Gen_1[[#This Row],[ICG]],ICG[ICG],ICG[Portfolio])</f>
        <v>IC-Property</v>
      </c>
      <c r="D65" t="str">
        <f>_xlfn.XLOOKUP(CF_Gen_1[[#This Row],[ICG]],ICG[ICG],ICG[Contract])</f>
        <v>IC</v>
      </c>
      <c r="E65" s="2">
        <f t="shared" si="2"/>
        <v>45930</v>
      </c>
      <c r="F65">
        <v>64</v>
      </c>
      <c r="G65" s="2">
        <f>EOMONTH(DATE(YEAR(CF_Gen_1[[#This Row],[Valuation]])-1,12,31),CF_Gen_1[[#This Row],['#Incurred]]*3)</f>
        <v>51501</v>
      </c>
      <c r="H65" s="14">
        <f>SUMIFS(Expected_CF[Expected_Premium],Expected_CF[ICG],CF_Gen_1[[#This Row],[ICG]],Expected_CF[Incurred],CF_Gen_1[[#This Row],[Incurred]])</f>
        <v>0</v>
      </c>
      <c r="I65" s="14">
        <f>SUMIFS(Expected_CF[Expected_Commission],Expected_CF[ICG],CF_Gen_1[[#This Row],[ICG]],Expected_CF[Incurred],CF_Gen_1[[#This Row],[Incurred]])</f>
        <v>0</v>
      </c>
      <c r="J65" s="14">
        <f>IF(CF_Gen_1[[#This Row],[Contract]]="IC",SUMIFS(Expected_CF[Expected_Acquisition],Expected_CF[ICG],CF_Gen_1[[#This Row],[ICG]],Expected_CF[Incurred],CF_Gen_1[[#This Row],[Incurred]]),0)</f>
        <v>0</v>
      </c>
      <c r="K65" s="14">
        <f>SUMIFS(Earned[Earned_Premium],Earned[ICG],CF_Gen_1[[#This Row],[ICG]],Earned[Incurred],CF_Gen_1[[#This Row],[Incurred]])</f>
        <v>911594093.1692338</v>
      </c>
      <c r="L65" s="14">
        <f>SUMIFS(Earned[Earned_Commission],Earned[ICG],CF_Gen_1[[#This Row],[ICG]],Earned[Incurred],CF_Gen_1[[#This Row],[Incurred]])</f>
        <v>-270738070.18005824</v>
      </c>
      <c r="M65" s="18">
        <f>_xlfn.XLOOKUP(CF_Gen_1[[#This Row],[ICG]],Assumptions[ICG],Assumptions[Loss_Ratio])</f>
        <v>0.4</v>
      </c>
      <c r="N65" s="18">
        <f>_xlfn.XLOOKUP(CF_Gen_1[[#This Row],[ICG]],Assumptions[ICG],Assumptions[Risk_Adjustment_Ratio])</f>
        <v>0.14000000000000001</v>
      </c>
      <c r="O65" s="18">
        <f>_xlfn.XLOOKUP(CF_Gen_1[[#This Row],[ICG]],Assumptions[ICG],Assumptions[PME_Ratio])</f>
        <v>4.4999999999999998E-2</v>
      </c>
      <c r="P65" s="18">
        <f>_xlfn.XLOOKUP(CF_Gen_1[[#This Row],[ICG]],Assumptions[ICG],Assumptions[ULAE_Ratio])</f>
        <v>0.11</v>
      </c>
      <c r="Q65" s="18">
        <f>_xlfn.XLOOKUP(CF_Gen_1[[#This Row],[ICG]],Assumptions[ICG],Assumptions[Cancellation_Ratio])</f>
        <v>7.0000000000000007E-2</v>
      </c>
      <c r="R65" s="18">
        <f>_xlfn.XLOOKUP(CF_Gen_1[[#This Row],[ICG]],Assumptions[ICG],Assumptions[Premium_Refund_Ratio])</f>
        <v>0.5</v>
      </c>
      <c r="S65" s="18">
        <f>IF(CF_Gen_1[[#This Row],[Contract]]="RC",_xlfn.XLOOKUP(CF_Gen_1[[#This Row],[ICG]],Assumptions[ICG],Assumptions[NPR_Ratio]),0)</f>
        <v>0</v>
      </c>
      <c r="T65" s="17">
        <f>T64*(1-CF_Gen_1[[#This Row],[Cancellation_Ratio]])</f>
        <v>1.0337743658136136E-2</v>
      </c>
      <c r="U65" s="19">
        <f>IF(CF_Gen_1[[#This Row],[Incurred]]&lt;=CF_Gen_1[[#This Row],[Valuation]],CF_Gen_1[[#This Row],[Expected_Premium]],-CF_Gen_1[[#This Row],[Probability_of_Inforce]]*CF_Gen_1[[#This Row],[Premium_Refund_Ratio]]*CF_Gen_1[[#This Row],[Cancellation_Ratio]]*SUM(K65:K$105))</f>
        <v>-5201643.0047074873</v>
      </c>
      <c r="V6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Row],[Cancellation_Ratio]]*SUM(L65:L$105))</f>
        <v>1453913.7358082393</v>
      </c>
      <c r="W65" s="19">
        <f>CF_Gen_1[[#This Row],[Expected_Acquisition]]</f>
        <v>0</v>
      </c>
      <c r="X65" s="19">
        <f>-CF_Gen_1[[#This Row],[Probability_of_Inforce]]*CF_Gen_1[[#This Row],[Earned_Premium]]*(1-CF_Gen_1[[#This Row],[Cancellation_Ratio]])*CF_Gen_1[[#This Row],[PME_Ratio]]+CF_Gen_1[[#This Row],[ULAE_Ratio]]*CF_Gen_1[[#This Row],[Exp_Claim]]</f>
        <v>-780010.08260997781</v>
      </c>
      <c r="Y65" s="19">
        <f>-CF_Gen_1[[#This Row],[Probability_of_Inforce]]*CF_Gen_1[[#This Row],[Earned_Premium]]*(1-CF_Gen_1[[#This Row],[Cancellation_Ratio]])*CF_Gen_1[[#This Row],[Loss_Ratio]]</f>
        <v>-3505663.2926291139</v>
      </c>
      <c r="Z65" s="19">
        <f>CF_Gen_1[[#This Row],[Exp_Claim]]*CF_Gen_1[[#This Row],[Risk_Adjustment_Ratio]]</f>
        <v>-490792.86096807598</v>
      </c>
      <c r="AA65" s="19">
        <f>IF(CF_Gen_1[[#This Row],[Contract]]="RC",-CF_Gen_1[[#This Row],[NPR_Ratio]]*CF_Gen_1[[#This Row],[Exp_Claim]],0)</f>
        <v>0</v>
      </c>
      <c r="AB65" s="19">
        <f>SUMIFS(Actual_CF[Actual_Premium],Actual_CF[ICG],CF_Gen_1[[#This Row],[ICG]],Actual_CF[Incurred],CF_Gen_1[[#This Row],[Incurred]])</f>
        <v>0</v>
      </c>
      <c r="AC65" s="19">
        <f>SUMIFS(Actual_CF[Actual_Commission],Actual_CF[ICG],CF_Gen_1[[#This Row],[ICG]],Actual_CF[Incurred],CF_Gen_1[[#This Row],[Incurred]])</f>
        <v>0</v>
      </c>
      <c r="AD65" s="19">
        <f>SUMIFS(Actual_CF[Actual_Acquisition],Actual_CF[ICG],CF_Gen_1[[#This Row],[ICG]],Actual_CF[Incurred],CF_Gen_1[[#This Row],[Incurred]])</f>
        <v>0</v>
      </c>
    </row>
    <row r="66" spans="1:30">
      <c r="A66" t="str">
        <f t="shared" si="1"/>
        <v>#2024#IC-Property</v>
      </c>
      <c r="B66">
        <f>_xlfn.XLOOKUP(CF_Gen_1[[#This Row],[ICG]],ICG[ICG],ICG[Cohort])</f>
        <v>2024</v>
      </c>
      <c r="C66" t="str">
        <f>_xlfn.XLOOKUP(CF_Gen_1[[#This Row],[ICG]],ICG[ICG],ICG[Portfolio])</f>
        <v>IC-Property</v>
      </c>
      <c r="D66" t="str">
        <f>_xlfn.XLOOKUP(CF_Gen_1[[#This Row],[ICG]],ICG[ICG],ICG[Contract])</f>
        <v>IC</v>
      </c>
      <c r="E66" s="2">
        <f t="shared" ref="E66:E105" si="3">ValuationDate</f>
        <v>45930</v>
      </c>
      <c r="F66">
        <v>65</v>
      </c>
      <c r="G66" s="2">
        <f>EOMONTH(DATE(YEAR(CF_Gen_1[[#This Row],[Valuation]])-1,12,31),CF_Gen_1[[#This Row],['#Incurred]]*3)</f>
        <v>51591</v>
      </c>
      <c r="H66" s="14">
        <f>SUMIFS(Expected_CF[Expected_Premium],Expected_CF[ICG],CF_Gen_1[[#This Row],[ICG]],Expected_CF[Incurred],CF_Gen_1[[#This Row],[Incurred]])</f>
        <v>0</v>
      </c>
      <c r="I66" s="14">
        <f>SUMIFS(Expected_CF[Expected_Commission],Expected_CF[ICG],CF_Gen_1[[#This Row],[ICG]],Expected_CF[Incurred],CF_Gen_1[[#This Row],[Incurred]])</f>
        <v>0</v>
      </c>
      <c r="J66" s="14">
        <f>IF(CF_Gen_1[[#This Row],[Contract]]="IC",SUMIFS(Expected_CF[Expected_Acquisition],Expected_CF[ICG],CF_Gen_1[[#This Row],[ICG]],Expected_CF[Incurred],CF_Gen_1[[#This Row],[Incurred]]),0)</f>
        <v>0</v>
      </c>
      <c r="K66" s="14">
        <f>SUMIFS(Earned[Earned_Premium],Earned[ICG],CF_Gen_1[[#This Row],[ICG]],Earned[Incurred],CF_Gen_1[[#This Row],[Incurred]])</f>
        <v>881705762.24565244</v>
      </c>
      <c r="L66" s="14">
        <f>SUMIFS(Earned[Earned_Commission],Earned[ICG],CF_Gen_1[[#This Row],[ICG]],Earned[Incurred],CF_Gen_1[[#This Row],[Incurred]])</f>
        <v>-261238488.77023166</v>
      </c>
      <c r="M66" s="18">
        <f>_xlfn.XLOOKUP(CF_Gen_1[[#This Row],[ICG]],Assumptions[ICG],Assumptions[Loss_Ratio])</f>
        <v>0.4</v>
      </c>
      <c r="N66" s="18">
        <f>_xlfn.XLOOKUP(CF_Gen_1[[#This Row],[ICG]],Assumptions[ICG],Assumptions[Risk_Adjustment_Ratio])</f>
        <v>0.14000000000000001</v>
      </c>
      <c r="O66" s="18">
        <f>_xlfn.XLOOKUP(CF_Gen_1[[#This Row],[ICG]],Assumptions[ICG],Assumptions[PME_Ratio])</f>
        <v>4.4999999999999998E-2</v>
      </c>
      <c r="P66" s="18">
        <f>_xlfn.XLOOKUP(CF_Gen_1[[#This Row],[ICG]],Assumptions[ICG],Assumptions[ULAE_Ratio])</f>
        <v>0.11</v>
      </c>
      <c r="Q66" s="18">
        <f>_xlfn.XLOOKUP(CF_Gen_1[[#This Row],[ICG]],Assumptions[ICG],Assumptions[Cancellation_Ratio])</f>
        <v>7.0000000000000007E-2</v>
      </c>
      <c r="R66" s="18">
        <f>_xlfn.XLOOKUP(CF_Gen_1[[#This Row],[ICG]],Assumptions[ICG],Assumptions[Premium_Refund_Ratio])</f>
        <v>0.5</v>
      </c>
      <c r="S66" s="18">
        <f>IF(CF_Gen_1[[#This Row],[Contract]]="RC",_xlfn.XLOOKUP(CF_Gen_1[[#This Row],[ICG]],Assumptions[ICG],Assumptions[NPR_Ratio]),0)</f>
        <v>0</v>
      </c>
      <c r="T66" s="17">
        <f>T65*(1-CF_Gen_1[[#This Row],[Cancellation_Ratio]])</f>
        <v>9.6141016020666048E-3</v>
      </c>
      <c r="U66" s="19">
        <f>IF(CF_Gen_1[[#This Row],[Incurred]]&lt;=CF_Gen_1[[#This Row],[Valuation]],CF_Gen_1[[#This Row],[Expected_Premium]],-CF_Gen_1[[#This Row],[Probability_of_Inforce]]*CF_Gen_1[[#This Row],[Premium_Refund_Ratio]]*CF_Gen_1[[#This Row],[Cancellation_Ratio]]*SUM(K66:K$105))</f>
        <v>-4530782.456272915</v>
      </c>
      <c r="V6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Row],[Cancellation_Ratio]]*SUM(L66:L$105))</f>
        <v>1261038.1583026145</v>
      </c>
      <c r="W66" s="19">
        <f>CF_Gen_1[[#This Row],[Expected_Acquisition]]</f>
        <v>0</v>
      </c>
      <c r="X66" s="19">
        <f>-CF_Gen_1[[#This Row],[Probability_of_Inforce]]*CF_Gen_1[[#This Row],[Earned_Premium]]*(1-CF_Gen_1[[#This Row],[Cancellation_Ratio]])*CF_Gen_1[[#This Row],[PME_Ratio]]+CF_Gen_1[[#This Row],[ULAE_Ratio]]*CF_Gen_1[[#This Row],[Exp_Claim]]</f>
        <v>-701625.46283294237</v>
      </c>
      <c r="Y66" s="19">
        <f>-CF_Gen_1[[#This Row],[Probability_of_Inforce]]*CF_Gen_1[[#This Row],[Earned_Premium]]*(1-CF_Gen_1[[#This Row],[Cancellation_Ratio]])*CF_Gen_1[[#This Row],[Loss_Ratio]]</f>
        <v>-3153372.8666649098</v>
      </c>
      <c r="Z66" s="19">
        <f>CF_Gen_1[[#This Row],[Exp_Claim]]*CF_Gen_1[[#This Row],[Risk_Adjustment_Ratio]]</f>
        <v>-441472.2013330874</v>
      </c>
      <c r="AA66" s="19">
        <f>IF(CF_Gen_1[[#This Row],[Contract]]="RC",-CF_Gen_1[[#This Row],[NPR_Ratio]]*CF_Gen_1[[#This Row],[Exp_Claim]],0)</f>
        <v>0</v>
      </c>
      <c r="AB66" s="19">
        <f>SUMIFS(Actual_CF[Actual_Premium],Actual_CF[ICG],CF_Gen_1[[#This Row],[ICG]],Actual_CF[Incurred],CF_Gen_1[[#This Row],[Incurred]])</f>
        <v>0</v>
      </c>
      <c r="AC66" s="19">
        <f>SUMIFS(Actual_CF[Actual_Commission],Actual_CF[ICG],CF_Gen_1[[#This Row],[ICG]],Actual_CF[Incurred],CF_Gen_1[[#This Row],[Incurred]])</f>
        <v>0</v>
      </c>
      <c r="AD66" s="19">
        <f>SUMIFS(Actual_CF[Actual_Acquisition],Actual_CF[ICG],CF_Gen_1[[#This Row],[ICG]],Actual_CF[Incurred],CF_Gen_1[[#This Row],[Incurred]])</f>
        <v>0</v>
      </c>
    </row>
    <row r="67" spans="1:30">
      <c r="A67" t="str">
        <f t="shared" si="1"/>
        <v>#2024#IC-Property</v>
      </c>
      <c r="B67">
        <f>_xlfn.XLOOKUP(CF_Gen_1[[#This Row],[ICG]],ICG[ICG],ICG[Cohort])</f>
        <v>2024</v>
      </c>
      <c r="C67" t="str">
        <f>_xlfn.XLOOKUP(CF_Gen_1[[#This Row],[ICG]],ICG[ICG],ICG[Portfolio])</f>
        <v>IC-Property</v>
      </c>
      <c r="D67" t="str">
        <f>_xlfn.XLOOKUP(CF_Gen_1[[#This Row],[ICG]],ICG[ICG],ICG[Contract])</f>
        <v>IC</v>
      </c>
      <c r="E67" s="2">
        <f t="shared" si="3"/>
        <v>45930</v>
      </c>
      <c r="F67">
        <v>66</v>
      </c>
      <c r="G67" s="2">
        <f>EOMONTH(DATE(YEAR(CF_Gen_1[[#This Row],[Valuation]])-1,12,31),CF_Gen_1[[#This Row],['#Incurred]]*3)</f>
        <v>51682</v>
      </c>
      <c r="H67" s="14">
        <f>SUMIFS(Expected_CF[Expected_Premium],Expected_CF[ICG],CF_Gen_1[[#This Row],[ICG]],Expected_CF[Incurred],CF_Gen_1[[#This Row],[Incurred]])</f>
        <v>0</v>
      </c>
      <c r="I67" s="14">
        <f>SUMIFS(Expected_CF[Expected_Commission],Expected_CF[ICG],CF_Gen_1[[#This Row],[ICG]],Expected_CF[Incurred],CF_Gen_1[[#This Row],[Incurred]])</f>
        <v>0</v>
      </c>
      <c r="J67" s="14">
        <f>IF(CF_Gen_1[[#This Row],[Contract]]="IC",SUMIFS(Expected_CF[Expected_Acquisition],Expected_CF[ICG],CF_Gen_1[[#This Row],[ICG]],Expected_CF[Incurred],CF_Gen_1[[#This Row],[Incurred]]),0)</f>
        <v>0</v>
      </c>
      <c r="K67" s="14">
        <f>SUMIFS(Earned[Earned_Premium],Earned[ICG],CF_Gen_1[[#This Row],[ICG]],Earned[Incurred],CF_Gen_1[[#This Row],[Incurred]])</f>
        <v>851817431.32207096</v>
      </c>
      <c r="L67" s="14">
        <f>SUMIFS(Earned[Earned_Commission],Earned[ICG],CF_Gen_1[[#This Row],[ICG]],Earned[Incurred],CF_Gen_1[[#This Row],[Incurred]])</f>
        <v>-251738907.36040503</v>
      </c>
      <c r="M67" s="18">
        <f>_xlfn.XLOOKUP(CF_Gen_1[[#This Row],[ICG]],Assumptions[ICG],Assumptions[Loss_Ratio])</f>
        <v>0.4</v>
      </c>
      <c r="N67" s="18">
        <f>_xlfn.XLOOKUP(CF_Gen_1[[#This Row],[ICG]],Assumptions[ICG],Assumptions[Risk_Adjustment_Ratio])</f>
        <v>0.14000000000000001</v>
      </c>
      <c r="O67" s="18">
        <f>_xlfn.XLOOKUP(CF_Gen_1[[#This Row],[ICG]],Assumptions[ICG],Assumptions[PME_Ratio])</f>
        <v>4.4999999999999998E-2</v>
      </c>
      <c r="P67" s="18">
        <f>_xlfn.XLOOKUP(CF_Gen_1[[#This Row],[ICG]],Assumptions[ICG],Assumptions[ULAE_Ratio])</f>
        <v>0.11</v>
      </c>
      <c r="Q67" s="18">
        <f>_xlfn.XLOOKUP(CF_Gen_1[[#This Row],[ICG]],Assumptions[ICG],Assumptions[Cancellation_Ratio])</f>
        <v>7.0000000000000007E-2</v>
      </c>
      <c r="R67" s="18">
        <f>_xlfn.XLOOKUP(CF_Gen_1[[#This Row],[ICG]],Assumptions[ICG],Assumptions[Premium_Refund_Ratio])</f>
        <v>0.5</v>
      </c>
      <c r="S67" s="18">
        <f>IF(CF_Gen_1[[#This Row],[Contract]]="RC",_xlfn.XLOOKUP(CF_Gen_1[[#This Row],[ICG]],Assumptions[ICG],Assumptions[NPR_Ratio]),0)</f>
        <v>0</v>
      </c>
      <c r="T67" s="17">
        <f>T66*(1-CF_Gen_1[[#This Row],[Cancellation_Ratio]])</f>
        <v>8.9411144899219416E-3</v>
      </c>
      <c r="U67" s="19">
        <f>IF(CF_Gen_1[[#This Row],[Incurred]]&lt;=CF_Gen_1[[#This Row],[Valuation]],CF_Gen_1[[#This Row],[Expected_Premium]],-CF_Gen_1[[#This Row],[Probability_of_Inforce]]*CF_Gen_1[[#This Row],[Premium_Refund_Ratio]]*CF_Gen_1[[#This Row],[Cancellation_Ratio]]*SUM(K67:K$105))</f>
        <v>-3937707.5585006308</v>
      </c>
      <c r="V6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Row],[Cancellation_Ratio]]*SUM(L67:L$105))</f>
        <v>1091013.7739170222</v>
      </c>
      <c r="W67" s="19">
        <f>CF_Gen_1[[#This Row],[Expected_Acquisition]]</f>
        <v>0</v>
      </c>
      <c r="X67" s="19">
        <f>-CF_Gen_1[[#This Row],[Probability_of_Inforce]]*CF_Gen_1[[#This Row],[Earned_Premium]]*(1-CF_Gen_1[[#This Row],[Cancellation_Ratio]])*CF_Gen_1[[#This Row],[PME_Ratio]]+CF_Gen_1[[#This Row],[ULAE_Ratio]]*CF_Gen_1[[#This Row],[Exp_Claim]]</f>
        <v>-630392.64041990286</v>
      </c>
      <c r="Y67" s="19">
        <f>-CF_Gen_1[[#This Row],[Probability_of_Inforce]]*CF_Gen_1[[#This Row],[Earned_Premium]]*(1-CF_Gen_1[[#This Row],[Cancellation_Ratio]])*CF_Gen_1[[#This Row],[Loss_Ratio]]</f>
        <v>-2833225.3502018107</v>
      </c>
      <c r="Z67" s="19">
        <f>CF_Gen_1[[#This Row],[Exp_Claim]]*CF_Gen_1[[#This Row],[Risk_Adjustment_Ratio]]</f>
        <v>-396651.54902825353</v>
      </c>
      <c r="AA67" s="19">
        <f>IF(CF_Gen_1[[#This Row],[Contract]]="RC",-CF_Gen_1[[#This Row],[NPR_Ratio]]*CF_Gen_1[[#This Row],[Exp_Claim]],0)</f>
        <v>0</v>
      </c>
      <c r="AB67" s="19">
        <f>SUMIFS(Actual_CF[Actual_Premium],Actual_CF[ICG],CF_Gen_1[[#This Row],[ICG]],Actual_CF[Incurred],CF_Gen_1[[#This Row],[Incurred]])</f>
        <v>0</v>
      </c>
      <c r="AC67" s="19">
        <f>SUMIFS(Actual_CF[Actual_Commission],Actual_CF[ICG],CF_Gen_1[[#This Row],[ICG]],Actual_CF[Incurred],CF_Gen_1[[#This Row],[Incurred]])</f>
        <v>0</v>
      </c>
      <c r="AD67" s="19">
        <f>SUMIFS(Actual_CF[Actual_Acquisition],Actual_CF[ICG],CF_Gen_1[[#This Row],[ICG]],Actual_CF[Incurred],CF_Gen_1[[#This Row],[Incurred]])</f>
        <v>0</v>
      </c>
    </row>
    <row r="68" spans="1:30">
      <c r="A68" t="str">
        <f t="shared" ref="A68:A101" si="4">A67</f>
        <v>#2024#IC-Property</v>
      </c>
      <c r="B68">
        <f>_xlfn.XLOOKUP(CF_Gen_1[[#This Row],[ICG]],ICG[ICG],ICG[Cohort])</f>
        <v>2024</v>
      </c>
      <c r="C68" t="str">
        <f>_xlfn.XLOOKUP(CF_Gen_1[[#This Row],[ICG]],ICG[ICG],ICG[Portfolio])</f>
        <v>IC-Property</v>
      </c>
      <c r="D68" t="str">
        <f>_xlfn.XLOOKUP(CF_Gen_1[[#This Row],[ICG]],ICG[ICG],ICG[Contract])</f>
        <v>IC</v>
      </c>
      <c r="E68" s="2">
        <f t="shared" si="3"/>
        <v>45930</v>
      </c>
      <c r="F68">
        <v>67</v>
      </c>
      <c r="G68" s="2">
        <f>EOMONTH(DATE(YEAR(CF_Gen_1[[#This Row],[Valuation]])-1,12,31),CF_Gen_1[[#This Row],['#Incurred]]*3)</f>
        <v>51774</v>
      </c>
      <c r="H68" s="14">
        <f>SUMIFS(Expected_CF[Expected_Premium],Expected_CF[ICG],CF_Gen_1[[#This Row],[ICG]],Expected_CF[Incurred],CF_Gen_1[[#This Row],[Incurred]])</f>
        <v>0</v>
      </c>
      <c r="I68" s="14">
        <f>SUMIFS(Expected_CF[Expected_Commission],Expected_CF[ICG],CF_Gen_1[[#This Row],[ICG]],Expected_CF[Incurred],CF_Gen_1[[#This Row],[Incurred]])</f>
        <v>0</v>
      </c>
      <c r="J68" s="14">
        <f>IF(CF_Gen_1[[#This Row],[Contract]]="IC",SUMIFS(Expected_CF[Expected_Acquisition],Expected_CF[ICG],CF_Gen_1[[#This Row],[ICG]],Expected_CF[Incurred],CF_Gen_1[[#This Row],[Incurred]]),0)</f>
        <v>0</v>
      </c>
      <c r="K68" s="14">
        <f>SUMIFS(Earned[Earned_Premium],Earned[ICG],CF_Gen_1[[#This Row],[ICG]],Earned[Incurred],CF_Gen_1[[#This Row],[Incurred]])</f>
        <v>821929100.39848948</v>
      </c>
      <c r="L68" s="14">
        <f>SUMIFS(Earned[Earned_Commission],Earned[ICG],CF_Gen_1[[#This Row],[ICG]],Earned[Incurred],CF_Gen_1[[#This Row],[Incurred]])</f>
        <v>-242239325.95057845</v>
      </c>
      <c r="M68" s="18">
        <f>_xlfn.XLOOKUP(CF_Gen_1[[#This Row],[ICG]],Assumptions[ICG],Assumptions[Loss_Ratio])</f>
        <v>0.4</v>
      </c>
      <c r="N68" s="18">
        <f>_xlfn.XLOOKUP(CF_Gen_1[[#This Row],[ICG]],Assumptions[ICG],Assumptions[Risk_Adjustment_Ratio])</f>
        <v>0.14000000000000001</v>
      </c>
      <c r="O68" s="18">
        <f>_xlfn.XLOOKUP(CF_Gen_1[[#This Row],[ICG]],Assumptions[ICG],Assumptions[PME_Ratio])</f>
        <v>4.4999999999999998E-2</v>
      </c>
      <c r="P68" s="18">
        <f>_xlfn.XLOOKUP(CF_Gen_1[[#This Row],[ICG]],Assumptions[ICG],Assumptions[ULAE_Ratio])</f>
        <v>0.11</v>
      </c>
      <c r="Q68" s="18">
        <f>_xlfn.XLOOKUP(CF_Gen_1[[#This Row],[ICG]],Assumptions[ICG],Assumptions[Cancellation_Ratio])</f>
        <v>7.0000000000000007E-2</v>
      </c>
      <c r="R68" s="18">
        <f>_xlfn.XLOOKUP(CF_Gen_1[[#This Row],[ICG]],Assumptions[ICG],Assumptions[Premium_Refund_Ratio])</f>
        <v>0.5</v>
      </c>
      <c r="S68" s="18">
        <f>IF(CF_Gen_1[[#This Row],[Contract]]="RC",_xlfn.XLOOKUP(CF_Gen_1[[#This Row],[ICG]],Assumptions[ICG],Assumptions[NPR_Ratio]),0)</f>
        <v>0</v>
      </c>
      <c r="T68" s="17">
        <f>T67*(1-CF_Gen_1[[#This Row],[Cancellation_Ratio]])</f>
        <v>8.3152364756274057E-3</v>
      </c>
      <c r="U68" s="19">
        <f>IF(CF_Gen_1[[#This Row],[Incurred]]&lt;=CF_Gen_1[[#This Row],[Valuation]],CF_Gen_1[[#This Row],[Expected_Premium]],-CF_Gen_1[[#This Row],[Probability_of_Inforce]]*CF_Gen_1[[#This Row],[Premium_Refund_Ratio]]*CF_Gen_1[[#This Row],[Cancellation_Ratio]]*SUM(K68:K$105))</f>
        <v>-3414160.8112629284</v>
      </c>
      <c r="V6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Row],[Cancellation_Ratio]]*SUM(L68:L$105))</f>
        <v>941378.41067420645</v>
      </c>
      <c r="W68" s="19">
        <f>CF_Gen_1[[#This Row],[Expected_Acquisition]]</f>
        <v>0</v>
      </c>
      <c r="X68" s="19">
        <f>-CF_Gen_1[[#This Row],[Probability_of_Inforce]]*CF_Gen_1[[#This Row],[Earned_Premium]]*(1-CF_Gen_1[[#This Row],[Cancellation_Ratio]])*CF_Gen_1[[#This Row],[PME_Ratio]]+CF_Gen_1[[#This Row],[ULAE_Ratio]]*CF_Gen_1[[#This Row],[Exp_Claim]]</f>
        <v>-565694.44837680762</v>
      </c>
      <c r="Y68" s="19">
        <f>-CF_Gen_1[[#This Row],[Probability_of_Inforce]]*CF_Gen_1[[#This Row],[Earned_Premium]]*(1-CF_Gen_1[[#This Row],[Cancellation_Ratio]])*CF_Gen_1[[#This Row],[Loss_Ratio]]</f>
        <v>-2542446.9589968883</v>
      </c>
      <c r="Z68" s="19">
        <f>CF_Gen_1[[#This Row],[Exp_Claim]]*CF_Gen_1[[#This Row],[Risk_Adjustment_Ratio]]</f>
        <v>-355942.5742595644</v>
      </c>
      <c r="AA68" s="19">
        <f>IF(CF_Gen_1[[#This Row],[Contract]]="RC",-CF_Gen_1[[#This Row],[NPR_Ratio]]*CF_Gen_1[[#This Row],[Exp_Claim]],0)</f>
        <v>0</v>
      </c>
      <c r="AB68" s="19">
        <f>SUMIFS(Actual_CF[Actual_Premium],Actual_CF[ICG],CF_Gen_1[[#This Row],[ICG]],Actual_CF[Incurred],CF_Gen_1[[#This Row],[Incurred]])</f>
        <v>0</v>
      </c>
      <c r="AC68" s="19">
        <f>SUMIFS(Actual_CF[Actual_Commission],Actual_CF[ICG],CF_Gen_1[[#This Row],[ICG]],Actual_CF[Incurred],CF_Gen_1[[#This Row],[Incurred]])</f>
        <v>0</v>
      </c>
      <c r="AD68" s="19">
        <f>SUMIFS(Actual_CF[Actual_Acquisition],Actual_CF[ICG],CF_Gen_1[[#This Row],[ICG]],Actual_CF[Incurred],CF_Gen_1[[#This Row],[Incurred]])</f>
        <v>0</v>
      </c>
    </row>
    <row r="69" spans="1:30">
      <c r="A69" t="str">
        <f t="shared" si="4"/>
        <v>#2024#IC-Property</v>
      </c>
      <c r="B69">
        <f>_xlfn.XLOOKUP(CF_Gen_1[[#This Row],[ICG]],ICG[ICG],ICG[Cohort])</f>
        <v>2024</v>
      </c>
      <c r="C69" t="str">
        <f>_xlfn.XLOOKUP(CF_Gen_1[[#This Row],[ICG]],ICG[ICG],ICG[Portfolio])</f>
        <v>IC-Property</v>
      </c>
      <c r="D69" t="str">
        <f>_xlfn.XLOOKUP(CF_Gen_1[[#This Row],[ICG]],ICG[ICG],ICG[Contract])</f>
        <v>IC</v>
      </c>
      <c r="E69" s="2">
        <f t="shared" si="3"/>
        <v>45930</v>
      </c>
      <c r="F69">
        <v>68</v>
      </c>
      <c r="G69" s="2">
        <f>EOMONTH(DATE(YEAR(CF_Gen_1[[#This Row],[Valuation]])-1,12,31),CF_Gen_1[[#This Row],['#Incurred]]*3)</f>
        <v>51866</v>
      </c>
      <c r="H69" s="14">
        <f>SUMIFS(Expected_CF[Expected_Premium],Expected_CF[ICG],CF_Gen_1[[#This Row],[ICG]],Expected_CF[Incurred],CF_Gen_1[[#This Row],[Incurred]])</f>
        <v>0</v>
      </c>
      <c r="I69" s="14">
        <f>SUMIFS(Expected_CF[Expected_Commission],Expected_CF[ICG],CF_Gen_1[[#This Row],[ICG]],Expected_CF[Incurred],CF_Gen_1[[#This Row],[Incurred]])</f>
        <v>0</v>
      </c>
      <c r="J69" s="14">
        <f>IF(CF_Gen_1[[#This Row],[Contract]]="IC",SUMIFS(Expected_CF[Expected_Acquisition],Expected_CF[ICG],CF_Gen_1[[#This Row],[ICG]],Expected_CF[Incurred],CF_Gen_1[[#This Row],[Incurred]]),0)</f>
        <v>0</v>
      </c>
      <c r="K69" s="14">
        <f>SUMIFS(Earned[Earned_Premium],Earned[ICG],CF_Gen_1[[#This Row],[ICG]],Earned[Incurred],CF_Gen_1[[#This Row],[Incurred]])</f>
        <v>792040769.47490799</v>
      </c>
      <c r="L69" s="14">
        <f>SUMIFS(Earned[Earned_Commission],Earned[ICG],CF_Gen_1[[#This Row],[ICG]],Earned[Incurred],CF_Gen_1[[#This Row],[Incurred]])</f>
        <v>-232739744.54075181</v>
      </c>
      <c r="M69" s="18">
        <f>_xlfn.XLOOKUP(CF_Gen_1[[#This Row],[ICG]],Assumptions[ICG],Assumptions[Loss_Ratio])</f>
        <v>0.4</v>
      </c>
      <c r="N69" s="18">
        <f>_xlfn.XLOOKUP(CF_Gen_1[[#This Row],[ICG]],Assumptions[ICG],Assumptions[Risk_Adjustment_Ratio])</f>
        <v>0.14000000000000001</v>
      </c>
      <c r="O69" s="18">
        <f>_xlfn.XLOOKUP(CF_Gen_1[[#This Row],[ICG]],Assumptions[ICG],Assumptions[PME_Ratio])</f>
        <v>4.4999999999999998E-2</v>
      </c>
      <c r="P69" s="18">
        <f>_xlfn.XLOOKUP(CF_Gen_1[[#This Row],[ICG]],Assumptions[ICG],Assumptions[ULAE_Ratio])</f>
        <v>0.11</v>
      </c>
      <c r="Q69" s="18">
        <f>_xlfn.XLOOKUP(CF_Gen_1[[#This Row],[ICG]],Assumptions[ICG],Assumptions[Cancellation_Ratio])</f>
        <v>7.0000000000000007E-2</v>
      </c>
      <c r="R69" s="18">
        <f>_xlfn.XLOOKUP(CF_Gen_1[[#This Row],[ICG]],Assumptions[ICG],Assumptions[Premium_Refund_Ratio])</f>
        <v>0.5</v>
      </c>
      <c r="S69" s="18">
        <f>IF(CF_Gen_1[[#This Row],[Contract]]="RC",_xlfn.XLOOKUP(CF_Gen_1[[#This Row],[ICG]],Assumptions[ICG],Assumptions[NPR_Ratio]),0)</f>
        <v>0</v>
      </c>
      <c r="T69" s="17">
        <f>T68*(1-CF_Gen_1[[#This Row],[Cancellation_Ratio]])</f>
        <v>7.7331699223334872E-3</v>
      </c>
      <c r="U69" s="19">
        <f>IF(CF_Gen_1[[#This Row],[Incurred]]&lt;=CF_Gen_1[[#This Row],[Valuation]],CF_Gen_1[[#This Row],[Expected_Premium]],-CF_Gen_1[[#This Row],[Probability_of_Inforce]]*CF_Gen_1[[#This Row],[Premium_Refund_Ratio]]*CF_Gen_1[[#This Row],[Cancellation_Ratio]]*SUM(K69:K$105))</f>
        <v>-2952705.4455622952</v>
      </c>
      <c r="V6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Row],[Cancellation_Ratio]]*SUM(L69:L$105))</f>
        <v>809917.19649635477</v>
      </c>
      <c r="W69" s="19">
        <f>CF_Gen_1[[#This Row],[Expected_Acquisition]]</f>
        <v>0</v>
      </c>
      <c r="X69" s="19">
        <f>-CF_Gen_1[[#This Row],[Probability_of_Inforce]]*CF_Gen_1[[#This Row],[Earned_Premium]]*(1-CF_Gen_1[[#This Row],[Cancellation_Ratio]])*CF_Gen_1[[#This Row],[PME_Ratio]]+CF_Gen_1[[#This Row],[ULAE_Ratio]]*CF_Gen_1[[#This Row],[Exp_Claim]]</f>
        <v>-506965.07928168797</v>
      </c>
      <c r="Y69" s="19">
        <f>-CF_Gen_1[[#This Row],[Probability_of_Inforce]]*CF_Gen_1[[#This Row],[Earned_Premium]]*(1-CF_Gen_1[[#This Row],[Cancellation_Ratio]])*CF_Gen_1[[#This Row],[Loss_Ratio]]</f>
        <v>-2278494.7383446652</v>
      </c>
      <c r="Z69" s="19">
        <f>CF_Gen_1[[#This Row],[Exp_Claim]]*CF_Gen_1[[#This Row],[Risk_Adjustment_Ratio]]</f>
        <v>-318989.26336825313</v>
      </c>
      <c r="AA69" s="19">
        <f>IF(CF_Gen_1[[#This Row],[Contract]]="RC",-CF_Gen_1[[#This Row],[NPR_Ratio]]*CF_Gen_1[[#This Row],[Exp_Claim]],0)</f>
        <v>0</v>
      </c>
      <c r="AB69" s="19">
        <f>SUMIFS(Actual_CF[Actual_Premium],Actual_CF[ICG],CF_Gen_1[[#This Row],[ICG]],Actual_CF[Incurred],CF_Gen_1[[#This Row],[Incurred]])</f>
        <v>0</v>
      </c>
      <c r="AC69" s="19">
        <f>SUMIFS(Actual_CF[Actual_Commission],Actual_CF[ICG],CF_Gen_1[[#This Row],[ICG]],Actual_CF[Incurred],CF_Gen_1[[#This Row],[Incurred]])</f>
        <v>0</v>
      </c>
      <c r="AD69" s="19">
        <f>SUMIFS(Actual_CF[Actual_Acquisition],Actual_CF[ICG],CF_Gen_1[[#This Row],[ICG]],Actual_CF[Incurred],CF_Gen_1[[#This Row],[Incurred]])</f>
        <v>0</v>
      </c>
    </row>
    <row r="70" spans="1:30">
      <c r="A70" t="str">
        <f t="shared" si="4"/>
        <v>#2024#IC-Property</v>
      </c>
      <c r="B70">
        <f>_xlfn.XLOOKUP(CF_Gen_1[[#This Row],[ICG]],ICG[ICG],ICG[Cohort])</f>
        <v>2024</v>
      </c>
      <c r="C70" t="str">
        <f>_xlfn.XLOOKUP(CF_Gen_1[[#This Row],[ICG]],ICG[ICG],ICG[Portfolio])</f>
        <v>IC-Property</v>
      </c>
      <c r="D70" t="str">
        <f>_xlfn.XLOOKUP(CF_Gen_1[[#This Row],[ICG]],ICG[ICG],ICG[Contract])</f>
        <v>IC</v>
      </c>
      <c r="E70" s="2">
        <f t="shared" si="3"/>
        <v>45930</v>
      </c>
      <c r="F70">
        <v>69</v>
      </c>
      <c r="G70" s="2">
        <f>EOMONTH(DATE(YEAR(CF_Gen_1[[#This Row],[Valuation]])-1,12,31),CF_Gen_1[[#This Row],['#Incurred]]*3)</f>
        <v>51956</v>
      </c>
      <c r="H70" s="14">
        <f>SUMIFS(Expected_CF[Expected_Premium],Expected_CF[ICG],CF_Gen_1[[#This Row],[ICG]],Expected_CF[Incurred],CF_Gen_1[[#This Row],[Incurred]])</f>
        <v>0</v>
      </c>
      <c r="I70" s="14">
        <f>SUMIFS(Expected_CF[Expected_Commission],Expected_CF[ICG],CF_Gen_1[[#This Row],[ICG]],Expected_CF[Incurred],CF_Gen_1[[#This Row],[Incurred]])</f>
        <v>0</v>
      </c>
      <c r="J70" s="14">
        <f>IF(CF_Gen_1[[#This Row],[Contract]]="IC",SUMIFS(Expected_CF[Expected_Acquisition],Expected_CF[ICG],CF_Gen_1[[#This Row],[ICG]],Expected_CF[Incurred],CF_Gen_1[[#This Row],[Incurred]]),0)</f>
        <v>0</v>
      </c>
      <c r="K70" s="14">
        <f>SUMIFS(Earned[Earned_Premium],Earned[ICG],CF_Gen_1[[#This Row],[ICG]],Earned[Incurred],CF_Gen_1[[#This Row],[Incurred]])</f>
        <v>762152438.55132663</v>
      </c>
      <c r="L70" s="14">
        <f>SUMIFS(Earned[Earned_Commission],Earned[ICG],CF_Gen_1[[#This Row],[ICG]],Earned[Incurred],CF_Gen_1[[#This Row],[Incurred]])</f>
        <v>-223240163.13092521</v>
      </c>
      <c r="M70" s="18">
        <f>_xlfn.XLOOKUP(CF_Gen_1[[#This Row],[ICG]],Assumptions[ICG],Assumptions[Loss_Ratio])</f>
        <v>0.4</v>
      </c>
      <c r="N70" s="18">
        <f>_xlfn.XLOOKUP(CF_Gen_1[[#This Row],[ICG]],Assumptions[ICG],Assumptions[Risk_Adjustment_Ratio])</f>
        <v>0.14000000000000001</v>
      </c>
      <c r="O70" s="18">
        <f>_xlfn.XLOOKUP(CF_Gen_1[[#This Row],[ICG]],Assumptions[ICG],Assumptions[PME_Ratio])</f>
        <v>4.4999999999999998E-2</v>
      </c>
      <c r="P70" s="18">
        <f>_xlfn.XLOOKUP(CF_Gen_1[[#This Row],[ICG]],Assumptions[ICG],Assumptions[ULAE_Ratio])</f>
        <v>0.11</v>
      </c>
      <c r="Q70" s="18">
        <f>_xlfn.XLOOKUP(CF_Gen_1[[#This Row],[ICG]],Assumptions[ICG],Assumptions[Cancellation_Ratio])</f>
        <v>7.0000000000000007E-2</v>
      </c>
      <c r="R70" s="18">
        <f>_xlfn.XLOOKUP(CF_Gen_1[[#This Row],[ICG]],Assumptions[ICG],Assumptions[Premium_Refund_Ratio])</f>
        <v>0.5</v>
      </c>
      <c r="S70" s="18">
        <f>IF(CF_Gen_1[[#This Row],[Contract]]="RC",_xlfn.XLOOKUP(CF_Gen_1[[#This Row],[ICG]],Assumptions[ICG],Assumptions[NPR_Ratio]),0)</f>
        <v>0</v>
      </c>
      <c r="T70" s="17">
        <f>T69*(1-CF_Gen_1[[#This Row],[Cancellation_Ratio]])</f>
        <v>7.1918480277701428E-3</v>
      </c>
      <c r="U70" s="19">
        <f>IF(CF_Gen_1[[#This Row],[Incurred]]&lt;=CF_Gen_1[[#This Row],[Valuation]],CF_Gen_1[[#This Row],[Expected_Premium]],-CF_Gen_1[[#This Row],[Probability_of_Inforce]]*CF_Gen_1[[#This Row],[Premium_Refund_Ratio]]*CF_Gen_1[[#This Row],[Cancellation_Ratio]]*SUM(K70:K$105))</f>
        <v>-2546647.774767776</v>
      </c>
      <c r="V7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Row],[Cancellation_Ratio]]*SUM(L70:L$105))</f>
        <v>694638.98219504009</v>
      </c>
      <c r="W70" s="19">
        <f>CF_Gen_1[[#This Row],[Expected_Acquisition]]</f>
        <v>0</v>
      </c>
      <c r="X70" s="19">
        <f>-CF_Gen_1[[#This Row],[Probability_of_Inforce]]*CF_Gen_1[[#This Row],[Earned_Premium]]*(1-CF_Gen_1[[#This Row],[Cancellation_Ratio]])*CF_Gen_1[[#This Row],[PME_Ratio]]+CF_Gen_1[[#This Row],[ULAE_Ratio]]*CF_Gen_1[[#This Row],[Exp_Claim]]</f>
        <v>-453685.91906283901</v>
      </c>
      <c r="Y70" s="19">
        <f>-CF_Gen_1[[#This Row],[Probability_of_Inforce]]*CF_Gen_1[[#This Row],[Earned_Premium]]*(1-CF_Gen_1[[#This Row],[Cancellation_Ratio]])*CF_Gen_1[[#This Row],[Loss_Ratio]]</f>
        <v>-2039037.8384846696</v>
      </c>
      <c r="Z70" s="19">
        <f>CF_Gen_1[[#This Row],[Exp_Claim]]*CF_Gen_1[[#This Row],[Risk_Adjustment_Ratio]]</f>
        <v>-285465.29738785379</v>
      </c>
      <c r="AA70" s="19">
        <f>IF(CF_Gen_1[[#This Row],[Contract]]="RC",-CF_Gen_1[[#This Row],[NPR_Ratio]]*CF_Gen_1[[#This Row],[Exp_Claim]],0)</f>
        <v>0</v>
      </c>
      <c r="AB70" s="19">
        <f>SUMIFS(Actual_CF[Actual_Premium],Actual_CF[ICG],CF_Gen_1[[#This Row],[ICG]],Actual_CF[Incurred],CF_Gen_1[[#This Row],[Incurred]])</f>
        <v>0</v>
      </c>
      <c r="AC70" s="19">
        <f>SUMIFS(Actual_CF[Actual_Commission],Actual_CF[ICG],CF_Gen_1[[#This Row],[ICG]],Actual_CF[Incurred],CF_Gen_1[[#This Row],[Incurred]])</f>
        <v>0</v>
      </c>
      <c r="AD70" s="19">
        <f>SUMIFS(Actual_CF[Actual_Acquisition],Actual_CF[ICG],CF_Gen_1[[#This Row],[ICG]],Actual_CF[Incurred],CF_Gen_1[[#This Row],[Incurred]])</f>
        <v>0</v>
      </c>
    </row>
    <row r="71" spans="1:30">
      <c r="A71" t="str">
        <f t="shared" si="4"/>
        <v>#2024#IC-Property</v>
      </c>
      <c r="B71">
        <f>_xlfn.XLOOKUP(CF_Gen_1[[#This Row],[ICG]],ICG[ICG],ICG[Cohort])</f>
        <v>2024</v>
      </c>
      <c r="C71" t="str">
        <f>_xlfn.XLOOKUP(CF_Gen_1[[#This Row],[ICG]],ICG[ICG],ICG[Portfolio])</f>
        <v>IC-Property</v>
      </c>
      <c r="D71" t="str">
        <f>_xlfn.XLOOKUP(CF_Gen_1[[#This Row],[ICG]],ICG[ICG],ICG[Contract])</f>
        <v>IC</v>
      </c>
      <c r="E71" s="2">
        <f t="shared" si="3"/>
        <v>45930</v>
      </c>
      <c r="F71">
        <v>70</v>
      </c>
      <c r="G71" s="2">
        <f>EOMONTH(DATE(YEAR(CF_Gen_1[[#This Row],[Valuation]])-1,12,31),CF_Gen_1[[#This Row],['#Incurred]]*3)</f>
        <v>52047</v>
      </c>
      <c r="H71" s="14">
        <f>SUMIFS(Expected_CF[Expected_Premium],Expected_CF[ICG],CF_Gen_1[[#This Row],[ICG]],Expected_CF[Incurred],CF_Gen_1[[#This Row],[Incurred]])</f>
        <v>0</v>
      </c>
      <c r="I71" s="14">
        <f>SUMIFS(Expected_CF[Expected_Commission],Expected_CF[ICG],CF_Gen_1[[#This Row],[ICG]],Expected_CF[Incurred],CF_Gen_1[[#This Row],[Incurred]])</f>
        <v>0</v>
      </c>
      <c r="J71" s="14">
        <f>IF(CF_Gen_1[[#This Row],[Contract]]="IC",SUMIFS(Expected_CF[Expected_Acquisition],Expected_CF[ICG],CF_Gen_1[[#This Row],[ICG]],Expected_CF[Incurred],CF_Gen_1[[#This Row],[Incurred]]),0)</f>
        <v>0</v>
      </c>
      <c r="K71" s="14">
        <f>SUMIFS(Earned[Earned_Premium],Earned[ICG],CF_Gen_1[[#This Row],[ICG]],Earned[Incurred],CF_Gen_1[[#This Row],[Incurred]])</f>
        <v>732264107.62774527</v>
      </c>
      <c r="L71" s="14">
        <f>SUMIFS(Earned[Earned_Commission],Earned[ICG],CF_Gen_1[[#This Row],[ICG]],Earned[Incurred],CF_Gen_1[[#This Row],[Incurred]])</f>
        <v>-213740581.7210986</v>
      </c>
      <c r="M71" s="18">
        <f>_xlfn.XLOOKUP(CF_Gen_1[[#This Row],[ICG]],Assumptions[ICG],Assumptions[Loss_Ratio])</f>
        <v>0.4</v>
      </c>
      <c r="N71" s="18">
        <f>_xlfn.XLOOKUP(CF_Gen_1[[#This Row],[ICG]],Assumptions[ICG],Assumptions[Risk_Adjustment_Ratio])</f>
        <v>0.14000000000000001</v>
      </c>
      <c r="O71" s="18">
        <f>_xlfn.XLOOKUP(CF_Gen_1[[#This Row],[ICG]],Assumptions[ICG],Assumptions[PME_Ratio])</f>
        <v>4.4999999999999998E-2</v>
      </c>
      <c r="P71" s="18">
        <f>_xlfn.XLOOKUP(CF_Gen_1[[#This Row],[ICG]],Assumptions[ICG],Assumptions[ULAE_Ratio])</f>
        <v>0.11</v>
      </c>
      <c r="Q71" s="18">
        <f>_xlfn.XLOOKUP(CF_Gen_1[[#This Row],[ICG]],Assumptions[ICG],Assumptions[Cancellation_Ratio])</f>
        <v>7.0000000000000007E-2</v>
      </c>
      <c r="R71" s="18">
        <f>_xlfn.XLOOKUP(CF_Gen_1[[#This Row],[ICG]],Assumptions[ICG],Assumptions[Premium_Refund_Ratio])</f>
        <v>0.5</v>
      </c>
      <c r="S71" s="18">
        <f>IF(CF_Gen_1[[#This Row],[Contract]]="RC",_xlfn.XLOOKUP(CF_Gen_1[[#This Row],[ICG]],Assumptions[ICG],Assumptions[NPR_Ratio]),0)</f>
        <v>0</v>
      </c>
      <c r="T71" s="17">
        <f>T70*(1-CF_Gen_1[[#This Row],[Cancellation_Ratio]])</f>
        <v>6.6884186658262325E-3</v>
      </c>
      <c r="U71" s="19">
        <f>IF(CF_Gen_1[[#This Row],[Incurred]]&lt;=CF_Gen_1[[#This Row],[Valuation]],CF_Gen_1[[#This Row],[Expected_Premium]],-CF_Gen_1[[#This Row],[Probability_of_Inforce]]*CF_Gen_1[[#This Row],[Premium_Refund_Ratio]]*CF_Gen_1[[#This Row],[Cancellation_Ratio]]*SUM(K71:K$105))</f>
        <v>-2189966.619666623</v>
      </c>
      <c r="V7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Row],[Cancellation_Ratio]]*SUM(L71:L$105))</f>
        <v>593754.92484974326</v>
      </c>
      <c r="W71" s="19">
        <f>CF_Gen_1[[#This Row],[Expected_Acquisition]]</f>
        <v>0</v>
      </c>
      <c r="X71" s="19">
        <f>-CF_Gen_1[[#This Row],[Probability_of_Inforce]]*CF_Gen_1[[#This Row],[Earned_Premium]]*(1-CF_Gen_1[[#This Row],[Cancellation_Ratio]])*CF_Gen_1[[#This Row],[PME_Ratio]]+CF_Gen_1[[#This Row],[ULAE_Ratio]]*CF_Gen_1[[#This Row],[Exp_Claim]]</f>
        <v>-405381.71238614852</v>
      </c>
      <c r="Y71" s="19">
        <f>-CF_Gen_1[[#This Row],[Probability_of_Inforce]]*CF_Gen_1[[#This Row],[Earned_Premium]]*(1-CF_Gen_1[[#This Row],[Cancellation_Ratio]])*CF_Gen_1[[#This Row],[Loss_Ratio]]</f>
        <v>-1821940.2803871846</v>
      </c>
      <c r="Z71" s="19">
        <f>CF_Gen_1[[#This Row],[Exp_Claim]]*CF_Gen_1[[#This Row],[Risk_Adjustment_Ratio]]</f>
        <v>-255071.63925420586</v>
      </c>
      <c r="AA71" s="19">
        <f>IF(CF_Gen_1[[#This Row],[Contract]]="RC",-CF_Gen_1[[#This Row],[NPR_Ratio]]*CF_Gen_1[[#This Row],[Exp_Claim]],0)</f>
        <v>0</v>
      </c>
      <c r="AB71" s="19">
        <f>SUMIFS(Actual_CF[Actual_Premium],Actual_CF[ICG],CF_Gen_1[[#This Row],[ICG]],Actual_CF[Incurred],CF_Gen_1[[#This Row],[Incurred]])</f>
        <v>0</v>
      </c>
      <c r="AC71" s="19">
        <f>SUMIFS(Actual_CF[Actual_Commission],Actual_CF[ICG],CF_Gen_1[[#This Row],[ICG]],Actual_CF[Incurred],CF_Gen_1[[#This Row],[Incurred]])</f>
        <v>0</v>
      </c>
      <c r="AD71" s="19">
        <f>SUMIFS(Actual_CF[Actual_Acquisition],Actual_CF[ICG],CF_Gen_1[[#This Row],[ICG]],Actual_CF[Incurred],CF_Gen_1[[#This Row],[Incurred]])</f>
        <v>0</v>
      </c>
    </row>
    <row r="72" spans="1:30">
      <c r="A72" t="str">
        <f t="shared" si="4"/>
        <v>#2024#IC-Property</v>
      </c>
      <c r="B72">
        <f>_xlfn.XLOOKUP(CF_Gen_1[[#This Row],[ICG]],ICG[ICG],ICG[Cohort])</f>
        <v>2024</v>
      </c>
      <c r="C72" t="str">
        <f>_xlfn.XLOOKUP(CF_Gen_1[[#This Row],[ICG]],ICG[ICG],ICG[Portfolio])</f>
        <v>IC-Property</v>
      </c>
      <c r="D72" t="str">
        <f>_xlfn.XLOOKUP(CF_Gen_1[[#This Row],[ICG]],ICG[ICG],ICG[Contract])</f>
        <v>IC</v>
      </c>
      <c r="E72" s="2">
        <f t="shared" si="3"/>
        <v>45930</v>
      </c>
      <c r="F72">
        <v>71</v>
      </c>
      <c r="G72" s="2">
        <f>EOMONTH(DATE(YEAR(CF_Gen_1[[#This Row],[Valuation]])-1,12,31),CF_Gen_1[[#This Row],['#Incurred]]*3)</f>
        <v>52139</v>
      </c>
      <c r="H72" s="14">
        <f>SUMIFS(Expected_CF[Expected_Premium],Expected_CF[ICG],CF_Gen_1[[#This Row],[ICG]],Expected_CF[Incurred],CF_Gen_1[[#This Row],[Incurred]])</f>
        <v>0</v>
      </c>
      <c r="I72" s="14">
        <f>SUMIFS(Expected_CF[Expected_Commission],Expected_CF[ICG],CF_Gen_1[[#This Row],[ICG]],Expected_CF[Incurred],CF_Gen_1[[#This Row],[Incurred]])</f>
        <v>0</v>
      </c>
      <c r="J72" s="14">
        <f>IF(CF_Gen_1[[#This Row],[Contract]]="IC",SUMIFS(Expected_CF[Expected_Acquisition],Expected_CF[ICG],CF_Gen_1[[#This Row],[ICG]],Expected_CF[Incurred],CF_Gen_1[[#This Row],[Incurred]]),0)</f>
        <v>0</v>
      </c>
      <c r="K72" s="14">
        <f>SUMIFS(Earned[Earned_Premium],Earned[ICG],CF_Gen_1[[#This Row],[ICG]],Earned[Incurred],CF_Gen_1[[#This Row],[Incurred]])</f>
        <v>702375776.70416367</v>
      </c>
      <c r="L72" s="14">
        <f>SUMIFS(Earned[Earned_Commission],Earned[ICG],CF_Gen_1[[#This Row],[ICG]],Earned[Incurred],CF_Gen_1[[#This Row],[Incurred]])</f>
        <v>-204241000.311272</v>
      </c>
      <c r="M72" s="18">
        <f>_xlfn.XLOOKUP(CF_Gen_1[[#This Row],[ICG]],Assumptions[ICG],Assumptions[Loss_Ratio])</f>
        <v>0.4</v>
      </c>
      <c r="N72" s="18">
        <f>_xlfn.XLOOKUP(CF_Gen_1[[#This Row],[ICG]],Assumptions[ICG],Assumptions[Risk_Adjustment_Ratio])</f>
        <v>0.14000000000000001</v>
      </c>
      <c r="O72" s="18">
        <f>_xlfn.XLOOKUP(CF_Gen_1[[#This Row],[ICG]],Assumptions[ICG],Assumptions[PME_Ratio])</f>
        <v>4.4999999999999998E-2</v>
      </c>
      <c r="P72" s="18">
        <f>_xlfn.XLOOKUP(CF_Gen_1[[#This Row],[ICG]],Assumptions[ICG],Assumptions[ULAE_Ratio])</f>
        <v>0.11</v>
      </c>
      <c r="Q72" s="18">
        <f>_xlfn.XLOOKUP(CF_Gen_1[[#This Row],[ICG]],Assumptions[ICG],Assumptions[Cancellation_Ratio])</f>
        <v>7.0000000000000007E-2</v>
      </c>
      <c r="R72" s="18">
        <f>_xlfn.XLOOKUP(CF_Gen_1[[#This Row],[ICG]],Assumptions[ICG],Assumptions[Premium_Refund_Ratio])</f>
        <v>0.5</v>
      </c>
      <c r="S72" s="18">
        <f>IF(CF_Gen_1[[#This Row],[Contract]]="RC",_xlfn.XLOOKUP(CF_Gen_1[[#This Row],[ICG]],Assumptions[ICG],Assumptions[NPR_Ratio]),0)</f>
        <v>0</v>
      </c>
      <c r="T72" s="17">
        <f>T71*(1-CF_Gen_1[[#This Row],[Cancellation_Ratio]])</f>
        <v>6.2202293592183962E-3</v>
      </c>
      <c r="U72" s="19">
        <f>IF(CF_Gen_1[[#This Row],[Incurred]]&lt;=CF_Gen_1[[#This Row],[Valuation]],CF_Gen_1[[#This Row],[Expected_Premium]],-CF_Gen_1[[#This Row],[Probability_of_Inforce]]*CF_Gen_1[[#This Row],[Premium_Refund_Ratio]]*CF_Gen_1[[#This Row],[Cancellation_Ratio]]*SUM(K72:K$105))</f>
        <v>-1877249.1817560808</v>
      </c>
      <c r="V7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Row],[Cancellation_Ratio]]*SUM(L72:L$105))</f>
        <v>505659.03965153149</v>
      </c>
      <c r="W72" s="19">
        <f>CF_Gen_1[[#This Row],[Expected_Acquisition]]</f>
        <v>0</v>
      </c>
      <c r="X72" s="19">
        <f>-CF_Gen_1[[#This Row],[Probability_of_Inforce]]*CF_Gen_1[[#This Row],[Earned_Premium]]*(1-CF_Gen_1[[#This Row],[Cancellation_Ratio]])*CF_Gen_1[[#This Row],[PME_Ratio]]+CF_Gen_1[[#This Row],[ULAE_Ratio]]*CF_Gen_1[[#This Row],[Exp_Claim]]</f>
        <v>-361617.0336407866</v>
      </c>
      <c r="Y72" s="19">
        <f>-CF_Gen_1[[#This Row],[Probability_of_Inforce]]*CF_Gen_1[[#This Row],[Earned_Premium]]*(1-CF_Gen_1[[#This Row],[Cancellation_Ratio]])*CF_Gen_1[[#This Row],[Loss_Ratio]]</f>
        <v>-1625245.0950147714</v>
      </c>
      <c r="Z72" s="19">
        <f>CF_Gen_1[[#This Row],[Exp_Claim]]*CF_Gen_1[[#This Row],[Risk_Adjustment_Ratio]]</f>
        <v>-227534.31330206801</v>
      </c>
      <c r="AA72" s="19">
        <f>IF(CF_Gen_1[[#This Row],[Contract]]="RC",-CF_Gen_1[[#This Row],[NPR_Ratio]]*CF_Gen_1[[#This Row],[Exp_Claim]],0)</f>
        <v>0</v>
      </c>
      <c r="AB72" s="19">
        <f>SUMIFS(Actual_CF[Actual_Premium],Actual_CF[ICG],CF_Gen_1[[#This Row],[ICG]],Actual_CF[Incurred],CF_Gen_1[[#This Row],[Incurred]])</f>
        <v>0</v>
      </c>
      <c r="AC72" s="19">
        <f>SUMIFS(Actual_CF[Actual_Commission],Actual_CF[ICG],CF_Gen_1[[#This Row],[ICG]],Actual_CF[Incurred],CF_Gen_1[[#This Row],[Incurred]])</f>
        <v>0</v>
      </c>
      <c r="AD72" s="19">
        <f>SUMIFS(Actual_CF[Actual_Acquisition],Actual_CF[ICG],CF_Gen_1[[#This Row],[ICG]],Actual_CF[Incurred],CF_Gen_1[[#This Row],[Incurred]])</f>
        <v>0</v>
      </c>
    </row>
    <row r="73" spans="1:30">
      <c r="A73" t="str">
        <f t="shared" si="4"/>
        <v>#2024#IC-Property</v>
      </c>
      <c r="B73">
        <f>_xlfn.XLOOKUP(CF_Gen_1[[#This Row],[ICG]],ICG[ICG],ICG[Cohort])</f>
        <v>2024</v>
      </c>
      <c r="C73" t="str">
        <f>_xlfn.XLOOKUP(CF_Gen_1[[#This Row],[ICG]],ICG[ICG],ICG[Portfolio])</f>
        <v>IC-Property</v>
      </c>
      <c r="D73" t="str">
        <f>_xlfn.XLOOKUP(CF_Gen_1[[#This Row],[ICG]],ICG[ICG],ICG[Contract])</f>
        <v>IC</v>
      </c>
      <c r="E73" s="2">
        <f t="shared" si="3"/>
        <v>45930</v>
      </c>
      <c r="F73">
        <v>72</v>
      </c>
      <c r="G73" s="2">
        <f>EOMONTH(DATE(YEAR(CF_Gen_1[[#This Row],[Valuation]])-1,12,31),CF_Gen_1[[#This Row],['#Incurred]]*3)</f>
        <v>52231</v>
      </c>
      <c r="H73" s="14">
        <f>SUMIFS(Expected_CF[Expected_Premium],Expected_CF[ICG],CF_Gen_1[[#This Row],[ICG]],Expected_CF[Incurred],CF_Gen_1[[#This Row],[Incurred]])</f>
        <v>0</v>
      </c>
      <c r="I73" s="14">
        <f>SUMIFS(Expected_CF[Expected_Commission],Expected_CF[ICG],CF_Gen_1[[#This Row],[ICG]],Expected_CF[Incurred],CF_Gen_1[[#This Row],[Incurred]])</f>
        <v>0</v>
      </c>
      <c r="J73" s="14">
        <f>IF(CF_Gen_1[[#This Row],[Contract]]="IC",SUMIFS(Expected_CF[Expected_Acquisition],Expected_CF[ICG],CF_Gen_1[[#This Row],[ICG]],Expected_CF[Incurred],CF_Gen_1[[#This Row],[Incurred]]),0)</f>
        <v>0</v>
      </c>
      <c r="K73" s="14">
        <f>SUMIFS(Earned[Earned_Premium],Earned[ICG],CF_Gen_1[[#This Row],[ICG]],Earned[Incurred],CF_Gen_1[[#This Row],[Incurred]])</f>
        <v>672487445.78058219</v>
      </c>
      <c r="L73" s="14">
        <f>SUMIFS(Earned[Earned_Commission],Earned[ICG],CF_Gen_1[[#This Row],[ICG]],Earned[Incurred],CF_Gen_1[[#This Row],[Incurred]])</f>
        <v>-194741418.90144542</v>
      </c>
      <c r="M73" s="18">
        <f>_xlfn.XLOOKUP(CF_Gen_1[[#This Row],[ICG]],Assumptions[ICG],Assumptions[Loss_Ratio])</f>
        <v>0.4</v>
      </c>
      <c r="N73" s="18">
        <f>_xlfn.XLOOKUP(CF_Gen_1[[#This Row],[ICG]],Assumptions[ICG],Assumptions[Risk_Adjustment_Ratio])</f>
        <v>0.14000000000000001</v>
      </c>
      <c r="O73" s="18">
        <f>_xlfn.XLOOKUP(CF_Gen_1[[#This Row],[ICG]],Assumptions[ICG],Assumptions[PME_Ratio])</f>
        <v>4.4999999999999998E-2</v>
      </c>
      <c r="P73" s="18">
        <f>_xlfn.XLOOKUP(CF_Gen_1[[#This Row],[ICG]],Assumptions[ICG],Assumptions[ULAE_Ratio])</f>
        <v>0.11</v>
      </c>
      <c r="Q73" s="18">
        <f>_xlfn.XLOOKUP(CF_Gen_1[[#This Row],[ICG]],Assumptions[ICG],Assumptions[Cancellation_Ratio])</f>
        <v>7.0000000000000007E-2</v>
      </c>
      <c r="R73" s="18">
        <f>_xlfn.XLOOKUP(CF_Gen_1[[#This Row],[ICG]],Assumptions[ICG],Assumptions[Premium_Refund_Ratio])</f>
        <v>0.5</v>
      </c>
      <c r="S73" s="18">
        <f>IF(CF_Gen_1[[#This Row],[Contract]]="RC",_xlfn.XLOOKUP(CF_Gen_1[[#This Row],[ICG]],Assumptions[ICG],Assumptions[NPR_Ratio]),0)</f>
        <v>0</v>
      </c>
      <c r="T73" s="17">
        <f>T72*(1-CF_Gen_1[[#This Row],[Cancellation_Ratio]])</f>
        <v>5.7848133040731085E-3</v>
      </c>
      <c r="U73" s="19">
        <f>IF(CF_Gen_1[[#This Row],[Incurred]]&lt;=CF_Gen_1[[#This Row],[Valuation]],CF_Gen_1[[#This Row],[Expected_Premium]],-CF_Gen_1[[#This Row],[Probability_of_Inforce]]*CF_Gen_1[[#This Row],[Premium_Refund_Ratio]]*CF_Gen_1[[#This Row],[Cancellation_Ratio]]*SUM(K73:K$105))</f>
        <v>-1603632.7932193622</v>
      </c>
      <c r="V7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Row],[Cancellation_Ratio]]*SUM(L73:L$105))</f>
        <v>428910.54492159968</v>
      </c>
      <c r="W73" s="19">
        <f>CF_Gen_1[[#This Row],[Expected_Acquisition]]</f>
        <v>0</v>
      </c>
      <c r="X73" s="19">
        <f>-CF_Gen_1[[#This Row],[Probability_of_Inforce]]*CF_Gen_1[[#This Row],[Earned_Premium]]*(1-CF_Gen_1[[#This Row],[Cancellation_Ratio]])*CF_Gen_1[[#This Row],[PME_Ratio]]+CF_Gen_1[[#This Row],[ULAE_Ratio]]*CF_Gen_1[[#This Row],[Exp_Claim]]</f>
        <v>-321993.03952908341</v>
      </c>
      <c r="Y73" s="19">
        <f>-CF_Gen_1[[#This Row],[Probability_of_Inforce]]*CF_Gen_1[[#This Row],[Earned_Premium]]*(1-CF_Gen_1[[#This Row],[Cancellation_Ratio]])*CF_Gen_1[[#This Row],[Loss_Ratio]]</f>
        <v>-1447159.7282205997</v>
      </c>
      <c r="Z73" s="19">
        <f>CF_Gen_1[[#This Row],[Exp_Claim]]*CF_Gen_1[[#This Row],[Risk_Adjustment_Ratio]]</f>
        <v>-202602.36195088399</v>
      </c>
      <c r="AA73" s="19">
        <f>IF(CF_Gen_1[[#This Row],[Contract]]="RC",-CF_Gen_1[[#This Row],[NPR_Ratio]]*CF_Gen_1[[#This Row],[Exp_Claim]],0)</f>
        <v>0</v>
      </c>
      <c r="AB73" s="19">
        <f>SUMIFS(Actual_CF[Actual_Premium],Actual_CF[ICG],CF_Gen_1[[#This Row],[ICG]],Actual_CF[Incurred],CF_Gen_1[[#This Row],[Incurred]])</f>
        <v>0</v>
      </c>
      <c r="AC73" s="19">
        <f>SUMIFS(Actual_CF[Actual_Commission],Actual_CF[ICG],CF_Gen_1[[#This Row],[ICG]],Actual_CF[Incurred],CF_Gen_1[[#This Row],[Incurred]])</f>
        <v>0</v>
      </c>
      <c r="AD73" s="19">
        <f>SUMIFS(Actual_CF[Actual_Acquisition],Actual_CF[ICG],CF_Gen_1[[#This Row],[ICG]],Actual_CF[Incurred],CF_Gen_1[[#This Row],[Incurred]])</f>
        <v>0</v>
      </c>
    </row>
    <row r="74" spans="1:30">
      <c r="A74" t="str">
        <f t="shared" si="4"/>
        <v>#2024#IC-Property</v>
      </c>
      <c r="B74">
        <f>_xlfn.XLOOKUP(CF_Gen_1[[#This Row],[ICG]],ICG[ICG],ICG[Cohort])</f>
        <v>2024</v>
      </c>
      <c r="C74" t="str">
        <f>_xlfn.XLOOKUP(CF_Gen_1[[#This Row],[ICG]],ICG[ICG],ICG[Portfolio])</f>
        <v>IC-Property</v>
      </c>
      <c r="D74" t="str">
        <f>_xlfn.XLOOKUP(CF_Gen_1[[#This Row],[ICG]],ICG[ICG],ICG[Contract])</f>
        <v>IC</v>
      </c>
      <c r="E74" s="2">
        <f t="shared" si="3"/>
        <v>45930</v>
      </c>
      <c r="F74">
        <v>73</v>
      </c>
      <c r="G74" s="2">
        <f>EOMONTH(DATE(YEAR(CF_Gen_1[[#This Row],[Valuation]])-1,12,31),CF_Gen_1[[#This Row],['#Incurred]]*3)</f>
        <v>52321</v>
      </c>
      <c r="H74" s="14">
        <f>SUMIFS(Expected_CF[Expected_Premium],Expected_CF[ICG],CF_Gen_1[[#This Row],[ICG]],Expected_CF[Incurred],CF_Gen_1[[#This Row],[Incurred]])</f>
        <v>0</v>
      </c>
      <c r="I74" s="14">
        <f>SUMIFS(Expected_CF[Expected_Commission],Expected_CF[ICG],CF_Gen_1[[#This Row],[ICG]],Expected_CF[Incurred],CF_Gen_1[[#This Row],[Incurred]])</f>
        <v>0</v>
      </c>
      <c r="J74" s="14">
        <f>IF(CF_Gen_1[[#This Row],[Contract]]="IC",SUMIFS(Expected_CF[Expected_Acquisition],Expected_CF[ICG],CF_Gen_1[[#This Row],[ICG]],Expected_CF[Incurred],CF_Gen_1[[#This Row],[Incurred]]),0)</f>
        <v>0</v>
      </c>
      <c r="K74" s="14">
        <f>SUMIFS(Earned[Earned_Premium],Earned[ICG],CF_Gen_1[[#This Row],[ICG]],Earned[Incurred],CF_Gen_1[[#This Row],[Incurred]])</f>
        <v>642599114.85700083</v>
      </c>
      <c r="L74" s="14">
        <f>SUMIFS(Earned[Earned_Commission],Earned[ICG],CF_Gen_1[[#This Row],[ICG]],Earned[Incurred],CF_Gen_1[[#This Row],[Incurred]])</f>
        <v>-185241837.49161878</v>
      </c>
      <c r="M74" s="18">
        <f>_xlfn.XLOOKUP(CF_Gen_1[[#This Row],[ICG]],Assumptions[ICG],Assumptions[Loss_Ratio])</f>
        <v>0.4</v>
      </c>
      <c r="N74" s="18">
        <f>_xlfn.XLOOKUP(CF_Gen_1[[#This Row],[ICG]],Assumptions[ICG],Assumptions[Risk_Adjustment_Ratio])</f>
        <v>0.14000000000000001</v>
      </c>
      <c r="O74" s="18">
        <f>_xlfn.XLOOKUP(CF_Gen_1[[#This Row],[ICG]],Assumptions[ICG],Assumptions[PME_Ratio])</f>
        <v>4.4999999999999998E-2</v>
      </c>
      <c r="P74" s="18">
        <f>_xlfn.XLOOKUP(CF_Gen_1[[#This Row],[ICG]],Assumptions[ICG],Assumptions[ULAE_Ratio])</f>
        <v>0.11</v>
      </c>
      <c r="Q74" s="18">
        <f>_xlfn.XLOOKUP(CF_Gen_1[[#This Row],[ICG]],Assumptions[ICG],Assumptions[Cancellation_Ratio])</f>
        <v>7.0000000000000007E-2</v>
      </c>
      <c r="R74" s="18">
        <f>_xlfn.XLOOKUP(CF_Gen_1[[#This Row],[ICG]],Assumptions[ICG],Assumptions[Premium_Refund_Ratio])</f>
        <v>0.5</v>
      </c>
      <c r="S74" s="18">
        <f>IF(CF_Gen_1[[#This Row],[Contract]]="RC",_xlfn.XLOOKUP(CF_Gen_1[[#This Row],[ICG]],Assumptions[ICG],Assumptions[NPR_Ratio]),0)</f>
        <v>0</v>
      </c>
      <c r="T74" s="17">
        <f>T73*(1-CF_Gen_1[[#This Row],[Cancellation_Ratio]])</f>
        <v>5.3798763727879902E-3</v>
      </c>
      <c r="U74" s="19">
        <f>IF(CF_Gen_1[[#This Row],[Incurred]]&lt;=CF_Gen_1[[#This Row],[Valuation]],CF_Gen_1[[#This Row],[Expected_Premium]],-CF_Gen_1[[#This Row],[Probability_of_Inforce]]*CF_Gen_1[[#This Row],[Premium_Refund_Ratio]]*CF_Gen_1[[#This Row],[Cancellation_Ratio]]*SUM(K74:K$105))</f>
        <v>-1364752.0214747044</v>
      </c>
      <c r="V7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Row],[Cancellation_Ratio]]*SUM(L74:L$105))</f>
        <v>362217.84023479925</v>
      </c>
      <c r="W74" s="19">
        <f>CF_Gen_1[[#This Row],[Expected_Acquisition]]</f>
        <v>0</v>
      </c>
      <c r="X74" s="19">
        <f>-CF_Gen_1[[#This Row],[Probability_of_Inforce]]*CF_Gen_1[[#This Row],[Earned_Premium]]*(1-CF_Gen_1[[#This Row],[Cancellation_Ratio]])*CF_Gen_1[[#This Row],[PME_Ratio]]+CF_Gen_1[[#This Row],[ULAE_Ratio]]*CF_Gen_1[[#This Row],[Exp_Claim]]</f>
        <v>-286144.48112817877</v>
      </c>
      <c r="Y74" s="19">
        <f>-CF_Gen_1[[#This Row],[Probability_of_Inforce]]*CF_Gen_1[[#This Row],[Earned_Premium]]*(1-CF_Gen_1[[#This Row],[Cancellation_Ratio]])*CF_Gen_1[[#This Row],[Loss_Ratio]]</f>
        <v>-1286042.6118120395</v>
      </c>
      <c r="Z74" s="19">
        <f>CF_Gen_1[[#This Row],[Exp_Claim]]*CF_Gen_1[[#This Row],[Risk_Adjustment_Ratio]]</f>
        <v>-180045.96565368556</v>
      </c>
      <c r="AA74" s="19">
        <f>IF(CF_Gen_1[[#This Row],[Contract]]="RC",-CF_Gen_1[[#This Row],[NPR_Ratio]]*CF_Gen_1[[#This Row],[Exp_Claim]],0)</f>
        <v>0</v>
      </c>
      <c r="AB74" s="19">
        <f>SUMIFS(Actual_CF[Actual_Premium],Actual_CF[ICG],CF_Gen_1[[#This Row],[ICG]],Actual_CF[Incurred],CF_Gen_1[[#This Row],[Incurred]])</f>
        <v>0</v>
      </c>
      <c r="AC74" s="19">
        <f>SUMIFS(Actual_CF[Actual_Commission],Actual_CF[ICG],CF_Gen_1[[#This Row],[ICG]],Actual_CF[Incurred],CF_Gen_1[[#This Row],[Incurred]])</f>
        <v>0</v>
      </c>
      <c r="AD74" s="19">
        <f>SUMIFS(Actual_CF[Actual_Acquisition],Actual_CF[ICG],CF_Gen_1[[#This Row],[ICG]],Actual_CF[Incurred],CF_Gen_1[[#This Row],[Incurred]])</f>
        <v>0</v>
      </c>
    </row>
    <row r="75" spans="1:30">
      <c r="A75" t="str">
        <f t="shared" si="4"/>
        <v>#2024#IC-Property</v>
      </c>
      <c r="B75">
        <f>_xlfn.XLOOKUP(CF_Gen_1[[#This Row],[ICG]],ICG[ICG],ICG[Cohort])</f>
        <v>2024</v>
      </c>
      <c r="C75" t="str">
        <f>_xlfn.XLOOKUP(CF_Gen_1[[#This Row],[ICG]],ICG[ICG],ICG[Portfolio])</f>
        <v>IC-Property</v>
      </c>
      <c r="D75" t="str">
        <f>_xlfn.XLOOKUP(CF_Gen_1[[#This Row],[ICG]],ICG[ICG],ICG[Contract])</f>
        <v>IC</v>
      </c>
      <c r="E75" s="2">
        <f t="shared" si="3"/>
        <v>45930</v>
      </c>
      <c r="F75">
        <v>74</v>
      </c>
      <c r="G75" s="2">
        <f>EOMONTH(DATE(YEAR(CF_Gen_1[[#This Row],[Valuation]])-1,12,31),CF_Gen_1[[#This Row],['#Incurred]]*3)</f>
        <v>52412</v>
      </c>
      <c r="H75" s="14">
        <f>SUMIFS(Expected_CF[Expected_Premium],Expected_CF[ICG],CF_Gen_1[[#This Row],[ICG]],Expected_CF[Incurred],CF_Gen_1[[#This Row],[Incurred]])</f>
        <v>0</v>
      </c>
      <c r="I75" s="14">
        <f>SUMIFS(Expected_CF[Expected_Commission],Expected_CF[ICG],CF_Gen_1[[#This Row],[ICG]],Expected_CF[Incurred],CF_Gen_1[[#This Row],[Incurred]])</f>
        <v>0</v>
      </c>
      <c r="J75" s="14">
        <f>IF(CF_Gen_1[[#This Row],[Contract]]="IC",SUMIFS(Expected_CF[Expected_Acquisition],Expected_CF[ICG],CF_Gen_1[[#This Row],[ICG]],Expected_CF[Incurred],CF_Gen_1[[#This Row],[Incurred]]),0)</f>
        <v>0</v>
      </c>
      <c r="K75" s="14">
        <f>SUMIFS(Earned[Earned_Premium],Earned[ICG],CF_Gen_1[[#This Row],[ICG]],Earned[Incurred],CF_Gen_1[[#This Row],[Incurred]])</f>
        <v>612710783.93341947</v>
      </c>
      <c r="L75" s="14">
        <f>SUMIFS(Earned[Earned_Commission],Earned[ICG],CF_Gen_1[[#This Row],[ICG]],Earned[Incurred],CF_Gen_1[[#This Row],[Incurred]])</f>
        <v>-175742256.08179221</v>
      </c>
      <c r="M75" s="18">
        <f>_xlfn.XLOOKUP(CF_Gen_1[[#This Row],[ICG]],Assumptions[ICG],Assumptions[Loss_Ratio])</f>
        <v>0.4</v>
      </c>
      <c r="N75" s="18">
        <f>_xlfn.XLOOKUP(CF_Gen_1[[#This Row],[ICG]],Assumptions[ICG],Assumptions[Risk_Adjustment_Ratio])</f>
        <v>0.14000000000000001</v>
      </c>
      <c r="O75" s="18">
        <f>_xlfn.XLOOKUP(CF_Gen_1[[#This Row],[ICG]],Assumptions[ICG],Assumptions[PME_Ratio])</f>
        <v>4.4999999999999998E-2</v>
      </c>
      <c r="P75" s="18">
        <f>_xlfn.XLOOKUP(CF_Gen_1[[#This Row],[ICG]],Assumptions[ICG],Assumptions[ULAE_Ratio])</f>
        <v>0.11</v>
      </c>
      <c r="Q75" s="18">
        <f>_xlfn.XLOOKUP(CF_Gen_1[[#This Row],[ICG]],Assumptions[ICG],Assumptions[Cancellation_Ratio])</f>
        <v>7.0000000000000007E-2</v>
      </c>
      <c r="R75" s="18">
        <f>_xlfn.XLOOKUP(CF_Gen_1[[#This Row],[ICG]],Assumptions[ICG],Assumptions[Premium_Refund_Ratio])</f>
        <v>0.5</v>
      </c>
      <c r="S75" s="18">
        <f>IF(CF_Gen_1[[#This Row],[Contract]]="RC",_xlfn.XLOOKUP(CF_Gen_1[[#This Row],[ICG]],Assumptions[ICG],Assumptions[NPR_Ratio]),0)</f>
        <v>0</v>
      </c>
      <c r="T75" s="17">
        <f>T74*(1-CF_Gen_1[[#This Row],[Cancellation_Ratio]])</f>
        <v>5.0032850266928308E-3</v>
      </c>
      <c r="U75" s="19">
        <f>IF(CF_Gen_1[[#This Row],[Incurred]]&lt;=CF_Gen_1[[#This Row],[Valuation]],CF_Gen_1[[#This Row],[Expected_Premium]],-CF_Gen_1[[#This Row],[Probability_of_Inforce]]*CF_Gen_1[[#This Row],[Premium_Refund_Ratio]]*CF_Gen_1[[#This Row],[Cancellation_Ratio]]*SUM(K75:K$105))</f>
        <v>-1156690.6514379212</v>
      </c>
      <c r="V7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Row],[Cancellation_Ratio]]*SUM(L75:L$105))</f>
        <v>304423.9715040024</v>
      </c>
      <c r="W75" s="19">
        <f>CF_Gen_1[[#This Row],[Expected_Acquisition]]</f>
        <v>0</v>
      </c>
      <c r="X75" s="19">
        <f>-CF_Gen_1[[#This Row],[Probability_of_Inforce]]*CF_Gen_1[[#This Row],[Earned_Premium]]*(1-CF_Gen_1[[#This Row],[Cancellation_Ratio]])*CF_Gen_1[[#This Row],[PME_Ratio]]+CF_Gen_1[[#This Row],[ULAE_Ratio]]*CF_Gen_1[[#This Row],[Exp_Claim]]</f>
        <v>-253736.95500970836</v>
      </c>
      <c r="Y75" s="19">
        <f>-CF_Gen_1[[#This Row],[Probability_of_Inforce]]*CF_Gen_1[[#This Row],[Earned_Premium]]*(1-CF_Gen_1[[#This Row],[Cancellation_Ratio]])*CF_Gen_1[[#This Row],[Loss_Ratio]]</f>
        <v>-1140390.8090323971</v>
      </c>
      <c r="Z75" s="19">
        <f>CF_Gen_1[[#This Row],[Exp_Claim]]*CF_Gen_1[[#This Row],[Risk_Adjustment_Ratio]]</f>
        <v>-159654.71326453562</v>
      </c>
      <c r="AA75" s="19">
        <f>IF(CF_Gen_1[[#This Row],[Contract]]="RC",-CF_Gen_1[[#This Row],[NPR_Ratio]]*CF_Gen_1[[#This Row],[Exp_Claim]],0)</f>
        <v>0</v>
      </c>
      <c r="AB75" s="19">
        <f>SUMIFS(Actual_CF[Actual_Premium],Actual_CF[ICG],CF_Gen_1[[#This Row],[ICG]],Actual_CF[Incurred],CF_Gen_1[[#This Row],[Incurred]])</f>
        <v>0</v>
      </c>
      <c r="AC75" s="19">
        <f>SUMIFS(Actual_CF[Actual_Commission],Actual_CF[ICG],CF_Gen_1[[#This Row],[ICG]],Actual_CF[Incurred],CF_Gen_1[[#This Row],[Incurred]])</f>
        <v>0</v>
      </c>
      <c r="AD75" s="19">
        <f>SUMIFS(Actual_CF[Actual_Acquisition],Actual_CF[ICG],CF_Gen_1[[#This Row],[ICG]],Actual_CF[Incurred],CF_Gen_1[[#This Row],[Incurred]])</f>
        <v>0</v>
      </c>
    </row>
    <row r="76" spans="1:30">
      <c r="A76" t="str">
        <f t="shared" si="4"/>
        <v>#2024#IC-Property</v>
      </c>
      <c r="B76">
        <f>_xlfn.XLOOKUP(CF_Gen_1[[#This Row],[ICG]],ICG[ICG],ICG[Cohort])</f>
        <v>2024</v>
      </c>
      <c r="C76" t="str">
        <f>_xlfn.XLOOKUP(CF_Gen_1[[#This Row],[ICG]],ICG[ICG],ICG[Portfolio])</f>
        <v>IC-Property</v>
      </c>
      <c r="D76" t="str">
        <f>_xlfn.XLOOKUP(CF_Gen_1[[#This Row],[ICG]],ICG[ICG],ICG[Contract])</f>
        <v>IC</v>
      </c>
      <c r="E76" s="2">
        <f t="shared" si="3"/>
        <v>45930</v>
      </c>
      <c r="F76">
        <v>75</v>
      </c>
      <c r="G76" s="2">
        <f>EOMONTH(DATE(YEAR(CF_Gen_1[[#This Row],[Valuation]])-1,12,31),CF_Gen_1[[#This Row],['#Incurred]]*3)</f>
        <v>52504</v>
      </c>
      <c r="H76" s="14">
        <f>SUMIFS(Expected_CF[Expected_Premium],Expected_CF[ICG],CF_Gen_1[[#This Row],[ICG]],Expected_CF[Incurred],CF_Gen_1[[#This Row],[Incurred]])</f>
        <v>0</v>
      </c>
      <c r="I76" s="14">
        <f>SUMIFS(Expected_CF[Expected_Commission],Expected_CF[ICG],CF_Gen_1[[#This Row],[ICG]],Expected_CF[Incurred],CF_Gen_1[[#This Row],[Incurred]])</f>
        <v>0</v>
      </c>
      <c r="J76" s="14">
        <f>IF(CF_Gen_1[[#This Row],[Contract]]="IC",SUMIFS(Expected_CF[Expected_Acquisition],Expected_CF[ICG],CF_Gen_1[[#This Row],[ICG]],Expected_CF[Incurred],CF_Gen_1[[#This Row],[Incurred]]),0)</f>
        <v>0</v>
      </c>
      <c r="K76" s="14">
        <f>SUMIFS(Earned[Earned_Premium],Earned[ICG],CF_Gen_1[[#This Row],[ICG]],Earned[Incurred],CF_Gen_1[[#This Row],[Incurred]])</f>
        <v>582822453.00983787</v>
      </c>
      <c r="L76" s="14">
        <f>SUMIFS(Earned[Earned_Commission],Earned[ICG],CF_Gen_1[[#This Row],[ICG]],Earned[Incurred],CF_Gen_1[[#This Row],[Incurred]])</f>
        <v>-166242674.67196557</v>
      </c>
      <c r="M76" s="18">
        <f>_xlfn.XLOOKUP(CF_Gen_1[[#This Row],[ICG]],Assumptions[ICG],Assumptions[Loss_Ratio])</f>
        <v>0.4</v>
      </c>
      <c r="N76" s="18">
        <f>_xlfn.XLOOKUP(CF_Gen_1[[#This Row],[ICG]],Assumptions[ICG],Assumptions[Risk_Adjustment_Ratio])</f>
        <v>0.14000000000000001</v>
      </c>
      <c r="O76" s="18">
        <f>_xlfn.XLOOKUP(CF_Gen_1[[#This Row],[ICG]],Assumptions[ICG],Assumptions[PME_Ratio])</f>
        <v>4.4999999999999998E-2</v>
      </c>
      <c r="P76" s="18">
        <f>_xlfn.XLOOKUP(CF_Gen_1[[#This Row],[ICG]],Assumptions[ICG],Assumptions[ULAE_Ratio])</f>
        <v>0.11</v>
      </c>
      <c r="Q76" s="18">
        <f>_xlfn.XLOOKUP(CF_Gen_1[[#This Row],[ICG]],Assumptions[ICG],Assumptions[Cancellation_Ratio])</f>
        <v>7.0000000000000007E-2</v>
      </c>
      <c r="R76" s="18">
        <f>_xlfn.XLOOKUP(CF_Gen_1[[#This Row],[ICG]],Assumptions[ICG],Assumptions[Premium_Refund_Ratio])</f>
        <v>0.5</v>
      </c>
      <c r="S76" s="18">
        <f>IF(CF_Gen_1[[#This Row],[Contract]]="RC",_xlfn.XLOOKUP(CF_Gen_1[[#This Row],[ICG]],Assumptions[ICG],Assumptions[NPR_Ratio]),0)</f>
        <v>0</v>
      </c>
      <c r="T76" s="17">
        <f>T75*(1-CF_Gen_1[[#This Row],[Cancellation_Ratio]])</f>
        <v>4.6530550748243322E-3</v>
      </c>
      <c r="U76" s="19">
        <f>IF(CF_Gen_1[[#This Row],[Incurred]]&lt;=CF_Gen_1[[#This Row],[Valuation]],CF_Gen_1[[#This Row],[Expected_Premium]],-CF_Gen_1[[#This Row],[Probability_of_Inforce]]*CF_Gen_1[[#This Row],[Premium_Refund_Ratio]]*CF_Gen_1[[#This Row],[Cancellation_Ratio]]*SUM(K76:K$105))</f>
        <v>-975938.11004693189</v>
      </c>
      <c r="V7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Row],[Cancellation_Ratio]]*SUM(L76:L$105))</f>
        <v>254493.44962043612</v>
      </c>
      <c r="W76" s="19">
        <f>CF_Gen_1[[#This Row],[Expected_Acquisition]]</f>
        <v>0</v>
      </c>
      <c r="X76" s="19">
        <f>-CF_Gen_1[[#This Row],[Probability_of_Inforce]]*CF_Gen_1[[#This Row],[Earned_Premium]]*(1-CF_Gen_1[[#This Row],[Cancellation_Ratio]])*CF_Gen_1[[#This Row],[PME_Ratio]]+CF_Gen_1[[#This Row],[ULAE_Ratio]]*CF_Gen_1[[#This Row],[Exp_Claim]]</f>
        <v>-224464.37459029557</v>
      </c>
      <c r="Y76" s="19">
        <f>-CF_Gen_1[[#This Row],[Probability_of_Inforce]]*CF_Gen_1[[#This Row],[Earned_Premium]]*(1-CF_Gen_1[[#This Row],[Cancellation_Ratio]])*CF_Gen_1[[#This Row],[Loss_Ratio]]</f>
        <v>-1008828.6498440251</v>
      </c>
      <c r="Z76" s="19">
        <f>CF_Gen_1[[#This Row],[Exp_Claim]]*CF_Gen_1[[#This Row],[Risk_Adjustment_Ratio]]</f>
        <v>-141236.01097816354</v>
      </c>
      <c r="AA76" s="19">
        <f>IF(CF_Gen_1[[#This Row],[Contract]]="RC",-CF_Gen_1[[#This Row],[NPR_Ratio]]*CF_Gen_1[[#This Row],[Exp_Claim]],0)</f>
        <v>0</v>
      </c>
      <c r="AB76" s="19">
        <f>SUMIFS(Actual_CF[Actual_Premium],Actual_CF[ICG],CF_Gen_1[[#This Row],[ICG]],Actual_CF[Incurred],CF_Gen_1[[#This Row],[Incurred]])</f>
        <v>0</v>
      </c>
      <c r="AC76" s="19">
        <f>SUMIFS(Actual_CF[Actual_Commission],Actual_CF[ICG],CF_Gen_1[[#This Row],[ICG]],Actual_CF[Incurred],CF_Gen_1[[#This Row],[Incurred]])</f>
        <v>0</v>
      </c>
      <c r="AD76" s="19">
        <f>SUMIFS(Actual_CF[Actual_Acquisition],Actual_CF[ICG],CF_Gen_1[[#This Row],[ICG]],Actual_CF[Incurred],CF_Gen_1[[#This Row],[Incurred]])</f>
        <v>0</v>
      </c>
    </row>
    <row r="77" spans="1:30">
      <c r="A77" t="str">
        <f t="shared" si="4"/>
        <v>#2024#IC-Property</v>
      </c>
      <c r="B77">
        <f>_xlfn.XLOOKUP(CF_Gen_1[[#This Row],[ICG]],ICG[ICG],ICG[Cohort])</f>
        <v>2024</v>
      </c>
      <c r="C77" t="str">
        <f>_xlfn.XLOOKUP(CF_Gen_1[[#This Row],[ICG]],ICG[ICG],ICG[Portfolio])</f>
        <v>IC-Property</v>
      </c>
      <c r="D77" t="str">
        <f>_xlfn.XLOOKUP(CF_Gen_1[[#This Row],[ICG]],ICG[ICG],ICG[Contract])</f>
        <v>IC</v>
      </c>
      <c r="E77" s="2">
        <f t="shared" si="3"/>
        <v>45930</v>
      </c>
      <c r="F77">
        <v>76</v>
      </c>
      <c r="G77" s="2">
        <f>EOMONTH(DATE(YEAR(CF_Gen_1[[#This Row],[Valuation]])-1,12,31),CF_Gen_1[[#This Row],['#Incurred]]*3)</f>
        <v>52596</v>
      </c>
      <c r="H77" s="14">
        <f>SUMIFS(Expected_CF[Expected_Premium],Expected_CF[ICG],CF_Gen_1[[#This Row],[ICG]],Expected_CF[Incurred],CF_Gen_1[[#This Row],[Incurred]])</f>
        <v>0</v>
      </c>
      <c r="I77" s="14">
        <f>SUMIFS(Expected_CF[Expected_Commission],Expected_CF[ICG],CF_Gen_1[[#This Row],[ICG]],Expected_CF[Incurred],CF_Gen_1[[#This Row],[Incurred]])</f>
        <v>0</v>
      </c>
      <c r="J77" s="14">
        <f>IF(CF_Gen_1[[#This Row],[Contract]]="IC",SUMIFS(Expected_CF[Expected_Acquisition],Expected_CF[ICG],CF_Gen_1[[#This Row],[ICG]],Expected_CF[Incurred],CF_Gen_1[[#This Row],[Incurred]]),0)</f>
        <v>0</v>
      </c>
      <c r="K77" s="14">
        <f>SUMIFS(Earned[Earned_Premium],Earned[ICG],CF_Gen_1[[#This Row],[ICG]],Earned[Incurred],CF_Gen_1[[#This Row],[Incurred]])</f>
        <v>552934122.08625638</v>
      </c>
      <c r="L77" s="14">
        <f>SUMIFS(Earned[Earned_Commission],Earned[ICG],CF_Gen_1[[#This Row],[ICG]],Earned[Incurred],CF_Gen_1[[#This Row],[Incurred]])</f>
        <v>-156743093.26213896</v>
      </c>
      <c r="M77" s="18">
        <f>_xlfn.XLOOKUP(CF_Gen_1[[#This Row],[ICG]],Assumptions[ICG],Assumptions[Loss_Ratio])</f>
        <v>0.4</v>
      </c>
      <c r="N77" s="18">
        <f>_xlfn.XLOOKUP(CF_Gen_1[[#This Row],[ICG]],Assumptions[ICG],Assumptions[Risk_Adjustment_Ratio])</f>
        <v>0.14000000000000001</v>
      </c>
      <c r="O77" s="18">
        <f>_xlfn.XLOOKUP(CF_Gen_1[[#This Row],[ICG]],Assumptions[ICG],Assumptions[PME_Ratio])</f>
        <v>4.4999999999999998E-2</v>
      </c>
      <c r="P77" s="18">
        <f>_xlfn.XLOOKUP(CF_Gen_1[[#This Row],[ICG]],Assumptions[ICG],Assumptions[ULAE_Ratio])</f>
        <v>0.11</v>
      </c>
      <c r="Q77" s="18">
        <f>_xlfn.XLOOKUP(CF_Gen_1[[#This Row],[ICG]],Assumptions[ICG],Assumptions[Cancellation_Ratio])</f>
        <v>7.0000000000000007E-2</v>
      </c>
      <c r="R77" s="18">
        <f>_xlfn.XLOOKUP(CF_Gen_1[[#This Row],[ICG]],Assumptions[ICG],Assumptions[Premium_Refund_Ratio])</f>
        <v>0.5</v>
      </c>
      <c r="S77" s="18">
        <f>IF(CF_Gen_1[[#This Row],[Contract]]="RC",_xlfn.XLOOKUP(CF_Gen_1[[#This Row],[ICG]],Assumptions[ICG],Assumptions[NPR_Ratio]),0)</f>
        <v>0</v>
      </c>
      <c r="T77" s="17">
        <f>T76*(1-CF_Gen_1[[#This Row],[Cancellation_Ratio]])</f>
        <v>4.3273412195866286E-3</v>
      </c>
      <c r="U77" s="19">
        <f>IF(CF_Gen_1[[#This Row],[Incurred]]&lt;=CF_Gen_1[[#This Row],[Valuation]],CF_Gen_1[[#This Row],[Expected_Premium]],-CF_Gen_1[[#This Row],[Probability_of_Inforce]]*CF_Gen_1[[#This Row],[Premium_Refund_Ratio]]*CF_Gen_1[[#This Row],[Cancellation_Ratio]]*SUM(K77:K$105))</f>
        <v>-819349.93548229465</v>
      </c>
      <c r="V7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Row],[Cancellation_Ratio]]*SUM(L77:L$105))</f>
        <v>211500.30089732414</v>
      </c>
      <c r="W77" s="19">
        <f>CF_Gen_1[[#This Row],[Expected_Acquisition]]</f>
        <v>0</v>
      </c>
      <c r="X77" s="19">
        <f>-CF_Gen_1[[#This Row],[Probability_of_Inforce]]*CF_Gen_1[[#This Row],[Earned_Premium]]*(1-CF_Gen_1[[#This Row],[Cancellation_Ratio]])*CF_Gen_1[[#This Row],[PME_Ratio]]+CF_Gen_1[[#This Row],[ULAE_Ratio]]*CF_Gen_1[[#This Row],[Exp_Claim]]</f>
        <v>-198046.64435005304</v>
      </c>
      <c r="Y77" s="19">
        <f>-CF_Gen_1[[#This Row],[Probability_of_Inforce]]*CF_Gen_1[[#This Row],[Earned_Premium]]*(1-CF_Gen_1[[#This Row],[Cancellation_Ratio]])*CF_Gen_1[[#This Row],[Loss_Ratio]]</f>
        <v>-890097.27797776647</v>
      </c>
      <c r="Z77" s="19">
        <f>CF_Gen_1[[#This Row],[Exp_Claim]]*CF_Gen_1[[#This Row],[Risk_Adjustment_Ratio]]</f>
        <v>-124613.61891688732</v>
      </c>
      <c r="AA77" s="19">
        <f>IF(CF_Gen_1[[#This Row],[Contract]]="RC",-CF_Gen_1[[#This Row],[NPR_Ratio]]*CF_Gen_1[[#This Row],[Exp_Claim]],0)</f>
        <v>0</v>
      </c>
      <c r="AB77" s="19">
        <f>SUMIFS(Actual_CF[Actual_Premium],Actual_CF[ICG],CF_Gen_1[[#This Row],[ICG]],Actual_CF[Incurred],CF_Gen_1[[#This Row],[Incurred]])</f>
        <v>0</v>
      </c>
      <c r="AC77" s="19">
        <f>SUMIFS(Actual_CF[Actual_Commission],Actual_CF[ICG],CF_Gen_1[[#This Row],[ICG]],Actual_CF[Incurred],CF_Gen_1[[#This Row],[Incurred]])</f>
        <v>0</v>
      </c>
      <c r="AD77" s="19">
        <f>SUMIFS(Actual_CF[Actual_Acquisition],Actual_CF[ICG],CF_Gen_1[[#This Row],[ICG]],Actual_CF[Incurred],CF_Gen_1[[#This Row],[Incurred]])</f>
        <v>0</v>
      </c>
    </row>
    <row r="78" spans="1:30">
      <c r="A78" t="str">
        <f t="shared" si="4"/>
        <v>#2024#IC-Property</v>
      </c>
      <c r="B78">
        <f>_xlfn.XLOOKUP(CF_Gen_1[[#This Row],[ICG]],ICG[ICG],ICG[Cohort])</f>
        <v>2024</v>
      </c>
      <c r="C78" t="str">
        <f>_xlfn.XLOOKUP(CF_Gen_1[[#This Row],[ICG]],ICG[ICG],ICG[Portfolio])</f>
        <v>IC-Property</v>
      </c>
      <c r="D78" t="str">
        <f>_xlfn.XLOOKUP(CF_Gen_1[[#This Row],[ICG]],ICG[ICG],ICG[Contract])</f>
        <v>IC</v>
      </c>
      <c r="E78" s="2">
        <f t="shared" si="3"/>
        <v>45930</v>
      </c>
      <c r="F78">
        <v>77</v>
      </c>
      <c r="G78" s="2">
        <f>EOMONTH(DATE(YEAR(CF_Gen_1[[#This Row],[Valuation]])-1,12,31),CF_Gen_1[[#This Row],['#Incurred]]*3)</f>
        <v>52687</v>
      </c>
      <c r="H78" s="14">
        <f>SUMIFS(Expected_CF[Expected_Premium],Expected_CF[ICG],CF_Gen_1[[#This Row],[ICG]],Expected_CF[Incurred],CF_Gen_1[[#This Row],[Incurred]])</f>
        <v>0</v>
      </c>
      <c r="I78" s="14">
        <f>SUMIFS(Expected_CF[Expected_Commission],Expected_CF[ICG],CF_Gen_1[[#This Row],[ICG]],Expected_CF[Incurred],CF_Gen_1[[#This Row],[Incurred]])</f>
        <v>0</v>
      </c>
      <c r="J78" s="14">
        <f>IF(CF_Gen_1[[#This Row],[Contract]]="IC",SUMIFS(Expected_CF[Expected_Acquisition],Expected_CF[ICG],CF_Gen_1[[#This Row],[ICG]],Expected_CF[Incurred],CF_Gen_1[[#This Row],[Incurred]]),0)</f>
        <v>0</v>
      </c>
      <c r="K78" s="14">
        <f>SUMIFS(Earned[Earned_Premium],Earned[ICG],CF_Gen_1[[#This Row],[ICG]],Earned[Incurred],CF_Gen_1[[#This Row],[Incurred]])</f>
        <v>523045791.16267502</v>
      </c>
      <c r="L78" s="14">
        <f>SUMIFS(Earned[Earned_Commission],Earned[ICG],CF_Gen_1[[#This Row],[ICG]],Earned[Incurred],CF_Gen_1[[#This Row],[Incurred]])</f>
        <v>-147243511.85231239</v>
      </c>
      <c r="M78" s="18">
        <f>_xlfn.XLOOKUP(CF_Gen_1[[#This Row],[ICG]],Assumptions[ICG],Assumptions[Loss_Ratio])</f>
        <v>0.4</v>
      </c>
      <c r="N78" s="18">
        <f>_xlfn.XLOOKUP(CF_Gen_1[[#This Row],[ICG]],Assumptions[ICG],Assumptions[Risk_Adjustment_Ratio])</f>
        <v>0.14000000000000001</v>
      </c>
      <c r="O78" s="18">
        <f>_xlfn.XLOOKUP(CF_Gen_1[[#This Row],[ICG]],Assumptions[ICG],Assumptions[PME_Ratio])</f>
        <v>4.4999999999999998E-2</v>
      </c>
      <c r="P78" s="18">
        <f>_xlfn.XLOOKUP(CF_Gen_1[[#This Row],[ICG]],Assumptions[ICG],Assumptions[ULAE_Ratio])</f>
        <v>0.11</v>
      </c>
      <c r="Q78" s="18">
        <f>_xlfn.XLOOKUP(CF_Gen_1[[#This Row],[ICG]],Assumptions[ICG],Assumptions[Cancellation_Ratio])</f>
        <v>7.0000000000000007E-2</v>
      </c>
      <c r="R78" s="18">
        <f>_xlfn.XLOOKUP(CF_Gen_1[[#This Row],[ICG]],Assumptions[ICG],Assumptions[Premium_Refund_Ratio])</f>
        <v>0.5</v>
      </c>
      <c r="S78" s="18">
        <f>IF(CF_Gen_1[[#This Row],[Contract]]="RC",_xlfn.XLOOKUP(CF_Gen_1[[#This Row],[ICG]],Assumptions[ICG],Assumptions[NPR_Ratio]),0)</f>
        <v>0</v>
      </c>
      <c r="T78" s="17">
        <f>T77*(1-CF_Gen_1[[#This Row],[Cancellation_Ratio]])</f>
        <v>4.0244273342155646E-3</v>
      </c>
      <c r="U78" s="19">
        <f>IF(CF_Gen_1[[#This Row],[Incurred]]&lt;=CF_Gen_1[[#This Row],[Valuation]],CF_Gen_1[[#This Row],[Expected_Premium]],-CF_Gen_1[[#This Row],[Probability_of_Inforce]]*CF_Gen_1[[#This Row],[Premium_Refund_Ratio]]*CF_Gen_1[[#This Row],[Cancellation_Ratio]]*SUM(K78:K$105))</f>
        <v>-684111.92817547941</v>
      </c>
      <c r="V7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Row],[Cancellation_Ratio]]*SUM(L78:L$105))</f>
        <v>174617.23822043362</v>
      </c>
      <c r="W78" s="19">
        <f>CF_Gen_1[[#This Row],[Expected_Acquisition]]</f>
        <v>0</v>
      </c>
      <c r="X78" s="19">
        <f>-CF_Gen_1[[#This Row],[Probability_of_Inforce]]*CF_Gen_1[[#This Row],[Earned_Premium]]*(1-CF_Gen_1[[#This Row],[Cancellation_Ratio]])*CF_Gen_1[[#This Row],[PME_Ratio]]+CF_Gen_1[[#This Row],[ULAE_Ratio]]*CF_Gen_1[[#This Row],[Exp_Claim]]</f>
        <v>-174227.5209079521</v>
      </c>
      <c r="Y78" s="19">
        <f>-CF_Gen_1[[#This Row],[Probability_of_Inforce]]*CF_Gen_1[[#This Row],[Earned_Premium]]*(1-CF_Gen_1[[#This Row],[Cancellation_Ratio]])*CF_Gen_1[[#This Row],[Loss_Ratio]]</f>
        <v>-783045.03778854886</v>
      </c>
      <c r="Z78" s="19">
        <f>CF_Gen_1[[#This Row],[Exp_Claim]]*CF_Gen_1[[#This Row],[Risk_Adjustment_Ratio]]</f>
        <v>-109626.30529039685</v>
      </c>
      <c r="AA78" s="19">
        <f>IF(CF_Gen_1[[#This Row],[Contract]]="RC",-CF_Gen_1[[#This Row],[NPR_Ratio]]*CF_Gen_1[[#This Row],[Exp_Claim]],0)</f>
        <v>0</v>
      </c>
      <c r="AB78" s="19">
        <f>SUMIFS(Actual_CF[Actual_Premium],Actual_CF[ICG],CF_Gen_1[[#This Row],[ICG]],Actual_CF[Incurred],CF_Gen_1[[#This Row],[Incurred]])</f>
        <v>0</v>
      </c>
      <c r="AC78" s="19">
        <f>SUMIFS(Actual_CF[Actual_Commission],Actual_CF[ICG],CF_Gen_1[[#This Row],[ICG]],Actual_CF[Incurred],CF_Gen_1[[#This Row],[Incurred]])</f>
        <v>0</v>
      </c>
      <c r="AD78" s="19">
        <f>SUMIFS(Actual_CF[Actual_Acquisition],Actual_CF[ICG],CF_Gen_1[[#This Row],[ICG]],Actual_CF[Incurred],CF_Gen_1[[#This Row],[Incurred]])</f>
        <v>0</v>
      </c>
    </row>
    <row r="79" spans="1:30">
      <c r="A79" t="str">
        <f t="shared" si="4"/>
        <v>#2024#IC-Property</v>
      </c>
      <c r="B79">
        <f>_xlfn.XLOOKUP(CF_Gen_1[[#This Row],[ICG]],ICG[ICG],ICG[Cohort])</f>
        <v>2024</v>
      </c>
      <c r="C79" t="str">
        <f>_xlfn.XLOOKUP(CF_Gen_1[[#This Row],[ICG]],ICG[ICG],ICG[Portfolio])</f>
        <v>IC-Property</v>
      </c>
      <c r="D79" t="str">
        <f>_xlfn.XLOOKUP(CF_Gen_1[[#This Row],[ICG]],ICG[ICG],ICG[Contract])</f>
        <v>IC</v>
      </c>
      <c r="E79" s="2">
        <f t="shared" si="3"/>
        <v>45930</v>
      </c>
      <c r="F79">
        <v>78</v>
      </c>
      <c r="G79" s="2">
        <f>EOMONTH(DATE(YEAR(CF_Gen_1[[#This Row],[Valuation]])-1,12,31),CF_Gen_1[[#This Row],['#Incurred]]*3)</f>
        <v>52778</v>
      </c>
      <c r="H79" s="14">
        <f>SUMIFS(Expected_CF[Expected_Premium],Expected_CF[ICG],CF_Gen_1[[#This Row],[ICG]],Expected_CF[Incurred],CF_Gen_1[[#This Row],[Incurred]])</f>
        <v>0</v>
      </c>
      <c r="I79" s="14">
        <f>SUMIFS(Expected_CF[Expected_Commission],Expected_CF[ICG],CF_Gen_1[[#This Row],[ICG]],Expected_CF[Incurred],CF_Gen_1[[#This Row],[Incurred]])</f>
        <v>0</v>
      </c>
      <c r="J79" s="14">
        <f>IF(CF_Gen_1[[#This Row],[Contract]]="IC",SUMIFS(Expected_CF[Expected_Acquisition],Expected_CF[ICG],CF_Gen_1[[#This Row],[ICG]],Expected_CF[Incurred],CF_Gen_1[[#This Row],[Incurred]]),0)</f>
        <v>0</v>
      </c>
      <c r="K79" s="14">
        <f>SUMIFS(Earned[Earned_Premium],Earned[ICG],CF_Gen_1[[#This Row],[ICG]],Earned[Incurred],CF_Gen_1[[#This Row],[Incurred]])</f>
        <v>493157460.2390936</v>
      </c>
      <c r="L79" s="14">
        <f>SUMIFS(Earned[Earned_Commission],Earned[ICG],CF_Gen_1[[#This Row],[ICG]],Earned[Incurred],CF_Gen_1[[#This Row],[Incurred]])</f>
        <v>-137743930.44248578</v>
      </c>
      <c r="M79" s="18">
        <f>_xlfn.XLOOKUP(CF_Gen_1[[#This Row],[ICG]],Assumptions[ICG],Assumptions[Loss_Ratio])</f>
        <v>0.4</v>
      </c>
      <c r="N79" s="18">
        <f>_xlfn.XLOOKUP(CF_Gen_1[[#This Row],[ICG]],Assumptions[ICG],Assumptions[Risk_Adjustment_Ratio])</f>
        <v>0.14000000000000001</v>
      </c>
      <c r="O79" s="18">
        <f>_xlfn.XLOOKUP(CF_Gen_1[[#This Row],[ICG]],Assumptions[ICG],Assumptions[PME_Ratio])</f>
        <v>4.4999999999999998E-2</v>
      </c>
      <c r="P79" s="18">
        <f>_xlfn.XLOOKUP(CF_Gen_1[[#This Row],[ICG]],Assumptions[ICG],Assumptions[ULAE_Ratio])</f>
        <v>0.11</v>
      </c>
      <c r="Q79" s="18">
        <f>_xlfn.XLOOKUP(CF_Gen_1[[#This Row],[ICG]],Assumptions[ICG],Assumptions[Cancellation_Ratio])</f>
        <v>7.0000000000000007E-2</v>
      </c>
      <c r="R79" s="18">
        <f>_xlfn.XLOOKUP(CF_Gen_1[[#This Row],[ICG]],Assumptions[ICG],Assumptions[Premium_Refund_Ratio])</f>
        <v>0.5</v>
      </c>
      <c r="S79" s="18">
        <f>IF(CF_Gen_1[[#This Row],[Contract]]="RC",_xlfn.XLOOKUP(CF_Gen_1[[#This Row],[ICG]],Assumptions[ICG],Assumptions[NPR_Ratio]),0)</f>
        <v>0</v>
      </c>
      <c r="T79" s="17">
        <f>T78*(1-CF_Gen_1[[#This Row],[Cancellation_Ratio]])</f>
        <v>3.7427174208204748E-3</v>
      </c>
      <c r="U79" s="19">
        <f>IF(CF_Gen_1[[#This Row],[Incurred]]&lt;=CF_Gen_1[[#This Row],[Valuation]],CF_Gen_1[[#This Row],[Expected_Premium]],-CF_Gen_1[[#This Row],[Probability_of_Inforce]]*CF_Gen_1[[#This Row],[Premium_Refund_Ratio]]*CF_Gen_1[[#This Row],[Cancellation_Ratio]]*SUM(K79:K$105))</f>
        <v>-567707.65239669778</v>
      </c>
      <c r="V7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Row],[Cancellation_Ratio]]*SUM(L79:L$105))</f>
        <v>143105.85155306794</v>
      </c>
      <c r="W79" s="19">
        <f>CF_Gen_1[[#This Row],[Expected_Acquisition]]</f>
        <v>0</v>
      </c>
      <c r="X79" s="19">
        <f>-CF_Gen_1[[#This Row],[Probability_of_Inforce]]*CF_Gen_1[[#This Row],[Earned_Premium]]*(1-CF_Gen_1[[#This Row],[Cancellation_Ratio]])*CF_Gen_1[[#This Row],[PME_Ratio]]+CF_Gen_1[[#This Row],[ULAE_Ratio]]*CF_Gen_1[[#This Row],[Exp_Claim]]</f>
        <v>-152772.64619042998</v>
      </c>
      <c r="Y79" s="19">
        <f>-CF_Gen_1[[#This Row],[Probability_of_Inforce]]*CF_Gen_1[[#This Row],[Earned_Premium]]*(1-CF_Gen_1[[#This Row],[Cancellation_Ratio]])*CF_Gen_1[[#This Row],[Loss_Ratio]]</f>
        <v>-686618.63456373033</v>
      </c>
      <c r="Z79" s="19">
        <f>CF_Gen_1[[#This Row],[Exp_Claim]]*CF_Gen_1[[#This Row],[Risk_Adjustment_Ratio]]</f>
        <v>-96126.608838922257</v>
      </c>
      <c r="AA79" s="19">
        <f>IF(CF_Gen_1[[#This Row],[Contract]]="RC",-CF_Gen_1[[#This Row],[NPR_Ratio]]*CF_Gen_1[[#This Row],[Exp_Claim]],0)</f>
        <v>0</v>
      </c>
      <c r="AB79" s="19">
        <f>SUMIFS(Actual_CF[Actual_Premium],Actual_CF[ICG],CF_Gen_1[[#This Row],[ICG]],Actual_CF[Incurred],CF_Gen_1[[#This Row],[Incurred]])</f>
        <v>0</v>
      </c>
      <c r="AC79" s="19">
        <f>SUMIFS(Actual_CF[Actual_Commission],Actual_CF[ICG],CF_Gen_1[[#This Row],[ICG]],Actual_CF[Incurred],CF_Gen_1[[#This Row],[Incurred]])</f>
        <v>0</v>
      </c>
      <c r="AD79" s="19">
        <f>SUMIFS(Actual_CF[Actual_Acquisition],Actual_CF[ICG],CF_Gen_1[[#This Row],[ICG]],Actual_CF[Incurred],CF_Gen_1[[#This Row],[Incurred]])</f>
        <v>0</v>
      </c>
    </row>
    <row r="80" spans="1:30">
      <c r="A80" t="str">
        <f t="shared" si="4"/>
        <v>#2024#IC-Property</v>
      </c>
      <c r="B80">
        <f>_xlfn.XLOOKUP(CF_Gen_1[[#This Row],[ICG]],ICG[ICG],ICG[Cohort])</f>
        <v>2024</v>
      </c>
      <c r="C80" t="str">
        <f>_xlfn.XLOOKUP(CF_Gen_1[[#This Row],[ICG]],ICG[ICG],ICG[Portfolio])</f>
        <v>IC-Property</v>
      </c>
      <c r="D80" t="str">
        <f>_xlfn.XLOOKUP(CF_Gen_1[[#This Row],[ICG]],ICG[ICG],ICG[Contract])</f>
        <v>IC</v>
      </c>
      <c r="E80" s="2">
        <f t="shared" si="3"/>
        <v>45930</v>
      </c>
      <c r="F80">
        <v>79</v>
      </c>
      <c r="G80" s="2">
        <f>EOMONTH(DATE(YEAR(CF_Gen_1[[#This Row],[Valuation]])-1,12,31),CF_Gen_1[[#This Row],['#Incurred]]*3)</f>
        <v>52870</v>
      </c>
      <c r="H80" s="14">
        <f>SUMIFS(Expected_CF[Expected_Premium],Expected_CF[ICG],CF_Gen_1[[#This Row],[ICG]],Expected_CF[Incurred],CF_Gen_1[[#This Row],[Incurred]])</f>
        <v>0</v>
      </c>
      <c r="I80" s="14">
        <f>SUMIFS(Expected_CF[Expected_Commission],Expected_CF[ICG],CF_Gen_1[[#This Row],[ICG]],Expected_CF[Incurred],CF_Gen_1[[#This Row],[Incurred]])</f>
        <v>0</v>
      </c>
      <c r="J80" s="14">
        <f>IF(CF_Gen_1[[#This Row],[Contract]]="IC",SUMIFS(Expected_CF[Expected_Acquisition],Expected_CF[ICG],CF_Gen_1[[#This Row],[ICG]],Expected_CF[Incurred],CF_Gen_1[[#This Row],[Incurred]]),0)</f>
        <v>0</v>
      </c>
      <c r="K80" s="14">
        <f>SUMIFS(Earned[Earned_Premium],Earned[ICG],CF_Gen_1[[#This Row],[ICG]],Earned[Incurred],CF_Gen_1[[#This Row],[Incurred]])</f>
        <v>463269129.31551224</v>
      </c>
      <c r="L80" s="14">
        <f>SUMIFS(Earned[Earned_Commission],Earned[ICG],CF_Gen_1[[#This Row],[ICG]],Earned[Incurred],CF_Gen_1[[#This Row],[Incurred]])</f>
        <v>-128244349.03265916</v>
      </c>
      <c r="M80" s="18">
        <f>_xlfn.XLOOKUP(CF_Gen_1[[#This Row],[ICG]],Assumptions[ICG],Assumptions[Loss_Ratio])</f>
        <v>0.4</v>
      </c>
      <c r="N80" s="18">
        <f>_xlfn.XLOOKUP(CF_Gen_1[[#This Row],[ICG]],Assumptions[ICG],Assumptions[Risk_Adjustment_Ratio])</f>
        <v>0.14000000000000001</v>
      </c>
      <c r="O80" s="18">
        <f>_xlfn.XLOOKUP(CF_Gen_1[[#This Row],[ICG]],Assumptions[ICG],Assumptions[PME_Ratio])</f>
        <v>4.4999999999999998E-2</v>
      </c>
      <c r="P80" s="18">
        <f>_xlfn.XLOOKUP(CF_Gen_1[[#This Row],[ICG]],Assumptions[ICG],Assumptions[ULAE_Ratio])</f>
        <v>0.11</v>
      </c>
      <c r="Q80" s="18">
        <f>_xlfn.XLOOKUP(CF_Gen_1[[#This Row],[ICG]],Assumptions[ICG],Assumptions[Cancellation_Ratio])</f>
        <v>7.0000000000000007E-2</v>
      </c>
      <c r="R80" s="18">
        <f>_xlfn.XLOOKUP(CF_Gen_1[[#This Row],[ICG]],Assumptions[ICG],Assumptions[Premium_Refund_Ratio])</f>
        <v>0.5</v>
      </c>
      <c r="S80" s="18">
        <f>IF(CF_Gen_1[[#This Row],[Contract]]="RC",_xlfn.XLOOKUP(CF_Gen_1[[#This Row],[ICG]],Assumptions[ICG],Assumptions[NPR_Ratio]),0)</f>
        <v>0</v>
      </c>
      <c r="T80" s="17">
        <f>T79*(1-CF_Gen_1[[#This Row],[Cancellation_Ratio]])</f>
        <v>3.4807272013630416E-3</v>
      </c>
      <c r="U80" s="19">
        <f>IF(CF_Gen_1[[#This Row],[Incurred]]&lt;=CF_Gen_1[[#This Row],[Valuation]],CF_Gen_1[[#This Row],[Expected_Premium]],-CF_Gen_1[[#This Row],[Probability_of_Inforce]]*CF_Gen_1[[#This Row],[Premium_Refund_Ratio]]*CF_Gen_1[[#This Row],[Cancellation_Ratio]]*SUM(K80:K$105))</f>
        <v>-467888.98620460258</v>
      </c>
      <c r="V8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Row],[Cancellation_Ratio]]*SUM(L80:L$105))</f>
        <v>116307.72535136952</v>
      </c>
      <c r="W80" s="19">
        <f>CF_Gen_1[[#This Row],[Expected_Acquisition]]</f>
        <v>0</v>
      </c>
      <c r="X80" s="19">
        <f>-CF_Gen_1[[#This Row],[Probability_of_Inforce]]*CF_Gen_1[[#This Row],[Earned_Premium]]*(1-CF_Gen_1[[#This Row],[Cancellation_Ratio]])*CF_Gen_1[[#This Row],[PME_Ratio]]+CF_Gen_1[[#This Row],[ULAE_Ratio]]*CF_Gen_1[[#This Row],[Exp_Claim]]</f>
        <v>-133467.73908091203</v>
      </c>
      <c r="Y80" s="19">
        <f>-CF_Gen_1[[#This Row],[Probability_of_Inforce]]*CF_Gen_1[[#This Row],[Earned_Premium]]*(1-CF_Gen_1[[#This Row],[Cancellation_Ratio]])*CF_Gen_1[[#This Row],[Loss_Ratio]]</f>
        <v>-599855.00710522255</v>
      </c>
      <c r="Z80" s="19">
        <f>CF_Gen_1[[#This Row],[Exp_Claim]]*CF_Gen_1[[#This Row],[Risk_Adjustment_Ratio]]</f>
        <v>-83979.70099473116</v>
      </c>
      <c r="AA80" s="19">
        <f>IF(CF_Gen_1[[#This Row],[Contract]]="RC",-CF_Gen_1[[#This Row],[NPR_Ratio]]*CF_Gen_1[[#This Row],[Exp_Claim]],0)</f>
        <v>0</v>
      </c>
      <c r="AB80" s="19">
        <f>SUMIFS(Actual_CF[Actual_Premium],Actual_CF[ICG],CF_Gen_1[[#This Row],[ICG]],Actual_CF[Incurred],CF_Gen_1[[#This Row],[Incurred]])</f>
        <v>0</v>
      </c>
      <c r="AC80" s="19">
        <f>SUMIFS(Actual_CF[Actual_Commission],Actual_CF[ICG],CF_Gen_1[[#This Row],[ICG]],Actual_CF[Incurred],CF_Gen_1[[#This Row],[Incurred]])</f>
        <v>0</v>
      </c>
      <c r="AD80" s="19">
        <f>SUMIFS(Actual_CF[Actual_Acquisition],Actual_CF[ICG],CF_Gen_1[[#This Row],[ICG]],Actual_CF[Incurred],CF_Gen_1[[#This Row],[Incurred]])</f>
        <v>0</v>
      </c>
    </row>
    <row r="81" spans="1:30">
      <c r="A81" t="str">
        <f t="shared" si="4"/>
        <v>#2024#IC-Property</v>
      </c>
      <c r="B81">
        <f>_xlfn.XLOOKUP(CF_Gen_1[[#This Row],[ICG]],ICG[ICG],ICG[Cohort])</f>
        <v>2024</v>
      </c>
      <c r="C81" t="str">
        <f>_xlfn.XLOOKUP(CF_Gen_1[[#This Row],[ICG]],ICG[ICG],ICG[Portfolio])</f>
        <v>IC-Property</v>
      </c>
      <c r="D81" t="str">
        <f>_xlfn.XLOOKUP(CF_Gen_1[[#This Row],[ICG]],ICG[ICG],ICG[Contract])</f>
        <v>IC</v>
      </c>
      <c r="E81" s="2">
        <f t="shared" si="3"/>
        <v>45930</v>
      </c>
      <c r="F81">
        <v>80</v>
      </c>
      <c r="G81" s="2">
        <f>EOMONTH(DATE(YEAR(CF_Gen_1[[#This Row],[Valuation]])-1,12,31),CF_Gen_1[[#This Row],['#Incurred]]*3)</f>
        <v>52962</v>
      </c>
      <c r="H81" s="14">
        <f>SUMIFS(Expected_CF[Expected_Premium],Expected_CF[ICG],CF_Gen_1[[#This Row],[ICG]],Expected_CF[Incurred],CF_Gen_1[[#This Row],[Incurred]])</f>
        <v>0</v>
      </c>
      <c r="I81" s="14">
        <f>SUMIFS(Expected_CF[Expected_Commission],Expected_CF[ICG],CF_Gen_1[[#This Row],[ICG]],Expected_CF[Incurred],CF_Gen_1[[#This Row],[Incurred]])</f>
        <v>0</v>
      </c>
      <c r="J81" s="14">
        <f>IF(CF_Gen_1[[#This Row],[Contract]]="IC",SUMIFS(Expected_CF[Expected_Acquisition],Expected_CF[ICG],CF_Gen_1[[#This Row],[ICG]],Expected_CF[Incurred],CF_Gen_1[[#This Row],[Incurred]]),0)</f>
        <v>0</v>
      </c>
      <c r="K81" s="14">
        <f>SUMIFS(Earned[Earned_Premium],Earned[ICG],CF_Gen_1[[#This Row],[ICG]],Earned[Incurred],CF_Gen_1[[#This Row],[Incurred]])</f>
        <v>433380798.39193076</v>
      </c>
      <c r="L81" s="14">
        <f>SUMIFS(Earned[Earned_Commission],Earned[ICG],CF_Gen_1[[#This Row],[ICG]],Earned[Incurred],CF_Gen_1[[#This Row],[Incurred]])</f>
        <v>-118744767.62283255</v>
      </c>
      <c r="M81" s="18">
        <f>_xlfn.XLOOKUP(CF_Gen_1[[#This Row],[ICG]],Assumptions[ICG],Assumptions[Loss_Ratio])</f>
        <v>0.4</v>
      </c>
      <c r="N81" s="18">
        <f>_xlfn.XLOOKUP(CF_Gen_1[[#This Row],[ICG]],Assumptions[ICG],Assumptions[Risk_Adjustment_Ratio])</f>
        <v>0.14000000000000001</v>
      </c>
      <c r="O81" s="18">
        <f>_xlfn.XLOOKUP(CF_Gen_1[[#This Row],[ICG]],Assumptions[ICG],Assumptions[PME_Ratio])</f>
        <v>4.4999999999999998E-2</v>
      </c>
      <c r="P81" s="18">
        <f>_xlfn.XLOOKUP(CF_Gen_1[[#This Row],[ICG]],Assumptions[ICG],Assumptions[ULAE_Ratio])</f>
        <v>0.11</v>
      </c>
      <c r="Q81" s="18">
        <f>_xlfn.XLOOKUP(CF_Gen_1[[#This Row],[ICG]],Assumptions[ICG],Assumptions[Cancellation_Ratio])</f>
        <v>7.0000000000000007E-2</v>
      </c>
      <c r="R81" s="18">
        <f>_xlfn.XLOOKUP(CF_Gen_1[[#This Row],[ICG]],Assumptions[ICG],Assumptions[Premium_Refund_Ratio])</f>
        <v>0.5</v>
      </c>
      <c r="S81" s="18">
        <f>IF(CF_Gen_1[[#This Row],[Contract]]="RC",_xlfn.XLOOKUP(CF_Gen_1[[#This Row],[ICG]],Assumptions[ICG],Assumptions[NPR_Ratio]),0)</f>
        <v>0</v>
      </c>
      <c r="T81" s="17">
        <f>T80*(1-CF_Gen_1[[#This Row],[Cancellation_Ratio]])</f>
        <v>3.2370762972676282E-3</v>
      </c>
      <c r="U81" s="19">
        <f>IF(CF_Gen_1[[#This Row],[Incurred]]&lt;=CF_Gen_1[[#This Row],[Valuation]],CF_Gen_1[[#This Row],[Expected_Premium]],-CF_Gen_1[[#This Row],[Probability_of_Inforce]]*CF_Gen_1[[#This Row],[Premium_Refund_Ratio]]*CF_Gen_1[[#This Row],[Cancellation_Ratio]]*SUM(K81:K$105))</f>
        <v>-382649.44404857332</v>
      </c>
      <c r="V8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Row],[Cancellation_Ratio]]*SUM(L81:L$105))</f>
        <v>93636.398588848824</v>
      </c>
      <c r="W81" s="19">
        <f>CF_Gen_1[[#This Row],[Expected_Acquisition]]</f>
        <v>0</v>
      </c>
      <c r="X81" s="19">
        <f>-CF_Gen_1[[#This Row],[Probability_of_Inforce]]*CF_Gen_1[[#This Row],[Earned_Premium]]*(1-CF_Gen_1[[#This Row],[Cancellation_Ratio]])*CF_Gen_1[[#This Row],[PME_Ratio]]+CF_Gen_1[[#This Row],[ULAE_Ratio]]*CF_Gen_1[[#This Row],[Exp_Claim]]</f>
        <v>-116116.93300039343</v>
      </c>
      <c r="Y81" s="19">
        <f>-CF_Gen_1[[#This Row],[Probability_of_Inforce]]*CF_Gen_1[[#This Row],[Earned_Premium]]*(1-CF_Gen_1[[#This Row],[Cancellation_Ratio]])*CF_Gen_1[[#This Row],[Loss_Ratio]]</f>
        <v>-521873.85618154355</v>
      </c>
      <c r="Z81" s="19">
        <f>CF_Gen_1[[#This Row],[Exp_Claim]]*CF_Gen_1[[#This Row],[Risk_Adjustment_Ratio]]</f>
        <v>-73062.339865416099</v>
      </c>
      <c r="AA81" s="19">
        <f>IF(CF_Gen_1[[#This Row],[Contract]]="RC",-CF_Gen_1[[#This Row],[NPR_Ratio]]*CF_Gen_1[[#This Row],[Exp_Claim]],0)</f>
        <v>0</v>
      </c>
      <c r="AB81" s="19">
        <f>SUMIFS(Actual_CF[Actual_Premium],Actual_CF[ICG],CF_Gen_1[[#This Row],[ICG]],Actual_CF[Incurred],CF_Gen_1[[#This Row],[Incurred]])</f>
        <v>0</v>
      </c>
      <c r="AC81" s="19">
        <f>SUMIFS(Actual_CF[Actual_Commission],Actual_CF[ICG],CF_Gen_1[[#This Row],[ICG]],Actual_CF[Incurred],CF_Gen_1[[#This Row],[Incurred]])</f>
        <v>0</v>
      </c>
      <c r="AD81" s="19">
        <f>SUMIFS(Actual_CF[Actual_Acquisition],Actual_CF[ICG],CF_Gen_1[[#This Row],[ICG]],Actual_CF[Incurred],CF_Gen_1[[#This Row],[Incurred]])</f>
        <v>0</v>
      </c>
    </row>
    <row r="82" spans="1:30">
      <c r="A82" t="str">
        <f t="shared" si="4"/>
        <v>#2024#IC-Property</v>
      </c>
      <c r="B82">
        <f>_xlfn.XLOOKUP(CF_Gen_1[[#This Row],[ICG]],ICG[ICG],ICG[Cohort])</f>
        <v>2024</v>
      </c>
      <c r="C82" t="str">
        <f>_xlfn.XLOOKUP(CF_Gen_1[[#This Row],[ICG]],ICG[ICG],ICG[Portfolio])</f>
        <v>IC-Property</v>
      </c>
      <c r="D82" t="str">
        <f>_xlfn.XLOOKUP(CF_Gen_1[[#This Row],[ICG]],ICG[ICG],ICG[Contract])</f>
        <v>IC</v>
      </c>
      <c r="E82" s="2">
        <f t="shared" si="3"/>
        <v>45930</v>
      </c>
      <c r="F82">
        <v>81</v>
      </c>
      <c r="G82" s="2">
        <f>EOMONTH(DATE(YEAR(CF_Gen_1[[#This Row],[Valuation]])-1,12,31),CF_Gen_1[[#This Row],['#Incurred]]*3)</f>
        <v>53052</v>
      </c>
      <c r="H82" s="14">
        <f>SUMIFS(Expected_CF[Expected_Premium],Expected_CF[ICG],CF_Gen_1[[#This Row],[ICG]],Expected_CF[Incurred],CF_Gen_1[[#This Row],[Incurred]])</f>
        <v>0</v>
      </c>
      <c r="I82" s="14">
        <f>SUMIFS(Expected_CF[Expected_Commission],Expected_CF[ICG],CF_Gen_1[[#This Row],[ICG]],Expected_CF[Incurred],CF_Gen_1[[#This Row],[Incurred]])</f>
        <v>0</v>
      </c>
      <c r="J82" s="14">
        <f>IF(CF_Gen_1[[#This Row],[Contract]]="IC",SUMIFS(Expected_CF[Expected_Acquisition],Expected_CF[ICG],CF_Gen_1[[#This Row],[ICG]],Expected_CF[Incurred],CF_Gen_1[[#This Row],[Incurred]]),0)</f>
        <v>0</v>
      </c>
      <c r="K82" s="14">
        <f>SUMIFS(Earned[Earned_Premium],Earned[ICG],CF_Gen_1[[#This Row],[ICG]],Earned[Incurred],CF_Gen_1[[#This Row],[Incurred]])</f>
        <v>403492467.46834922</v>
      </c>
      <c r="L82" s="14">
        <f>SUMIFS(Earned[Earned_Commission],Earned[ICG],CF_Gen_1[[#This Row],[ICG]],Earned[Incurred],CF_Gen_1[[#This Row],[Incurred]])</f>
        <v>-109245186.21300596</v>
      </c>
      <c r="M82" s="18">
        <f>_xlfn.XLOOKUP(CF_Gen_1[[#This Row],[ICG]],Assumptions[ICG],Assumptions[Loss_Ratio])</f>
        <v>0.4</v>
      </c>
      <c r="N82" s="18">
        <f>_xlfn.XLOOKUP(CF_Gen_1[[#This Row],[ICG]],Assumptions[ICG],Assumptions[Risk_Adjustment_Ratio])</f>
        <v>0.14000000000000001</v>
      </c>
      <c r="O82" s="18">
        <f>_xlfn.XLOOKUP(CF_Gen_1[[#This Row],[ICG]],Assumptions[ICG],Assumptions[PME_Ratio])</f>
        <v>4.4999999999999998E-2</v>
      </c>
      <c r="P82" s="18">
        <f>_xlfn.XLOOKUP(CF_Gen_1[[#This Row],[ICG]],Assumptions[ICG],Assumptions[ULAE_Ratio])</f>
        <v>0.11</v>
      </c>
      <c r="Q82" s="18">
        <f>_xlfn.XLOOKUP(CF_Gen_1[[#This Row],[ICG]],Assumptions[ICG],Assumptions[Cancellation_Ratio])</f>
        <v>7.0000000000000007E-2</v>
      </c>
      <c r="R82" s="18">
        <f>_xlfn.XLOOKUP(CF_Gen_1[[#This Row],[ICG]],Assumptions[ICG],Assumptions[Premium_Refund_Ratio])</f>
        <v>0.5</v>
      </c>
      <c r="S82" s="18">
        <f>IF(CF_Gen_1[[#This Row],[Contract]]="RC",_xlfn.XLOOKUP(CF_Gen_1[[#This Row],[ICG]],Assumptions[ICG],Assumptions[NPR_Ratio]),0)</f>
        <v>0</v>
      </c>
      <c r="T82" s="17">
        <f>T81*(1-CF_Gen_1[[#This Row],[Cancellation_Ratio]])</f>
        <v>3.0104809564588941E-3</v>
      </c>
      <c r="U82" s="19">
        <f>IF(CF_Gen_1[[#This Row],[Incurred]]&lt;=CF_Gen_1[[#This Row],[Valuation]],CF_Gen_1[[#This Row],[Expected_Premium]],-CF_Gen_1[[#This Row],[Probability_of_Inforce]]*CF_Gen_1[[#This Row],[Premium_Refund_Ratio]]*CF_Gen_1[[#This Row],[Cancellation_Ratio]]*SUM(K82:K$105))</f>
        <v>-310200.02054928814</v>
      </c>
      <c r="V8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Row],[Cancellation_Ratio]]*SUM(L82:L$105))</f>
        <v>74570.090531360809</v>
      </c>
      <c r="W82" s="19">
        <f>CF_Gen_1[[#This Row],[Expected_Acquisition]]</f>
        <v>0</v>
      </c>
      <c r="X82" s="19">
        <f>-CF_Gen_1[[#This Row],[Probability_of_Inforce]]*CF_Gen_1[[#This Row],[Earned_Premium]]*(1-CF_Gen_1[[#This Row],[Cancellation_Ratio]])*CF_Gen_1[[#This Row],[PME_Ratio]]+CF_Gen_1[[#This Row],[ULAE_Ratio]]*CF_Gen_1[[#This Row],[Exp_Claim]]</f>
        <v>-100541.24784965097</v>
      </c>
      <c r="Y82" s="19">
        <f>-CF_Gen_1[[#This Row],[Probability_of_Inforce]]*CF_Gen_1[[#This Row],[Earned_Premium]]*(1-CF_Gen_1[[#This Row],[Cancellation_Ratio]])*CF_Gen_1[[#This Row],[Loss_Ratio]]</f>
        <v>-451870.77685236395</v>
      </c>
      <c r="Z82" s="19">
        <f>CF_Gen_1[[#This Row],[Exp_Claim]]*CF_Gen_1[[#This Row],[Risk_Adjustment_Ratio]]</f>
        <v>-63261.90875933096</v>
      </c>
      <c r="AA82" s="19">
        <f>IF(CF_Gen_1[[#This Row],[Contract]]="RC",-CF_Gen_1[[#This Row],[NPR_Ratio]]*CF_Gen_1[[#This Row],[Exp_Claim]],0)</f>
        <v>0</v>
      </c>
      <c r="AB82" s="19">
        <f>SUMIFS(Actual_CF[Actual_Premium],Actual_CF[ICG],CF_Gen_1[[#This Row],[ICG]],Actual_CF[Incurred],CF_Gen_1[[#This Row],[Incurred]])</f>
        <v>0</v>
      </c>
      <c r="AC82" s="19">
        <f>SUMIFS(Actual_CF[Actual_Commission],Actual_CF[ICG],CF_Gen_1[[#This Row],[ICG]],Actual_CF[Incurred],CF_Gen_1[[#This Row],[Incurred]])</f>
        <v>0</v>
      </c>
      <c r="AD82" s="19">
        <f>SUMIFS(Actual_CF[Actual_Acquisition],Actual_CF[ICG],CF_Gen_1[[#This Row],[ICG]],Actual_CF[Incurred],CF_Gen_1[[#This Row],[Incurred]])</f>
        <v>0</v>
      </c>
    </row>
    <row r="83" spans="1:30">
      <c r="A83" t="str">
        <f t="shared" si="4"/>
        <v>#2024#IC-Property</v>
      </c>
      <c r="B83">
        <f>_xlfn.XLOOKUP(CF_Gen_1[[#This Row],[ICG]],ICG[ICG],ICG[Cohort])</f>
        <v>2024</v>
      </c>
      <c r="C83" t="str">
        <f>_xlfn.XLOOKUP(CF_Gen_1[[#This Row],[ICG]],ICG[ICG],ICG[Portfolio])</f>
        <v>IC-Property</v>
      </c>
      <c r="D83" t="str">
        <f>_xlfn.XLOOKUP(CF_Gen_1[[#This Row],[ICG]],ICG[ICG],ICG[Contract])</f>
        <v>IC</v>
      </c>
      <c r="E83" s="2">
        <f t="shared" si="3"/>
        <v>45930</v>
      </c>
      <c r="F83">
        <v>82</v>
      </c>
      <c r="G83" s="2">
        <f>EOMONTH(DATE(YEAR(CF_Gen_1[[#This Row],[Valuation]])-1,12,31),CF_Gen_1[[#This Row],['#Incurred]]*3)</f>
        <v>53143</v>
      </c>
      <c r="H83" s="14">
        <f>SUMIFS(Expected_CF[Expected_Premium],Expected_CF[ICG],CF_Gen_1[[#This Row],[ICG]],Expected_CF[Incurred],CF_Gen_1[[#This Row],[Incurred]])</f>
        <v>0</v>
      </c>
      <c r="I83" s="14">
        <f>SUMIFS(Expected_CF[Expected_Commission],Expected_CF[ICG],CF_Gen_1[[#This Row],[ICG]],Expected_CF[Incurred],CF_Gen_1[[#This Row],[Incurred]])</f>
        <v>0</v>
      </c>
      <c r="J83" s="14">
        <f>IF(CF_Gen_1[[#This Row],[Contract]]="IC",SUMIFS(Expected_CF[Expected_Acquisition],Expected_CF[ICG],CF_Gen_1[[#This Row],[ICG]],Expected_CF[Incurred],CF_Gen_1[[#This Row],[Incurred]]),0)</f>
        <v>0</v>
      </c>
      <c r="K83" s="14">
        <f>SUMIFS(Earned[Earned_Premium],Earned[ICG],CF_Gen_1[[#This Row],[ICG]],Earned[Incurred],CF_Gen_1[[#This Row],[Incurred]])</f>
        <v>373604136.54476786</v>
      </c>
      <c r="L83" s="14">
        <f>SUMIFS(Earned[Earned_Commission],Earned[ICG],CF_Gen_1[[#This Row],[ICG]],Earned[Incurred],CF_Gen_1[[#This Row],[Incurred]])</f>
        <v>-99745604.803179353</v>
      </c>
      <c r="M83" s="18">
        <f>_xlfn.XLOOKUP(CF_Gen_1[[#This Row],[ICG]],Assumptions[ICG],Assumptions[Loss_Ratio])</f>
        <v>0.4</v>
      </c>
      <c r="N83" s="18">
        <f>_xlfn.XLOOKUP(CF_Gen_1[[#This Row],[ICG]],Assumptions[ICG],Assumptions[Risk_Adjustment_Ratio])</f>
        <v>0.14000000000000001</v>
      </c>
      <c r="O83" s="18">
        <f>_xlfn.XLOOKUP(CF_Gen_1[[#This Row],[ICG]],Assumptions[ICG],Assumptions[PME_Ratio])</f>
        <v>4.4999999999999998E-2</v>
      </c>
      <c r="P83" s="18">
        <f>_xlfn.XLOOKUP(CF_Gen_1[[#This Row],[ICG]],Assumptions[ICG],Assumptions[ULAE_Ratio])</f>
        <v>0.11</v>
      </c>
      <c r="Q83" s="18">
        <f>_xlfn.XLOOKUP(CF_Gen_1[[#This Row],[ICG]],Assumptions[ICG],Assumptions[Cancellation_Ratio])</f>
        <v>7.0000000000000007E-2</v>
      </c>
      <c r="R83" s="18">
        <f>_xlfn.XLOOKUP(CF_Gen_1[[#This Row],[ICG]],Assumptions[ICG],Assumptions[Premium_Refund_Ratio])</f>
        <v>0.5</v>
      </c>
      <c r="S83" s="18">
        <f>IF(CF_Gen_1[[#This Row],[Contract]]="RC",_xlfn.XLOOKUP(CF_Gen_1[[#This Row],[ICG]],Assumptions[ICG],Assumptions[NPR_Ratio]),0)</f>
        <v>0</v>
      </c>
      <c r="T83" s="17">
        <f>T82*(1-CF_Gen_1[[#This Row],[Cancellation_Ratio]])</f>
        <v>2.7997472895067714E-3</v>
      </c>
      <c r="U83" s="19">
        <f>IF(CF_Gen_1[[#This Row],[Incurred]]&lt;=CF_Gen_1[[#This Row],[Valuation]],CF_Gen_1[[#This Row],[Expected_Premium]],-CF_Gen_1[[#This Row],[Probability_of_Inforce]]*CF_Gen_1[[#This Row],[Premium_Refund_Ratio]]*CF_Gen_1[[#This Row],[Cancellation_Ratio]]*SUM(K83:K$105))</f>
        <v>-248947.3261362561</v>
      </c>
      <c r="V8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Row],[Cancellation_Ratio]]*SUM(L83:L$105))</f>
        <v>58645.122204462146</v>
      </c>
      <c r="W83" s="19">
        <f>CF_Gen_1[[#This Row],[Expected_Acquisition]]</f>
        <v>0</v>
      </c>
      <c r="X83" s="19">
        <f>-CF_Gen_1[[#This Row],[Probability_of_Inforce]]*CF_Gen_1[[#This Row],[Earned_Premium]]*(1-CF_Gen_1[[#This Row],[Cancellation_Ratio]])*CF_Gen_1[[#This Row],[PME_Ratio]]+CF_Gen_1[[#This Row],[ULAE_Ratio]]*CF_Gen_1[[#This Row],[Exp_Claim]]</f>
        <v>-86577.185648310566</v>
      </c>
      <c r="Y83" s="19">
        <f>-CF_Gen_1[[#This Row],[Probability_of_Inforce]]*CF_Gen_1[[#This Row],[Earned_Premium]]*(1-CF_Gen_1[[#This Row],[Cancellation_Ratio]])*CF_Gen_1[[#This Row],[Loss_Ratio]]</f>
        <v>-389110.94673398009</v>
      </c>
      <c r="Z83" s="19">
        <f>CF_Gen_1[[#This Row],[Exp_Claim]]*CF_Gen_1[[#This Row],[Risk_Adjustment_Ratio]]</f>
        <v>-54475.532542757217</v>
      </c>
      <c r="AA83" s="19">
        <f>IF(CF_Gen_1[[#This Row],[Contract]]="RC",-CF_Gen_1[[#This Row],[NPR_Ratio]]*CF_Gen_1[[#This Row],[Exp_Claim]],0)</f>
        <v>0</v>
      </c>
      <c r="AB83" s="19">
        <f>SUMIFS(Actual_CF[Actual_Premium],Actual_CF[ICG],CF_Gen_1[[#This Row],[ICG]],Actual_CF[Incurred],CF_Gen_1[[#This Row],[Incurred]])</f>
        <v>0</v>
      </c>
      <c r="AC83" s="19">
        <f>SUMIFS(Actual_CF[Actual_Commission],Actual_CF[ICG],CF_Gen_1[[#This Row],[ICG]],Actual_CF[Incurred],CF_Gen_1[[#This Row],[Incurred]])</f>
        <v>0</v>
      </c>
      <c r="AD83" s="19">
        <f>SUMIFS(Actual_CF[Actual_Acquisition],Actual_CF[ICG],CF_Gen_1[[#This Row],[ICG]],Actual_CF[Incurred],CF_Gen_1[[#This Row],[Incurred]])</f>
        <v>0</v>
      </c>
    </row>
    <row r="84" spans="1:30">
      <c r="A84" t="str">
        <f t="shared" si="4"/>
        <v>#2024#IC-Property</v>
      </c>
      <c r="B84">
        <f>_xlfn.XLOOKUP(CF_Gen_1[[#This Row],[ICG]],ICG[ICG],ICG[Cohort])</f>
        <v>2024</v>
      </c>
      <c r="C84" t="str">
        <f>_xlfn.XLOOKUP(CF_Gen_1[[#This Row],[ICG]],ICG[ICG],ICG[Portfolio])</f>
        <v>IC-Property</v>
      </c>
      <c r="D84" t="str">
        <f>_xlfn.XLOOKUP(CF_Gen_1[[#This Row],[ICG]],ICG[ICG],ICG[Contract])</f>
        <v>IC</v>
      </c>
      <c r="E84" s="2">
        <f t="shared" si="3"/>
        <v>45930</v>
      </c>
      <c r="F84">
        <v>83</v>
      </c>
      <c r="G84" s="2">
        <f>EOMONTH(DATE(YEAR(CF_Gen_1[[#This Row],[Valuation]])-1,12,31),CF_Gen_1[[#This Row],['#Incurred]]*3)</f>
        <v>53235</v>
      </c>
      <c r="H84" s="14">
        <f>SUMIFS(Expected_CF[Expected_Premium],Expected_CF[ICG],CF_Gen_1[[#This Row],[ICG]],Expected_CF[Incurred],CF_Gen_1[[#This Row],[Incurred]])</f>
        <v>0</v>
      </c>
      <c r="I84" s="14">
        <f>SUMIFS(Expected_CF[Expected_Commission],Expected_CF[ICG],CF_Gen_1[[#This Row],[ICG]],Expected_CF[Incurred],CF_Gen_1[[#This Row],[Incurred]])</f>
        <v>0</v>
      </c>
      <c r="J84" s="14">
        <f>IF(CF_Gen_1[[#This Row],[Contract]]="IC",SUMIFS(Expected_CF[Expected_Acquisition],Expected_CF[ICG],CF_Gen_1[[#This Row],[ICG]],Expected_CF[Incurred],CF_Gen_1[[#This Row],[Incurred]]),0)</f>
        <v>0</v>
      </c>
      <c r="K84" s="14">
        <f>SUMIFS(Earned[Earned_Premium],Earned[ICG],CF_Gen_1[[#This Row],[ICG]],Earned[Incurred],CF_Gen_1[[#This Row],[Incurred]])</f>
        <v>343715805.62118638</v>
      </c>
      <c r="L84" s="14">
        <f>SUMIFS(Earned[Earned_Commission],Earned[ICG],CF_Gen_1[[#This Row],[ICG]],Earned[Incurred],CF_Gen_1[[#This Row],[Incurred]])</f>
        <v>-90246023.393352747</v>
      </c>
      <c r="M84" s="18">
        <f>_xlfn.XLOOKUP(CF_Gen_1[[#This Row],[ICG]],Assumptions[ICG],Assumptions[Loss_Ratio])</f>
        <v>0.4</v>
      </c>
      <c r="N84" s="18">
        <f>_xlfn.XLOOKUP(CF_Gen_1[[#This Row],[ICG]],Assumptions[ICG],Assumptions[Risk_Adjustment_Ratio])</f>
        <v>0.14000000000000001</v>
      </c>
      <c r="O84" s="18">
        <f>_xlfn.XLOOKUP(CF_Gen_1[[#This Row],[ICG]],Assumptions[ICG],Assumptions[PME_Ratio])</f>
        <v>4.4999999999999998E-2</v>
      </c>
      <c r="P84" s="18">
        <f>_xlfn.XLOOKUP(CF_Gen_1[[#This Row],[ICG]],Assumptions[ICG],Assumptions[ULAE_Ratio])</f>
        <v>0.11</v>
      </c>
      <c r="Q84" s="18">
        <f>_xlfn.XLOOKUP(CF_Gen_1[[#This Row],[ICG]],Assumptions[ICG],Assumptions[Cancellation_Ratio])</f>
        <v>7.0000000000000007E-2</v>
      </c>
      <c r="R84" s="18">
        <f>_xlfn.XLOOKUP(CF_Gen_1[[#This Row],[ICG]],Assumptions[ICG],Assumptions[Premium_Refund_Ratio])</f>
        <v>0.5</v>
      </c>
      <c r="S84" s="18">
        <f>IF(CF_Gen_1[[#This Row],[Contract]]="RC",_xlfn.XLOOKUP(CF_Gen_1[[#This Row],[ICG]],Assumptions[ICG],Assumptions[NPR_Ratio]),0)</f>
        <v>0</v>
      </c>
      <c r="T84" s="17">
        <f>T83*(1-CF_Gen_1[[#This Row],[Cancellation_Ratio]])</f>
        <v>2.6037649792412972E-3</v>
      </c>
      <c r="U84" s="19">
        <f>IF(CF_Gen_1[[#This Row],[Incurred]]&lt;=CF_Gen_1[[#This Row],[Valuation]],CF_Gen_1[[#This Row],[Expected_Premium]],-CF_Gen_1[[#This Row],[Probability_of_Inforce]]*CF_Gen_1[[#This Row],[Premium_Refund_Ratio]]*CF_Gen_1[[#This Row],[Cancellation_Ratio]]*SUM(K84:K$105))</f>
        <v>-197473.80546749491</v>
      </c>
      <c r="V8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Row],[Cancellation_Ratio]]*SUM(L84:L$105))</f>
        <v>45449.969708458164</v>
      </c>
      <c r="W84" s="19">
        <f>CF_Gen_1[[#This Row],[Expected_Acquisition]]</f>
        <v>0</v>
      </c>
      <c r="X84" s="19">
        <f>-CF_Gen_1[[#This Row],[Probability_of_Inforce]]*CF_Gen_1[[#This Row],[Earned_Premium]]*(1-CF_Gen_1[[#This Row],[Cancellation_Ratio]])*CF_Gen_1[[#This Row],[PME_Ratio]]+CF_Gen_1[[#This Row],[ULAE_Ratio]]*CF_Gen_1[[#This Row],[Exp_Claim]]</f>
        <v>-74075.440040694506</v>
      </c>
      <c r="Y84" s="19">
        <f>-CF_Gen_1[[#This Row],[Probability_of_Inforce]]*CF_Gen_1[[#This Row],[Earned_Premium]]*(1-CF_Gen_1[[#This Row],[Cancellation_Ratio]])*CF_Gen_1[[#This Row],[Loss_Ratio]]</f>
        <v>-332923.32602559333</v>
      </c>
      <c r="Z84" s="19">
        <f>CF_Gen_1[[#This Row],[Exp_Claim]]*CF_Gen_1[[#This Row],[Risk_Adjustment_Ratio]]</f>
        <v>-46609.265643583072</v>
      </c>
      <c r="AA84" s="19">
        <f>IF(CF_Gen_1[[#This Row],[Contract]]="RC",-CF_Gen_1[[#This Row],[NPR_Ratio]]*CF_Gen_1[[#This Row],[Exp_Claim]],0)</f>
        <v>0</v>
      </c>
      <c r="AB84" s="19">
        <f>SUMIFS(Actual_CF[Actual_Premium],Actual_CF[ICG],CF_Gen_1[[#This Row],[ICG]],Actual_CF[Incurred],CF_Gen_1[[#This Row],[Incurred]])</f>
        <v>0</v>
      </c>
      <c r="AC84" s="19">
        <f>SUMIFS(Actual_CF[Actual_Commission],Actual_CF[ICG],CF_Gen_1[[#This Row],[ICG]],Actual_CF[Incurred],CF_Gen_1[[#This Row],[Incurred]])</f>
        <v>0</v>
      </c>
      <c r="AD84" s="19">
        <f>SUMIFS(Actual_CF[Actual_Acquisition],Actual_CF[ICG],CF_Gen_1[[#This Row],[ICG]],Actual_CF[Incurred],CF_Gen_1[[#This Row],[Incurred]])</f>
        <v>0</v>
      </c>
    </row>
    <row r="85" spans="1:30">
      <c r="A85" t="str">
        <f t="shared" si="4"/>
        <v>#2024#IC-Property</v>
      </c>
      <c r="B85">
        <f>_xlfn.XLOOKUP(CF_Gen_1[[#This Row],[ICG]],ICG[ICG],ICG[Cohort])</f>
        <v>2024</v>
      </c>
      <c r="C85" t="str">
        <f>_xlfn.XLOOKUP(CF_Gen_1[[#This Row],[ICG]],ICG[ICG],ICG[Portfolio])</f>
        <v>IC-Property</v>
      </c>
      <c r="D85" t="str">
        <f>_xlfn.XLOOKUP(CF_Gen_1[[#This Row],[ICG]],ICG[ICG],ICG[Contract])</f>
        <v>IC</v>
      </c>
      <c r="E85" s="2">
        <f t="shared" si="3"/>
        <v>45930</v>
      </c>
      <c r="F85">
        <v>84</v>
      </c>
      <c r="G85" s="2">
        <f>EOMONTH(DATE(YEAR(CF_Gen_1[[#This Row],[Valuation]])-1,12,31),CF_Gen_1[[#This Row],['#Incurred]]*3)</f>
        <v>53327</v>
      </c>
      <c r="H85" s="14">
        <f>SUMIFS(Expected_CF[Expected_Premium],Expected_CF[ICG],CF_Gen_1[[#This Row],[ICG]],Expected_CF[Incurred],CF_Gen_1[[#This Row],[Incurred]])</f>
        <v>0</v>
      </c>
      <c r="I85" s="14">
        <f>SUMIFS(Expected_CF[Expected_Commission],Expected_CF[ICG],CF_Gen_1[[#This Row],[ICG]],Expected_CF[Incurred],CF_Gen_1[[#This Row],[Incurred]])</f>
        <v>0</v>
      </c>
      <c r="J85" s="14">
        <f>IF(CF_Gen_1[[#This Row],[Contract]]="IC",SUMIFS(Expected_CF[Expected_Acquisition],Expected_CF[ICG],CF_Gen_1[[#This Row],[ICG]],Expected_CF[Incurred],CF_Gen_1[[#This Row],[Incurred]]),0)</f>
        <v>0</v>
      </c>
      <c r="K85" s="14">
        <f>SUMIFS(Earned[Earned_Premium],Earned[ICG],CF_Gen_1[[#This Row],[ICG]],Earned[Incurred],CF_Gen_1[[#This Row],[Incurred]])</f>
        <v>313827474.69760495</v>
      </c>
      <c r="L85" s="14">
        <f>SUMIFS(Earned[Earned_Commission],Earned[ICG],CF_Gen_1[[#This Row],[ICG]],Earned[Incurred],CF_Gen_1[[#This Row],[Incurred]])</f>
        <v>-80746441.98352614</v>
      </c>
      <c r="M85" s="18">
        <f>_xlfn.XLOOKUP(CF_Gen_1[[#This Row],[ICG]],Assumptions[ICG],Assumptions[Loss_Ratio])</f>
        <v>0.4</v>
      </c>
      <c r="N85" s="18">
        <f>_xlfn.XLOOKUP(CF_Gen_1[[#This Row],[ICG]],Assumptions[ICG],Assumptions[Risk_Adjustment_Ratio])</f>
        <v>0.14000000000000001</v>
      </c>
      <c r="O85" s="18">
        <f>_xlfn.XLOOKUP(CF_Gen_1[[#This Row],[ICG]],Assumptions[ICG],Assumptions[PME_Ratio])</f>
        <v>4.4999999999999998E-2</v>
      </c>
      <c r="P85" s="18">
        <f>_xlfn.XLOOKUP(CF_Gen_1[[#This Row],[ICG]],Assumptions[ICG],Assumptions[ULAE_Ratio])</f>
        <v>0.11</v>
      </c>
      <c r="Q85" s="18">
        <f>_xlfn.XLOOKUP(CF_Gen_1[[#This Row],[ICG]],Assumptions[ICG],Assumptions[Cancellation_Ratio])</f>
        <v>7.0000000000000007E-2</v>
      </c>
      <c r="R85" s="18">
        <f>_xlfn.XLOOKUP(CF_Gen_1[[#This Row],[ICG]],Assumptions[ICG],Assumptions[Premium_Refund_Ratio])</f>
        <v>0.5</v>
      </c>
      <c r="S85" s="18">
        <f>IF(CF_Gen_1[[#This Row],[Contract]]="RC",_xlfn.XLOOKUP(CF_Gen_1[[#This Row],[ICG]],Assumptions[ICG],Assumptions[NPR_Ratio]),0)</f>
        <v>0</v>
      </c>
      <c r="T85" s="17">
        <f>T84*(1-CF_Gen_1[[#This Row],[Cancellation_Ratio]])</f>
        <v>2.4215014306944063E-3</v>
      </c>
      <c r="U85" s="19">
        <f>IF(CF_Gen_1[[#This Row],[Incurred]]&lt;=CF_Gen_1[[#This Row],[Valuation]],CF_Gen_1[[#This Row],[Expected_Premium]],-CF_Gen_1[[#This Row],[Probability_of_Inforce]]*CF_Gen_1[[#This Row],[Premium_Refund_Ratio]]*CF_Gen_1[[#This Row],[Cancellation_Ratio]]*SUM(K85:K$105))</f>
        <v>-154519.84805753079</v>
      </c>
      <c r="V8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Row],[Cancellation_Ratio]]*SUM(L85:L$105))</f>
        <v>34619.891212214126</v>
      </c>
      <c r="W85" s="19">
        <f>CF_Gen_1[[#This Row],[Expected_Acquisition]]</f>
        <v>0</v>
      </c>
      <c r="X85" s="19">
        <f>-CF_Gen_1[[#This Row],[Probability_of_Inforce]]*CF_Gen_1[[#This Row],[Earned_Premium]]*(1-CF_Gen_1[[#This Row],[Cancellation_Ratio]])*CF_Gen_1[[#This Row],[PME_Ratio]]+CF_Gen_1[[#This Row],[ULAE_Ratio]]*CF_Gen_1[[#This Row],[Exp_Claim]]</f>
        <v>-62899.710608467984</v>
      </c>
      <c r="Y85" s="19">
        <f>-CF_Gen_1[[#This Row],[Probability_of_Inforce]]*CF_Gen_1[[#This Row],[Earned_Premium]]*(1-CF_Gen_1[[#This Row],[Cancellation_Ratio]])*CF_Gen_1[[#This Row],[Loss_Ratio]]</f>
        <v>-282695.32857738424</v>
      </c>
      <c r="Z85" s="19">
        <f>CF_Gen_1[[#This Row],[Exp_Claim]]*CF_Gen_1[[#This Row],[Risk_Adjustment_Ratio]]</f>
        <v>-39577.346000833793</v>
      </c>
      <c r="AA85" s="19">
        <f>IF(CF_Gen_1[[#This Row],[Contract]]="RC",-CF_Gen_1[[#This Row],[NPR_Ratio]]*CF_Gen_1[[#This Row],[Exp_Claim]],0)</f>
        <v>0</v>
      </c>
      <c r="AB85" s="19">
        <f>SUMIFS(Actual_CF[Actual_Premium],Actual_CF[ICG],CF_Gen_1[[#This Row],[ICG]],Actual_CF[Incurred],CF_Gen_1[[#This Row],[Incurred]])</f>
        <v>0</v>
      </c>
      <c r="AC85" s="19">
        <f>SUMIFS(Actual_CF[Actual_Commission],Actual_CF[ICG],CF_Gen_1[[#This Row],[ICG]],Actual_CF[Incurred],CF_Gen_1[[#This Row],[Incurred]])</f>
        <v>0</v>
      </c>
      <c r="AD85" s="19">
        <f>SUMIFS(Actual_CF[Actual_Acquisition],Actual_CF[ICG],CF_Gen_1[[#This Row],[ICG]],Actual_CF[Incurred],CF_Gen_1[[#This Row],[Incurred]])</f>
        <v>0</v>
      </c>
    </row>
    <row r="86" spans="1:30">
      <c r="A86" t="str">
        <f t="shared" si="4"/>
        <v>#2024#IC-Property</v>
      </c>
      <c r="B86">
        <f>_xlfn.XLOOKUP(CF_Gen_1[[#This Row],[ICG]],ICG[ICG],ICG[Cohort])</f>
        <v>2024</v>
      </c>
      <c r="C86" t="str">
        <f>_xlfn.XLOOKUP(CF_Gen_1[[#This Row],[ICG]],ICG[ICG],ICG[Portfolio])</f>
        <v>IC-Property</v>
      </c>
      <c r="D86" t="str">
        <f>_xlfn.XLOOKUP(CF_Gen_1[[#This Row],[ICG]],ICG[ICG],ICG[Contract])</f>
        <v>IC</v>
      </c>
      <c r="E86" s="2">
        <f t="shared" si="3"/>
        <v>45930</v>
      </c>
      <c r="F86">
        <v>85</v>
      </c>
      <c r="G86" s="2">
        <f>EOMONTH(DATE(YEAR(CF_Gen_1[[#This Row],[Valuation]])-1,12,31),CF_Gen_1[[#This Row],['#Incurred]]*3)</f>
        <v>53417</v>
      </c>
      <c r="H86" s="14">
        <f>SUMIFS(Expected_CF[Expected_Premium],Expected_CF[ICG],CF_Gen_1[[#This Row],[ICG]],Expected_CF[Incurred],CF_Gen_1[[#This Row],[Incurred]])</f>
        <v>0</v>
      </c>
      <c r="I86" s="14">
        <f>SUMIFS(Expected_CF[Expected_Commission],Expected_CF[ICG],CF_Gen_1[[#This Row],[ICG]],Expected_CF[Incurred],CF_Gen_1[[#This Row],[Incurred]])</f>
        <v>0</v>
      </c>
      <c r="J86" s="14">
        <f>IF(CF_Gen_1[[#This Row],[Contract]]="IC",SUMIFS(Expected_CF[Expected_Acquisition],Expected_CF[ICG],CF_Gen_1[[#This Row],[ICG]],Expected_CF[Incurred],CF_Gen_1[[#This Row],[Incurred]]),0)</f>
        <v>0</v>
      </c>
      <c r="K86" s="14">
        <f>SUMIFS(Earned[Earned_Premium],Earned[ICG],CF_Gen_1[[#This Row],[ICG]],Earned[Incurred],CF_Gen_1[[#This Row],[Incurred]])</f>
        <v>283939143.77402347</v>
      </c>
      <c r="L86" s="14">
        <f>SUMIFS(Earned[Earned_Commission],Earned[ICG],CF_Gen_1[[#This Row],[ICG]],Earned[Incurred],CF_Gen_1[[#This Row],[Incurred]])</f>
        <v>-71246860.573699534</v>
      </c>
      <c r="M86" s="18">
        <f>_xlfn.XLOOKUP(CF_Gen_1[[#This Row],[ICG]],Assumptions[ICG],Assumptions[Loss_Ratio])</f>
        <v>0.4</v>
      </c>
      <c r="N86" s="18">
        <f>_xlfn.XLOOKUP(CF_Gen_1[[#This Row],[ICG]],Assumptions[ICG],Assumptions[Risk_Adjustment_Ratio])</f>
        <v>0.14000000000000001</v>
      </c>
      <c r="O86" s="18">
        <f>_xlfn.XLOOKUP(CF_Gen_1[[#This Row],[ICG]],Assumptions[ICG],Assumptions[PME_Ratio])</f>
        <v>4.4999999999999998E-2</v>
      </c>
      <c r="P86" s="18">
        <f>_xlfn.XLOOKUP(CF_Gen_1[[#This Row],[ICG]],Assumptions[ICG],Assumptions[ULAE_Ratio])</f>
        <v>0.11</v>
      </c>
      <c r="Q86" s="18">
        <f>_xlfn.XLOOKUP(CF_Gen_1[[#This Row],[ICG]],Assumptions[ICG],Assumptions[Cancellation_Ratio])</f>
        <v>7.0000000000000007E-2</v>
      </c>
      <c r="R86" s="18">
        <f>_xlfn.XLOOKUP(CF_Gen_1[[#This Row],[ICG]],Assumptions[ICG],Assumptions[Premium_Refund_Ratio])</f>
        <v>0.5</v>
      </c>
      <c r="S86" s="18">
        <f>IF(CF_Gen_1[[#This Row],[Contract]]="RC",_xlfn.XLOOKUP(CF_Gen_1[[#This Row],[ICG]],Assumptions[ICG],Assumptions[NPR_Ratio]),0)</f>
        <v>0</v>
      </c>
      <c r="T86" s="17">
        <f>T85*(1-CF_Gen_1[[#This Row],[Cancellation_Ratio]])</f>
        <v>2.2519963305457978E-3</v>
      </c>
      <c r="U86" s="19">
        <f>IF(CF_Gen_1[[#This Row],[Incurred]]&lt;=CF_Gen_1[[#This Row],[Valuation]],CF_Gen_1[[#This Row],[Expected_Premium]],-CF_Gen_1[[#This Row],[Probability_of_Inforce]]*CF_Gen_1[[#This Row],[Premium_Refund_Ratio]]*CF_Gen_1[[#This Row],[Cancellation_Ratio]]*SUM(K86:K$105))</f>
        <v>-118967.61744298253</v>
      </c>
      <c r="V8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Row],[Cancellation_Ratio]]*SUM(L86:L$105))</f>
        <v>25832.074640555587</v>
      </c>
      <c r="W86" s="19">
        <f>CF_Gen_1[[#This Row],[Expected_Acquisition]]</f>
        <v>0</v>
      </c>
      <c r="X86" s="19">
        <f>-CF_Gen_1[[#This Row],[Probability_of_Inforce]]*CF_Gen_1[[#This Row],[Earned_Premium]]*(1-CF_Gen_1[[#This Row],[Cancellation_Ratio]])*CF_Gen_1[[#This Row],[PME_Ratio]]+CF_Gen_1[[#This Row],[ULAE_Ratio]]*CF_Gen_1[[#This Row],[Exp_Claim]]</f>
        <v>-52925.613640553762</v>
      </c>
      <c r="Y86" s="19">
        <f>-CF_Gen_1[[#This Row],[Probability_of_Inforce]]*CF_Gen_1[[#This Row],[Earned_Premium]]*(1-CF_Gen_1[[#This Row],[Cancellation_Ratio]])*CF_Gen_1[[#This Row],[Loss_Ratio]]</f>
        <v>-237867.92647439893</v>
      </c>
      <c r="Z86" s="19">
        <f>CF_Gen_1[[#This Row],[Exp_Claim]]*CF_Gen_1[[#This Row],[Risk_Adjustment_Ratio]]</f>
        <v>-33301.509706415854</v>
      </c>
      <c r="AA86" s="19">
        <f>IF(CF_Gen_1[[#This Row],[Contract]]="RC",-CF_Gen_1[[#This Row],[NPR_Ratio]]*CF_Gen_1[[#This Row],[Exp_Claim]],0)</f>
        <v>0</v>
      </c>
      <c r="AB86" s="19">
        <f>SUMIFS(Actual_CF[Actual_Premium],Actual_CF[ICG],CF_Gen_1[[#This Row],[ICG]],Actual_CF[Incurred],CF_Gen_1[[#This Row],[Incurred]])</f>
        <v>0</v>
      </c>
      <c r="AC86" s="19">
        <f>SUMIFS(Actual_CF[Actual_Commission],Actual_CF[ICG],CF_Gen_1[[#This Row],[ICG]],Actual_CF[Incurred],CF_Gen_1[[#This Row],[Incurred]])</f>
        <v>0</v>
      </c>
      <c r="AD86" s="19">
        <f>SUMIFS(Actual_CF[Actual_Acquisition],Actual_CF[ICG],CF_Gen_1[[#This Row],[ICG]],Actual_CF[Incurred],CF_Gen_1[[#This Row],[Incurred]])</f>
        <v>0</v>
      </c>
    </row>
    <row r="87" spans="1:30">
      <c r="A87" t="str">
        <f t="shared" si="4"/>
        <v>#2024#IC-Property</v>
      </c>
      <c r="B87">
        <f>_xlfn.XLOOKUP(CF_Gen_1[[#This Row],[ICG]],ICG[ICG],ICG[Cohort])</f>
        <v>2024</v>
      </c>
      <c r="C87" t="str">
        <f>_xlfn.XLOOKUP(CF_Gen_1[[#This Row],[ICG]],ICG[ICG],ICG[Portfolio])</f>
        <v>IC-Property</v>
      </c>
      <c r="D87" t="str">
        <f>_xlfn.XLOOKUP(CF_Gen_1[[#This Row],[ICG]],ICG[ICG],ICG[Contract])</f>
        <v>IC</v>
      </c>
      <c r="E87" s="2">
        <f t="shared" si="3"/>
        <v>45930</v>
      </c>
      <c r="F87">
        <v>86</v>
      </c>
      <c r="G87" s="2">
        <f>EOMONTH(DATE(YEAR(CF_Gen_1[[#This Row],[Valuation]])-1,12,31),CF_Gen_1[[#This Row],['#Incurred]]*3)</f>
        <v>53508</v>
      </c>
      <c r="H87" s="14">
        <f>SUMIFS(Expected_CF[Expected_Premium],Expected_CF[ICG],CF_Gen_1[[#This Row],[ICG]],Expected_CF[Incurred],CF_Gen_1[[#This Row],[Incurred]])</f>
        <v>0</v>
      </c>
      <c r="I87" s="14">
        <f>SUMIFS(Expected_CF[Expected_Commission],Expected_CF[ICG],CF_Gen_1[[#This Row],[ICG]],Expected_CF[Incurred],CF_Gen_1[[#This Row],[Incurred]])</f>
        <v>0</v>
      </c>
      <c r="J87" s="14">
        <f>IF(CF_Gen_1[[#This Row],[Contract]]="IC",SUMIFS(Expected_CF[Expected_Acquisition],Expected_CF[ICG],CF_Gen_1[[#This Row],[ICG]],Expected_CF[Incurred],CF_Gen_1[[#This Row],[Incurred]]),0)</f>
        <v>0</v>
      </c>
      <c r="K87" s="14">
        <f>SUMIFS(Earned[Earned_Premium],Earned[ICG],CF_Gen_1[[#This Row],[ICG]],Earned[Incurred],CF_Gen_1[[#This Row],[Incurred]])</f>
        <v>254050812.85044208</v>
      </c>
      <c r="L87" s="14">
        <f>SUMIFS(Earned[Earned_Commission],Earned[ICG],CF_Gen_1[[#This Row],[ICG]],Earned[Incurred],CF_Gen_1[[#This Row],[Incurred]])</f>
        <v>-61747279.163872935</v>
      </c>
      <c r="M87" s="18">
        <f>_xlfn.XLOOKUP(CF_Gen_1[[#This Row],[ICG]],Assumptions[ICG],Assumptions[Loss_Ratio])</f>
        <v>0.4</v>
      </c>
      <c r="N87" s="18">
        <f>_xlfn.XLOOKUP(CF_Gen_1[[#This Row],[ICG]],Assumptions[ICG],Assumptions[Risk_Adjustment_Ratio])</f>
        <v>0.14000000000000001</v>
      </c>
      <c r="O87" s="18">
        <f>_xlfn.XLOOKUP(CF_Gen_1[[#This Row],[ICG]],Assumptions[ICG],Assumptions[PME_Ratio])</f>
        <v>4.4999999999999998E-2</v>
      </c>
      <c r="P87" s="18">
        <f>_xlfn.XLOOKUP(CF_Gen_1[[#This Row],[ICG]],Assumptions[ICG],Assumptions[ULAE_Ratio])</f>
        <v>0.11</v>
      </c>
      <c r="Q87" s="18">
        <f>_xlfn.XLOOKUP(CF_Gen_1[[#This Row],[ICG]],Assumptions[ICG],Assumptions[Cancellation_Ratio])</f>
        <v>7.0000000000000007E-2</v>
      </c>
      <c r="R87" s="18">
        <f>_xlfn.XLOOKUP(CF_Gen_1[[#This Row],[ICG]],Assumptions[ICG],Assumptions[Premium_Refund_Ratio])</f>
        <v>0.5</v>
      </c>
      <c r="S87" s="18">
        <f>IF(CF_Gen_1[[#This Row],[Contract]]="RC",_xlfn.XLOOKUP(CF_Gen_1[[#This Row],[ICG]],Assumptions[ICG],Assumptions[NPR_Ratio]),0)</f>
        <v>0</v>
      </c>
      <c r="T87" s="17">
        <f>T86*(1-CF_Gen_1[[#This Row],[Cancellation_Ratio]])</f>
        <v>2.0943565874075917E-3</v>
      </c>
      <c r="U87" s="19">
        <f>IF(CF_Gen_1[[#This Row],[Incurred]]&lt;=CF_Gen_1[[#This Row],[Valuation]],CF_Gen_1[[#This Row],[Expected_Premium]],-CF_Gen_1[[#This Row],[Probability_of_Inforce]]*CF_Gen_1[[#This Row],[Premium_Refund_Ratio]]*CF_Gen_1[[#This Row],[Cancellation_Ratio]]*SUM(K87:K$105))</f>
        <v>-89826.440655463826</v>
      </c>
      <c r="V8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Row],[Cancellation_Ratio]]*SUM(L87:L$105))</f>
        <v>18801.257803604371</v>
      </c>
      <c r="W87" s="19">
        <f>CF_Gen_1[[#This Row],[Expected_Acquisition]]</f>
        <v>0</v>
      </c>
      <c r="X87" s="19">
        <f>-CF_Gen_1[[#This Row],[Probability_of_Inforce]]*CF_Gen_1[[#This Row],[Earned_Premium]]*(1-CF_Gen_1[[#This Row],[Cancellation_Ratio]])*CF_Gen_1[[#This Row],[PME_Ratio]]+CF_Gen_1[[#This Row],[ULAE_Ratio]]*CF_Gen_1[[#This Row],[Exp_Claim]]</f>
        <v>-44039.681666166056</v>
      </c>
      <c r="Y87" s="19">
        <f>-CF_Gen_1[[#This Row],[Probability_of_Inforce]]*CF_Gen_1[[#This Row],[Earned_Premium]]*(1-CF_Gen_1[[#This Row],[Cancellation_Ratio]])*CF_Gen_1[[#This Row],[Loss_Ratio]]</f>
        <v>-197931.15355580251</v>
      </c>
      <c r="Z87" s="19">
        <f>CF_Gen_1[[#This Row],[Exp_Claim]]*CF_Gen_1[[#This Row],[Risk_Adjustment_Ratio]]</f>
        <v>-27710.361497812355</v>
      </c>
      <c r="AA87" s="19">
        <f>IF(CF_Gen_1[[#This Row],[Contract]]="RC",-CF_Gen_1[[#This Row],[NPR_Ratio]]*CF_Gen_1[[#This Row],[Exp_Claim]],0)</f>
        <v>0</v>
      </c>
      <c r="AB87" s="19">
        <f>SUMIFS(Actual_CF[Actual_Premium],Actual_CF[ICG],CF_Gen_1[[#This Row],[ICG]],Actual_CF[Incurred],CF_Gen_1[[#This Row],[Incurred]])</f>
        <v>0</v>
      </c>
      <c r="AC87" s="19">
        <f>SUMIFS(Actual_CF[Actual_Commission],Actual_CF[ICG],CF_Gen_1[[#This Row],[ICG]],Actual_CF[Incurred],CF_Gen_1[[#This Row],[Incurred]])</f>
        <v>0</v>
      </c>
      <c r="AD87" s="19">
        <f>SUMIFS(Actual_CF[Actual_Acquisition],Actual_CF[ICG],CF_Gen_1[[#This Row],[ICG]],Actual_CF[Incurred],CF_Gen_1[[#This Row],[Incurred]])</f>
        <v>0</v>
      </c>
    </row>
    <row r="88" spans="1:30">
      <c r="A88" t="str">
        <f t="shared" si="4"/>
        <v>#2024#IC-Property</v>
      </c>
      <c r="B88">
        <f>_xlfn.XLOOKUP(CF_Gen_1[[#This Row],[ICG]],ICG[ICG],ICG[Cohort])</f>
        <v>2024</v>
      </c>
      <c r="C88" t="str">
        <f>_xlfn.XLOOKUP(CF_Gen_1[[#This Row],[ICG]],ICG[ICG],ICG[Portfolio])</f>
        <v>IC-Property</v>
      </c>
      <c r="D88" t="str">
        <f>_xlfn.XLOOKUP(CF_Gen_1[[#This Row],[ICG]],ICG[ICG],ICG[Contract])</f>
        <v>IC</v>
      </c>
      <c r="E88" s="2">
        <f t="shared" si="3"/>
        <v>45930</v>
      </c>
      <c r="F88">
        <v>87</v>
      </c>
      <c r="G88" s="2">
        <f>EOMONTH(DATE(YEAR(CF_Gen_1[[#This Row],[Valuation]])-1,12,31),CF_Gen_1[[#This Row],['#Incurred]]*3)</f>
        <v>53600</v>
      </c>
      <c r="H88" s="14">
        <f>SUMIFS(Expected_CF[Expected_Premium],Expected_CF[ICG],CF_Gen_1[[#This Row],[ICG]],Expected_CF[Incurred],CF_Gen_1[[#This Row],[Incurred]])</f>
        <v>0</v>
      </c>
      <c r="I88" s="14">
        <f>SUMIFS(Expected_CF[Expected_Commission],Expected_CF[ICG],CF_Gen_1[[#This Row],[ICG]],Expected_CF[Incurred],CF_Gen_1[[#This Row],[Incurred]])</f>
        <v>0</v>
      </c>
      <c r="J88" s="14">
        <f>IF(CF_Gen_1[[#This Row],[Contract]]="IC",SUMIFS(Expected_CF[Expected_Acquisition],Expected_CF[ICG],CF_Gen_1[[#This Row],[ICG]],Expected_CF[Incurred],CF_Gen_1[[#This Row],[Incurred]]),0)</f>
        <v>0</v>
      </c>
      <c r="K88" s="14">
        <f>SUMIFS(Earned[Earned_Premium],Earned[ICG],CF_Gen_1[[#This Row],[ICG]],Earned[Incurred],CF_Gen_1[[#This Row],[Incurred]])</f>
        <v>224162481.92686063</v>
      </c>
      <c r="L88" s="14">
        <f>SUMIFS(Earned[Earned_Commission],Earned[ICG],CF_Gen_1[[#This Row],[ICG]],Earned[Incurred],CF_Gen_1[[#This Row],[Incurred]])</f>
        <v>-52247697.754046328</v>
      </c>
      <c r="M88" s="18">
        <f>_xlfn.XLOOKUP(CF_Gen_1[[#This Row],[ICG]],Assumptions[ICG],Assumptions[Loss_Ratio])</f>
        <v>0.4</v>
      </c>
      <c r="N88" s="18">
        <f>_xlfn.XLOOKUP(CF_Gen_1[[#This Row],[ICG]],Assumptions[ICG],Assumptions[Risk_Adjustment_Ratio])</f>
        <v>0.14000000000000001</v>
      </c>
      <c r="O88" s="18">
        <f>_xlfn.XLOOKUP(CF_Gen_1[[#This Row],[ICG]],Assumptions[ICG],Assumptions[PME_Ratio])</f>
        <v>4.4999999999999998E-2</v>
      </c>
      <c r="P88" s="18">
        <f>_xlfn.XLOOKUP(CF_Gen_1[[#This Row],[ICG]],Assumptions[ICG],Assumptions[ULAE_Ratio])</f>
        <v>0.11</v>
      </c>
      <c r="Q88" s="18">
        <f>_xlfn.XLOOKUP(CF_Gen_1[[#This Row],[ICG]],Assumptions[ICG],Assumptions[Cancellation_Ratio])</f>
        <v>7.0000000000000007E-2</v>
      </c>
      <c r="R88" s="18">
        <f>_xlfn.XLOOKUP(CF_Gen_1[[#This Row],[ICG]],Assumptions[ICG],Assumptions[Premium_Refund_Ratio])</f>
        <v>0.5</v>
      </c>
      <c r="S88" s="18">
        <f>IF(CF_Gen_1[[#This Row],[Contract]]="RC",_xlfn.XLOOKUP(CF_Gen_1[[#This Row],[ICG]],Assumptions[ICG],Assumptions[NPR_Ratio]),0)</f>
        <v>0</v>
      </c>
      <c r="T88" s="17">
        <f>T87*(1-CF_Gen_1[[#This Row],[Cancellation_Ratio]])</f>
        <v>1.9477516262890601E-3</v>
      </c>
      <c r="U88" s="19">
        <f>IF(CF_Gen_1[[#This Row],[Incurred]]&lt;=CF_Gen_1[[#This Row],[Valuation]],CF_Gen_1[[#This Row],[Expected_Premium]],-CF_Gen_1[[#This Row],[Probability_of_Inforce]]*CF_Gen_1[[#This Row],[Premium_Refund_Ratio]]*CF_Gen_1[[#This Row],[Cancellation_Ratio]]*SUM(K88:K$105))</f>
        <v>-66219.613873448645</v>
      </c>
      <c r="V8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Row],[Cancellation_Ratio]]*SUM(L88:L$105))</f>
        <v>13275.777037989526</v>
      </c>
      <c r="W88" s="19">
        <f>CF_Gen_1[[#This Row],[Expected_Acquisition]]</f>
        <v>0</v>
      </c>
      <c r="X88" s="19">
        <f>-CF_Gen_1[[#This Row],[Probability_of_Inforce]]*CF_Gen_1[[#This Row],[Earned_Premium]]*(1-CF_Gen_1[[#This Row],[Cancellation_Ratio]])*CF_Gen_1[[#This Row],[PME_Ratio]]+CF_Gen_1[[#This Row],[ULAE_Ratio]]*CF_Gen_1[[#This Row],[Exp_Claim]]</f>
        <v>-36138.444661353904</v>
      </c>
      <c r="Y88" s="19">
        <f>-CF_Gen_1[[#This Row],[Probability_of_Inforce]]*CF_Gen_1[[#This Row],[Earned_Premium]]*(1-CF_Gen_1[[#This Row],[Cancellation_Ratio]])*CF_Gen_1[[#This Row],[Loss_Ratio]]</f>
        <v>-162419.97600608497</v>
      </c>
      <c r="Z88" s="19">
        <f>CF_Gen_1[[#This Row],[Exp_Claim]]*CF_Gen_1[[#This Row],[Risk_Adjustment_Ratio]]</f>
        <v>-22738.796640851899</v>
      </c>
      <c r="AA88" s="19">
        <f>IF(CF_Gen_1[[#This Row],[Contract]]="RC",-CF_Gen_1[[#This Row],[NPR_Ratio]]*CF_Gen_1[[#This Row],[Exp_Claim]],0)</f>
        <v>0</v>
      </c>
      <c r="AB88" s="19">
        <f>SUMIFS(Actual_CF[Actual_Premium],Actual_CF[ICG],CF_Gen_1[[#This Row],[ICG]],Actual_CF[Incurred],CF_Gen_1[[#This Row],[Incurred]])</f>
        <v>0</v>
      </c>
      <c r="AC88" s="19">
        <f>SUMIFS(Actual_CF[Actual_Commission],Actual_CF[ICG],CF_Gen_1[[#This Row],[ICG]],Actual_CF[Incurred],CF_Gen_1[[#This Row],[Incurred]])</f>
        <v>0</v>
      </c>
      <c r="AD88" s="19">
        <f>SUMIFS(Actual_CF[Actual_Acquisition],Actual_CF[ICG],CF_Gen_1[[#This Row],[ICG]],Actual_CF[Incurred],CF_Gen_1[[#This Row],[Incurred]])</f>
        <v>0</v>
      </c>
    </row>
    <row r="89" spans="1:30">
      <c r="A89" t="str">
        <f t="shared" si="4"/>
        <v>#2024#IC-Property</v>
      </c>
      <c r="B89">
        <f>_xlfn.XLOOKUP(CF_Gen_1[[#This Row],[ICG]],ICG[ICG],ICG[Cohort])</f>
        <v>2024</v>
      </c>
      <c r="C89" t="str">
        <f>_xlfn.XLOOKUP(CF_Gen_1[[#This Row],[ICG]],ICG[ICG],ICG[Portfolio])</f>
        <v>IC-Property</v>
      </c>
      <c r="D89" t="str">
        <f>_xlfn.XLOOKUP(CF_Gen_1[[#This Row],[ICG]],ICG[ICG],ICG[Contract])</f>
        <v>IC</v>
      </c>
      <c r="E89" s="2">
        <f t="shared" si="3"/>
        <v>45930</v>
      </c>
      <c r="F89">
        <v>88</v>
      </c>
      <c r="G89" s="2">
        <f>EOMONTH(DATE(YEAR(CF_Gen_1[[#This Row],[Valuation]])-1,12,31),CF_Gen_1[[#This Row],['#Incurred]]*3)</f>
        <v>53692</v>
      </c>
      <c r="H89" s="14">
        <f>SUMIFS(Expected_CF[Expected_Premium],Expected_CF[ICG],CF_Gen_1[[#This Row],[ICG]],Expected_CF[Incurred],CF_Gen_1[[#This Row],[Incurred]])</f>
        <v>0</v>
      </c>
      <c r="I89" s="14">
        <f>SUMIFS(Expected_CF[Expected_Commission],Expected_CF[ICG],CF_Gen_1[[#This Row],[ICG]],Expected_CF[Incurred],CF_Gen_1[[#This Row],[Incurred]])</f>
        <v>0</v>
      </c>
      <c r="J89" s="14">
        <f>IF(CF_Gen_1[[#This Row],[Contract]]="IC",SUMIFS(Expected_CF[Expected_Acquisition],Expected_CF[ICG],CF_Gen_1[[#This Row],[ICG]],Expected_CF[Incurred],CF_Gen_1[[#This Row],[Incurred]]),0)</f>
        <v>0</v>
      </c>
      <c r="K89" s="14">
        <f>SUMIFS(Earned[Earned_Premium],Earned[ICG],CF_Gen_1[[#This Row],[ICG]],Earned[Incurred],CF_Gen_1[[#This Row],[Incurred]])</f>
        <v>194274151.00327924</v>
      </c>
      <c r="L89" s="14">
        <f>SUMIFS(Earned[Earned_Commission],Earned[ICG],CF_Gen_1[[#This Row],[ICG]],Earned[Incurred],CF_Gen_1[[#This Row],[Incurred]])</f>
        <v>-42748116.344219714</v>
      </c>
      <c r="M89" s="18">
        <f>_xlfn.XLOOKUP(CF_Gen_1[[#This Row],[ICG]],Assumptions[ICG],Assumptions[Loss_Ratio])</f>
        <v>0.4</v>
      </c>
      <c r="N89" s="18">
        <f>_xlfn.XLOOKUP(CF_Gen_1[[#This Row],[ICG]],Assumptions[ICG],Assumptions[Risk_Adjustment_Ratio])</f>
        <v>0.14000000000000001</v>
      </c>
      <c r="O89" s="18">
        <f>_xlfn.XLOOKUP(CF_Gen_1[[#This Row],[ICG]],Assumptions[ICG],Assumptions[PME_Ratio])</f>
        <v>4.4999999999999998E-2</v>
      </c>
      <c r="P89" s="18">
        <f>_xlfn.XLOOKUP(CF_Gen_1[[#This Row],[ICG]],Assumptions[ICG],Assumptions[ULAE_Ratio])</f>
        <v>0.11</v>
      </c>
      <c r="Q89" s="18">
        <f>_xlfn.XLOOKUP(CF_Gen_1[[#This Row],[ICG]],Assumptions[ICG],Assumptions[Cancellation_Ratio])</f>
        <v>7.0000000000000007E-2</v>
      </c>
      <c r="R89" s="18">
        <f>_xlfn.XLOOKUP(CF_Gen_1[[#This Row],[ICG]],Assumptions[ICG],Assumptions[Premium_Refund_Ratio])</f>
        <v>0.5</v>
      </c>
      <c r="S89" s="18">
        <f>IF(CF_Gen_1[[#This Row],[Contract]]="RC",_xlfn.XLOOKUP(CF_Gen_1[[#This Row],[ICG]],Assumptions[ICG],Assumptions[NPR_Ratio]),0)</f>
        <v>0</v>
      </c>
      <c r="T89" s="17">
        <f>T88*(1-CF_Gen_1[[#This Row],[Cancellation_Ratio]])</f>
        <v>1.8114090124488258E-3</v>
      </c>
      <c r="U89" s="19">
        <f>IF(CF_Gen_1[[#This Row],[Incurred]]&lt;=CF_Gen_1[[#This Row],[Valuation]],CF_Gen_1[[#This Row],[Expected_Premium]],-CF_Gen_1[[#This Row],[Probability_of_Inforce]]*CF_Gen_1[[#This Row],[Premium_Refund_Ratio]]*CF_Gen_1[[#This Row],[Cancellation_Ratio]]*SUM(K89:K$105))</f>
        <v>-47372.49300177479</v>
      </c>
      <c r="V8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Row],[Cancellation_Ratio]]*SUM(L89:L$105))</f>
        <v>9034.004374631897</v>
      </c>
      <c r="W89" s="19">
        <f>CF_Gen_1[[#This Row],[Expected_Acquisition]]</f>
        <v>0</v>
      </c>
      <c r="X89" s="19">
        <f>-CF_Gen_1[[#This Row],[Probability_of_Inforce]]*CF_Gen_1[[#This Row],[Earned_Premium]]*(1-CF_Gen_1[[#This Row],[Cancellation_Ratio]])*CF_Gen_1[[#This Row],[PME_Ratio]]+CF_Gen_1[[#This Row],[ULAE_Ratio]]*CF_Gen_1[[#This Row],[Exp_Claim]]</f>
        <v>-29127.586397051251</v>
      </c>
      <c r="Y89" s="19">
        <f>-CF_Gen_1[[#This Row],[Probability_of_Inforce]]*CF_Gen_1[[#This Row],[Earned_Premium]]*(1-CF_Gen_1[[#This Row],[Cancellation_Ratio]])*CF_Gen_1[[#This Row],[Loss_Ratio]]</f>
        <v>-130910.50066090451</v>
      </c>
      <c r="Z89" s="19">
        <f>CF_Gen_1[[#This Row],[Exp_Claim]]*CF_Gen_1[[#This Row],[Risk_Adjustment_Ratio]]</f>
        <v>-18327.470092526633</v>
      </c>
      <c r="AA89" s="19">
        <f>IF(CF_Gen_1[[#This Row],[Contract]]="RC",-CF_Gen_1[[#This Row],[NPR_Ratio]]*CF_Gen_1[[#This Row],[Exp_Claim]],0)</f>
        <v>0</v>
      </c>
      <c r="AB89" s="19">
        <f>SUMIFS(Actual_CF[Actual_Premium],Actual_CF[ICG],CF_Gen_1[[#This Row],[ICG]],Actual_CF[Incurred],CF_Gen_1[[#This Row],[Incurred]])</f>
        <v>0</v>
      </c>
      <c r="AC89" s="19">
        <f>SUMIFS(Actual_CF[Actual_Commission],Actual_CF[ICG],CF_Gen_1[[#This Row],[ICG]],Actual_CF[Incurred],CF_Gen_1[[#This Row],[Incurred]])</f>
        <v>0</v>
      </c>
      <c r="AD89" s="19">
        <f>SUMIFS(Actual_CF[Actual_Acquisition],Actual_CF[ICG],CF_Gen_1[[#This Row],[ICG]],Actual_CF[Incurred],CF_Gen_1[[#This Row],[Incurred]])</f>
        <v>0</v>
      </c>
    </row>
    <row r="90" spans="1:30">
      <c r="A90" t="str">
        <f t="shared" si="4"/>
        <v>#2024#IC-Property</v>
      </c>
      <c r="B90">
        <f>_xlfn.XLOOKUP(CF_Gen_1[[#This Row],[ICG]],ICG[ICG],ICG[Cohort])</f>
        <v>2024</v>
      </c>
      <c r="C90" t="str">
        <f>_xlfn.XLOOKUP(CF_Gen_1[[#This Row],[ICG]],ICG[ICG],ICG[Portfolio])</f>
        <v>IC-Property</v>
      </c>
      <c r="D90" t="str">
        <f>_xlfn.XLOOKUP(CF_Gen_1[[#This Row],[ICG]],ICG[ICG],ICG[Contract])</f>
        <v>IC</v>
      </c>
      <c r="E90" s="2">
        <f t="shared" si="3"/>
        <v>45930</v>
      </c>
      <c r="F90">
        <v>89</v>
      </c>
      <c r="G90" s="2">
        <f>EOMONTH(DATE(YEAR(CF_Gen_1[[#This Row],[Valuation]])-1,12,31),CF_Gen_1[[#This Row],['#Incurred]]*3)</f>
        <v>53782</v>
      </c>
      <c r="H90" s="14">
        <f>SUMIFS(Expected_CF[Expected_Premium],Expected_CF[ICG],CF_Gen_1[[#This Row],[ICG]],Expected_CF[Incurred],CF_Gen_1[[#This Row],[Incurred]])</f>
        <v>0</v>
      </c>
      <c r="I90" s="14">
        <f>SUMIFS(Expected_CF[Expected_Commission],Expected_CF[ICG],CF_Gen_1[[#This Row],[ICG]],Expected_CF[Incurred],CF_Gen_1[[#This Row],[Incurred]])</f>
        <v>0</v>
      </c>
      <c r="J90" s="14">
        <f>IF(CF_Gen_1[[#This Row],[Contract]]="IC",SUMIFS(Expected_CF[Expected_Acquisition],Expected_CF[ICG],CF_Gen_1[[#This Row],[ICG]],Expected_CF[Incurred],CF_Gen_1[[#This Row],[Incurred]]),0)</f>
        <v>0</v>
      </c>
      <c r="K90" s="14">
        <f>SUMIFS(Earned[Earned_Premium],Earned[ICG],CF_Gen_1[[#This Row],[ICG]],Earned[Incurred],CF_Gen_1[[#This Row],[Incurred]])</f>
        <v>164385820.07969782</v>
      </c>
      <c r="L90" s="14">
        <f>SUMIFS(Earned[Earned_Commission],Earned[ICG],CF_Gen_1[[#This Row],[ICG]],Earned[Incurred],CF_Gen_1[[#This Row],[Incurred]])</f>
        <v>-33248534.934393115</v>
      </c>
      <c r="M90" s="18">
        <f>_xlfn.XLOOKUP(CF_Gen_1[[#This Row],[ICG]],Assumptions[ICG],Assumptions[Loss_Ratio])</f>
        <v>0.4</v>
      </c>
      <c r="N90" s="18">
        <f>_xlfn.XLOOKUP(CF_Gen_1[[#This Row],[ICG]],Assumptions[ICG],Assumptions[Risk_Adjustment_Ratio])</f>
        <v>0.14000000000000001</v>
      </c>
      <c r="O90" s="18">
        <f>_xlfn.XLOOKUP(CF_Gen_1[[#This Row],[ICG]],Assumptions[ICG],Assumptions[PME_Ratio])</f>
        <v>4.4999999999999998E-2</v>
      </c>
      <c r="P90" s="18">
        <f>_xlfn.XLOOKUP(CF_Gen_1[[#This Row],[ICG]],Assumptions[ICG],Assumptions[ULAE_Ratio])</f>
        <v>0.11</v>
      </c>
      <c r="Q90" s="18">
        <f>_xlfn.XLOOKUP(CF_Gen_1[[#This Row],[ICG]],Assumptions[ICG],Assumptions[Cancellation_Ratio])</f>
        <v>7.0000000000000007E-2</v>
      </c>
      <c r="R90" s="18">
        <f>_xlfn.XLOOKUP(CF_Gen_1[[#This Row],[ICG]],Assumptions[ICG],Assumptions[Premium_Refund_Ratio])</f>
        <v>0.5</v>
      </c>
      <c r="S90" s="18">
        <f>IF(CF_Gen_1[[#This Row],[Contract]]="RC",_xlfn.XLOOKUP(CF_Gen_1[[#This Row],[ICG]],Assumptions[ICG],Assumptions[NPR_Ratio]),0)</f>
        <v>0</v>
      </c>
      <c r="T90" s="17">
        <f>T89*(1-CF_Gen_1[[#This Row],[Cancellation_Ratio]])</f>
        <v>1.6846103815774079E-3</v>
      </c>
      <c r="U90" s="19">
        <f>IF(CF_Gen_1[[#This Row],[Incurred]]&lt;=CF_Gen_1[[#This Row],[Valuation]],CF_Gen_1[[#This Row],[Expected_Premium]],-CF_Gen_1[[#This Row],[Probability_of_Inforce]]*CF_Gen_1[[#This Row],[Premium_Refund_Ratio]]*CF_Gen_1[[#This Row],[Cancellation_Ratio]]*SUM(K90:K$105))</f>
        <v>-32601.749683821414</v>
      </c>
      <c r="V9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Row],[Cancellation_Ratio]]*SUM(L90:L$105))</f>
        <v>5881.1368478853656</v>
      </c>
      <c r="W90" s="19">
        <f>CF_Gen_1[[#This Row],[Expected_Acquisition]]</f>
        <v>0</v>
      </c>
      <c r="X90" s="19">
        <f>-CF_Gen_1[[#This Row],[Probability_of_Inforce]]*CF_Gen_1[[#This Row],[Earned_Premium]]*(1-CF_Gen_1[[#This Row],[Cancellation_Ratio]])*CF_Gen_1[[#This Row],[PME_Ratio]]+CF_Gen_1[[#This Row],[ULAE_Ratio]]*CF_Gen_1[[#This Row],[Exp_Claim]]</f>
        <v>-22921.169910910321</v>
      </c>
      <c r="Y90" s="19">
        <f>-CF_Gen_1[[#This Row],[Probability_of_Inforce]]*CF_Gen_1[[#This Row],[Earned_Premium]]*(1-CF_Gen_1[[#This Row],[Cancellation_Ratio]])*CF_Gen_1[[#This Row],[Loss_Ratio]]</f>
        <v>-103016.49398161944</v>
      </c>
      <c r="Z90" s="19">
        <f>CF_Gen_1[[#This Row],[Exp_Claim]]*CF_Gen_1[[#This Row],[Risk_Adjustment_Ratio]]</f>
        <v>-14422.309157426722</v>
      </c>
      <c r="AA90" s="19">
        <f>IF(CF_Gen_1[[#This Row],[Contract]]="RC",-CF_Gen_1[[#This Row],[NPR_Ratio]]*CF_Gen_1[[#This Row],[Exp_Claim]],0)</f>
        <v>0</v>
      </c>
      <c r="AB90" s="19">
        <f>SUMIFS(Actual_CF[Actual_Premium],Actual_CF[ICG],CF_Gen_1[[#This Row],[ICG]],Actual_CF[Incurred],CF_Gen_1[[#This Row],[Incurred]])</f>
        <v>0</v>
      </c>
      <c r="AC90" s="19">
        <f>SUMIFS(Actual_CF[Actual_Commission],Actual_CF[ICG],CF_Gen_1[[#This Row],[ICG]],Actual_CF[Incurred],CF_Gen_1[[#This Row],[Incurred]])</f>
        <v>0</v>
      </c>
      <c r="AD90" s="19">
        <f>SUMIFS(Actual_CF[Actual_Acquisition],Actual_CF[ICG],CF_Gen_1[[#This Row],[ICG]],Actual_CF[Incurred],CF_Gen_1[[#This Row],[Incurred]])</f>
        <v>0</v>
      </c>
    </row>
    <row r="91" spans="1:30">
      <c r="A91" t="str">
        <f t="shared" si="4"/>
        <v>#2024#IC-Property</v>
      </c>
      <c r="B91">
        <f>_xlfn.XLOOKUP(CF_Gen_1[[#This Row],[ICG]],ICG[ICG],ICG[Cohort])</f>
        <v>2024</v>
      </c>
      <c r="C91" t="str">
        <f>_xlfn.XLOOKUP(CF_Gen_1[[#This Row],[ICG]],ICG[ICG],ICG[Portfolio])</f>
        <v>IC-Property</v>
      </c>
      <c r="D91" t="str">
        <f>_xlfn.XLOOKUP(CF_Gen_1[[#This Row],[ICG]],ICG[ICG],ICG[Contract])</f>
        <v>IC</v>
      </c>
      <c r="E91" s="2">
        <f t="shared" si="3"/>
        <v>45930</v>
      </c>
      <c r="F91">
        <v>90</v>
      </c>
      <c r="G91" s="2">
        <f>EOMONTH(DATE(YEAR(CF_Gen_1[[#This Row],[Valuation]])-1,12,31),CF_Gen_1[[#This Row],['#Incurred]]*3)</f>
        <v>53873</v>
      </c>
      <c r="H91" s="14">
        <f>SUMIFS(Expected_CF[Expected_Premium],Expected_CF[ICG],CF_Gen_1[[#This Row],[ICG]],Expected_CF[Incurred],CF_Gen_1[[#This Row],[Incurred]])</f>
        <v>0</v>
      </c>
      <c r="I91" s="14">
        <f>SUMIFS(Expected_CF[Expected_Commission],Expected_CF[ICG],CF_Gen_1[[#This Row],[ICG]],Expected_CF[Incurred],CF_Gen_1[[#This Row],[Incurred]])</f>
        <v>0</v>
      </c>
      <c r="J91" s="14">
        <f>IF(CF_Gen_1[[#This Row],[Contract]]="IC",SUMIFS(Expected_CF[Expected_Acquisition],Expected_CF[ICG],CF_Gen_1[[#This Row],[ICG]],Expected_CF[Incurred],CF_Gen_1[[#This Row],[Incurred]]),0)</f>
        <v>0</v>
      </c>
      <c r="K91" s="14">
        <f>SUMIFS(Earned[Earned_Premium],Earned[ICG],CF_Gen_1[[#This Row],[ICG]],Earned[Incurred],CF_Gen_1[[#This Row],[Incurred]])</f>
        <v>134497489.15611643</v>
      </c>
      <c r="L91" s="14">
        <f>SUMIFS(Earned[Earned_Commission],Earned[ICG],CF_Gen_1[[#This Row],[ICG]],Earned[Incurred],CF_Gen_1[[#This Row],[Incurred]])</f>
        <v>-24936401.200794835</v>
      </c>
      <c r="M91" s="18">
        <f>_xlfn.XLOOKUP(CF_Gen_1[[#This Row],[ICG]],Assumptions[ICG],Assumptions[Loss_Ratio])</f>
        <v>0.4</v>
      </c>
      <c r="N91" s="18">
        <f>_xlfn.XLOOKUP(CF_Gen_1[[#This Row],[ICG]],Assumptions[ICG],Assumptions[Risk_Adjustment_Ratio])</f>
        <v>0.14000000000000001</v>
      </c>
      <c r="O91" s="18">
        <f>_xlfn.XLOOKUP(CF_Gen_1[[#This Row],[ICG]],Assumptions[ICG],Assumptions[PME_Ratio])</f>
        <v>4.4999999999999998E-2</v>
      </c>
      <c r="P91" s="18">
        <f>_xlfn.XLOOKUP(CF_Gen_1[[#This Row],[ICG]],Assumptions[ICG],Assumptions[ULAE_Ratio])</f>
        <v>0.11</v>
      </c>
      <c r="Q91" s="18">
        <f>_xlfn.XLOOKUP(CF_Gen_1[[#This Row],[ICG]],Assumptions[ICG],Assumptions[Cancellation_Ratio])</f>
        <v>7.0000000000000007E-2</v>
      </c>
      <c r="R91" s="18">
        <f>_xlfn.XLOOKUP(CF_Gen_1[[#This Row],[ICG]],Assumptions[ICG],Assumptions[Premium_Refund_Ratio])</f>
        <v>0.5</v>
      </c>
      <c r="S91" s="18">
        <f>IF(CF_Gen_1[[#This Row],[Contract]]="RC",_xlfn.XLOOKUP(CF_Gen_1[[#This Row],[ICG]],Assumptions[ICG],Assumptions[NPR_Ratio]),0)</f>
        <v>0</v>
      </c>
      <c r="T91" s="17">
        <f>T90*(1-CF_Gen_1[[#This Row],[Cancellation_Ratio]])</f>
        <v>1.5666876548669892E-3</v>
      </c>
      <c r="U91" s="19">
        <f>IF(CF_Gen_1[[#This Row],[Incurred]]&lt;=CF_Gen_1[[#This Row],[Valuation]],CF_Gen_1[[#This Row],[Expected_Premium]],-CF_Gen_1[[#This Row],[Probability_of_Inforce]]*CF_Gen_1[[#This Row],[Premium_Refund_Ratio]]*CF_Gen_1[[#This Row],[Cancellation_Ratio]]*SUM(K91:K$105))</f>
        <v>-21305.683982562205</v>
      </c>
      <c r="V9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Row],[Cancellation_Ratio]]*SUM(L91:L$105))</f>
        <v>3646.3048456889255</v>
      </c>
      <c r="W91" s="19">
        <f>CF_Gen_1[[#This Row],[Expected_Acquisition]]</f>
        <v>0</v>
      </c>
      <c r="X91" s="19">
        <f>-CF_Gen_1[[#This Row],[Probability_of_Inforce]]*CF_Gen_1[[#This Row],[Earned_Premium]]*(1-CF_Gen_1[[#This Row],[Cancellation_Ratio]])*CF_Gen_1[[#This Row],[PME_Ratio]]+CF_Gen_1[[#This Row],[ULAE_Ratio]]*CF_Gen_1[[#This Row],[Exp_Claim]]</f>
        <v>-17440.926559483585</v>
      </c>
      <c r="Y91" s="19">
        <f>-CF_Gen_1[[#This Row],[Probability_of_Inforce]]*CF_Gen_1[[#This Row],[Earned_Premium]]*(1-CF_Gen_1[[#This Row],[Cancellation_Ratio]])*CF_Gen_1[[#This Row],[Loss_Ratio]]</f>
        <v>-78386.186784195888</v>
      </c>
      <c r="Z91" s="19">
        <f>CF_Gen_1[[#This Row],[Exp_Claim]]*CF_Gen_1[[#This Row],[Risk_Adjustment_Ratio]]</f>
        <v>-10974.066149787426</v>
      </c>
      <c r="AA91" s="19">
        <f>IF(CF_Gen_1[[#This Row],[Contract]]="RC",-CF_Gen_1[[#This Row],[NPR_Ratio]]*CF_Gen_1[[#This Row],[Exp_Claim]],0)</f>
        <v>0</v>
      </c>
      <c r="AB91" s="19">
        <f>SUMIFS(Actual_CF[Actual_Premium],Actual_CF[ICG],CF_Gen_1[[#This Row],[ICG]],Actual_CF[Incurred],CF_Gen_1[[#This Row],[Incurred]])</f>
        <v>0</v>
      </c>
      <c r="AC91" s="19">
        <f>SUMIFS(Actual_CF[Actual_Commission],Actual_CF[ICG],CF_Gen_1[[#This Row],[ICG]],Actual_CF[Incurred],CF_Gen_1[[#This Row],[Incurred]])</f>
        <v>0</v>
      </c>
      <c r="AD91" s="19">
        <f>SUMIFS(Actual_CF[Actual_Acquisition],Actual_CF[ICG],CF_Gen_1[[#This Row],[ICG]],Actual_CF[Incurred],CF_Gen_1[[#This Row],[Incurred]])</f>
        <v>0</v>
      </c>
    </row>
    <row r="92" spans="1:30">
      <c r="A92" t="str">
        <f t="shared" si="4"/>
        <v>#2024#IC-Property</v>
      </c>
      <c r="B92">
        <f>_xlfn.XLOOKUP(CF_Gen_1[[#This Row],[ICG]],ICG[ICG],ICG[Cohort])</f>
        <v>2024</v>
      </c>
      <c r="C92" t="str">
        <f>_xlfn.XLOOKUP(CF_Gen_1[[#This Row],[ICG]],ICG[ICG],ICG[Portfolio])</f>
        <v>IC-Property</v>
      </c>
      <c r="D92" t="str">
        <f>_xlfn.XLOOKUP(CF_Gen_1[[#This Row],[ICG]],ICG[ICG],ICG[Contract])</f>
        <v>IC</v>
      </c>
      <c r="E92" s="2">
        <f t="shared" si="3"/>
        <v>45930</v>
      </c>
      <c r="F92">
        <v>91</v>
      </c>
      <c r="G92" s="2">
        <f>EOMONTH(DATE(YEAR(CF_Gen_1[[#This Row],[Valuation]])-1,12,31),CF_Gen_1[[#This Row],['#Incurred]]*3)</f>
        <v>53965</v>
      </c>
      <c r="H92" s="14">
        <f>SUMIFS(Expected_CF[Expected_Premium],Expected_CF[ICG],CF_Gen_1[[#This Row],[ICG]],Expected_CF[Incurred],CF_Gen_1[[#This Row],[Incurred]])</f>
        <v>0</v>
      </c>
      <c r="I92" s="14">
        <f>SUMIFS(Expected_CF[Expected_Commission],Expected_CF[ICG],CF_Gen_1[[#This Row],[ICG]],Expected_CF[Incurred],CF_Gen_1[[#This Row],[Incurred]])</f>
        <v>0</v>
      </c>
      <c r="J92" s="14">
        <f>IF(CF_Gen_1[[#This Row],[Contract]]="IC",SUMIFS(Expected_CF[Expected_Acquisition],Expected_CF[ICG],CF_Gen_1[[#This Row],[ICG]],Expected_CF[Incurred],CF_Gen_1[[#This Row],[Incurred]]),0)</f>
        <v>0</v>
      </c>
      <c r="K92" s="14">
        <f>SUMIFS(Earned[Earned_Premium],Earned[ICG],CF_Gen_1[[#This Row],[ICG]],Earned[Incurred],CF_Gen_1[[#This Row],[Incurred]])</f>
        <v>104609158.23253496</v>
      </c>
      <c r="L92" s="14">
        <f>SUMIFS(Earned[Earned_Commission],Earned[ICG],CF_Gen_1[[#This Row],[ICG]],Earned[Incurred],CF_Gen_1[[#This Row],[Incurred]])</f>
        <v>-17811715.143424883</v>
      </c>
      <c r="M92" s="18">
        <f>_xlfn.XLOOKUP(CF_Gen_1[[#This Row],[ICG]],Assumptions[ICG],Assumptions[Loss_Ratio])</f>
        <v>0.4</v>
      </c>
      <c r="N92" s="18">
        <f>_xlfn.XLOOKUP(CF_Gen_1[[#This Row],[ICG]],Assumptions[ICG],Assumptions[Risk_Adjustment_Ratio])</f>
        <v>0.14000000000000001</v>
      </c>
      <c r="O92" s="18">
        <f>_xlfn.XLOOKUP(CF_Gen_1[[#This Row],[ICG]],Assumptions[ICG],Assumptions[PME_Ratio])</f>
        <v>4.4999999999999998E-2</v>
      </c>
      <c r="P92" s="18">
        <f>_xlfn.XLOOKUP(CF_Gen_1[[#This Row],[ICG]],Assumptions[ICG],Assumptions[ULAE_Ratio])</f>
        <v>0.11</v>
      </c>
      <c r="Q92" s="18">
        <f>_xlfn.XLOOKUP(CF_Gen_1[[#This Row],[ICG]],Assumptions[ICG],Assumptions[Cancellation_Ratio])</f>
        <v>7.0000000000000007E-2</v>
      </c>
      <c r="R92" s="18">
        <f>_xlfn.XLOOKUP(CF_Gen_1[[#This Row],[ICG]],Assumptions[ICG],Assumptions[Premium_Refund_Ratio])</f>
        <v>0.5</v>
      </c>
      <c r="S92" s="18">
        <f>IF(CF_Gen_1[[#This Row],[Contract]]="RC",_xlfn.XLOOKUP(CF_Gen_1[[#This Row],[ICG]],Assumptions[ICG],Assumptions[NPR_Ratio]),0)</f>
        <v>0</v>
      </c>
      <c r="T92" s="17">
        <f>T91*(1-CF_Gen_1[[#This Row],[Cancellation_Ratio]])</f>
        <v>1.4570195190262997E-3</v>
      </c>
      <c r="U92" s="19">
        <f>IF(CF_Gen_1[[#This Row],[Incurred]]&lt;=CF_Gen_1[[#This Row],[Valuation]],CF_Gen_1[[#This Row],[Expected_Premium]],-CF_Gen_1[[#This Row],[Probability_of_Inforce]]*CF_Gen_1[[#This Row],[Premium_Refund_Ratio]]*CF_Gen_1[[#This Row],[Cancellation_Ratio]]*SUM(K92:K$105))</f>
        <v>-12955.494760165706</v>
      </c>
      <c r="V9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Row],[Cancellation_Ratio]]*SUM(L92:L$105))</f>
        <v>2119.4146915566876</v>
      </c>
      <c r="W92" s="19">
        <f>CF_Gen_1[[#This Row],[Expected_Acquisition]]</f>
        <v>0</v>
      </c>
      <c r="X92" s="19">
        <f>-CF_Gen_1[[#This Row],[Probability_of_Inforce]]*CF_Gen_1[[#This Row],[Earned_Premium]]*(1-CF_Gen_1[[#This Row],[Cancellation_Ratio]])*CF_Gen_1[[#This Row],[PME_Ratio]]+CF_Gen_1[[#This Row],[ULAE_Ratio]]*CF_Gen_1[[#This Row],[Exp_Claim]]</f>
        <v>-12615.603544693122</v>
      </c>
      <c r="Y92" s="19">
        <f>-CF_Gen_1[[#This Row],[Probability_of_Inforce]]*CF_Gen_1[[#This Row],[Earned_Premium]]*(1-CF_Gen_1[[#This Row],[Cancellation_Ratio]])*CF_Gen_1[[#This Row],[Loss_Ratio]]</f>
        <v>-56699.341773901673</v>
      </c>
      <c r="Z92" s="19">
        <f>CF_Gen_1[[#This Row],[Exp_Claim]]*CF_Gen_1[[#This Row],[Risk_Adjustment_Ratio]]</f>
        <v>-7937.9078483462354</v>
      </c>
      <c r="AA92" s="19">
        <f>IF(CF_Gen_1[[#This Row],[Contract]]="RC",-CF_Gen_1[[#This Row],[NPR_Ratio]]*CF_Gen_1[[#This Row],[Exp_Claim]],0)</f>
        <v>0</v>
      </c>
      <c r="AB92" s="19">
        <f>SUMIFS(Actual_CF[Actual_Premium],Actual_CF[ICG],CF_Gen_1[[#This Row],[ICG]],Actual_CF[Incurred],CF_Gen_1[[#This Row],[Incurred]])</f>
        <v>0</v>
      </c>
      <c r="AC92" s="19">
        <f>SUMIFS(Actual_CF[Actual_Commission],Actual_CF[ICG],CF_Gen_1[[#This Row],[ICG]],Actual_CF[Incurred],CF_Gen_1[[#This Row],[Incurred]])</f>
        <v>0</v>
      </c>
      <c r="AD92" s="19">
        <f>SUMIFS(Actual_CF[Actual_Acquisition],Actual_CF[ICG],CF_Gen_1[[#This Row],[ICG]],Actual_CF[Incurred],CF_Gen_1[[#This Row],[Incurred]])</f>
        <v>0</v>
      </c>
    </row>
    <row r="93" spans="1:30">
      <c r="A93" t="str">
        <f t="shared" si="4"/>
        <v>#2024#IC-Property</v>
      </c>
      <c r="B93">
        <f>_xlfn.XLOOKUP(CF_Gen_1[[#This Row],[ICG]],ICG[ICG],ICG[Cohort])</f>
        <v>2024</v>
      </c>
      <c r="C93" t="str">
        <f>_xlfn.XLOOKUP(CF_Gen_1[[#This Row],[ICG]],ICG[ICG],ICG[Portfolio])</f>
        <v>IC-Property</v>
      </c>
      <c r="D93" t="str">
        <f>_xlfn.XLOOKUP(CF_Gen_1[[#This Row],[ICG]],ICG[ICG],ICG[Contract])</f>
        <v>IC</v>
      </c>
      <c r="E93" s="2">
        <f t="shared" si="3"/>
        <v>45930</v>
      </c>
      <c r="F93">
        <v>92</v>
      </c>
      <c r="G93" s="2">
        <f>EOMONTH(DATE(YEAR(CF_Gen_1[[#This Row],[Valuation]])-1,12,31),CF_Gen_1[[#This Row],['#Incurred]]*3)</f>
        <v>54057</v>
      </c>
      <c r="H93" s="14">
        <f>SUMIFS(Expected_CF[Expected_Premium],Expected_CF[ICG],CF_Gen_1[[#This Row],[ICG]],Expected_CF[Incurred],CF_Gen_1[[#This Row],[Incurred]])</f>
        <v>0</v>
      </c>
      <c r="I93" s="14">
        <f>SUMIFS(Expected_CF[Expected_Commission],Expected_CF[ICG],CF_Gen_1[[#This Row],[ICG]],Expected_CF[Incurred],CF_Gen_1[[#This Row],[Incurred]])</f>
        <v>0</v>
      </c>
      <c r="J93" s="14">
        <f>IF(CF_Gen_1[[#This Row],[Contract]]="IC",SUMIFS(Expected_CF[Expected_Acquisition],Expected_CF[ICG],CF_Gen_1[[#This Row],[ICG]],Expected_CF[Incurred],CF_Gen_1[[#This Row],[Incurred]]),0)</f>
        <v>0</v>
      </c>
      <c r="K93" s="14">
        <f>SUMIFS(Earned[Earned_Premium],Earned[ICG],CF_Gen_1[[#This Row],[ICG]],Earned[Incurred],CF_Gen_1[[#This Row],[Incurred]])</f>
        <v>74720827.308953568</v>
      </c>
      <c r="L93" s="14">
        <f>SUMIFS(Earned[Earned_Commission],Earned[ICG],CF_Gen_1[[#This Row],[ICG]],Earned[Incurred],CF_Gen_1[[#This Row],[Incurred]])</f>
        <v>-11874476.762283253</v>
      </c>
      <c r="M93" s="18">
        <f>_xlfn.XLOOKUP(CF_Gen_1[[#This Row],[ICG]],Assumptions[ICG],Assumptions[Loss_Ratio])</f>
        <v>0.4</v>
      </c>
      <c r="N93" s="18">
        <f>_xlfn.XLOOKUP(CF_Gen_1[[#This Row],[ICG]],Assumptions[ICG],Assumptions[Risk_Adjustment_Ratio])</f>
        <v>0.14000000000000001</v>
      </c>
      <c r="O93" s="18">
        <f>_xlfn.XLOOKUP(CF_Gen_1[[#This Row],[ICG]],Assumptions[ICG],Assumptions[PME_Ratio])</f>
        <v>4.4999999999999998E-2</v>
      </c>
      <c r="P93" s="18">
        <f>_xlfn.XLOOKUP(CF_Gen_1[[#This Row],[ICG]],Assumptions[ICG],Assumptions[ULAE_Ratio])</f>
        <v>0.11</v>
      </c>
      <c r="Q93" s="18">
        <f>_xlfn.XLOOKUP(CF_Gen_1[[#This Row],[ICG]],Assumptions[ICG],Assumptions[Cancellation_Ratio])</f>
        <v>7.0000000000000007E-2</v>
      </c>
      <c r="R93" s="18">
        <f>_xlfn.XLOOKUP(CF_Gen_1[[#This Row],[ICG]],Assumptions[ICG],Assumptions[Premium_Refund_Ratio])</f>
        <v>0.5</v>
      </c>
      <c r="S93" s="18">
        <f>IF(CF_Gen_1[[#This Row],[Contract]]="RC",_xlfn.XLOOKUP(CF_Gen_1[[#This Row],[ICG]],Assumptions[ICG],Assumptions[NPR_Ratio]),0)</f>
        <v>0</v>
      </c>
      <c r="T93" s="17">
        <f>T92*(1-CF_Gen_1[[#This Row],[Cancellation_Ratio]])</f>
        <v>1.3550281526944587E-3</v>
      </c>
      <c r="U93" s="19">
        <f>IF(CF_Gen_1[[#This Row],[Incurred]]&lt;=CF_Gen_1[[#This Row],[Valuation]],CF_Gen_1[[#This Row],[Expected_Premium]],-CF_Gen_1[[#This Row],[Probability_of_Inforce]]*CF_Gen_1[[#This Row],[Premium_Refund_Ratio]]*CF_Gen_1[[#This Row],[Cancellation_Ratio]]*SUM(K93:K$105))</f>
        <v>-7087.417721737711</v>
      </c>
      <c r="V9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Row],[Cancellation_Ratio]]*SUM(L93:L$105))</f>
        <v>1126.317521798697</v>
      </c>
      <c r="W93" s="19">
        <f>CF_Gen_1[[#This Row],[Expected_Acquisition]]</f>
        <v>0</v>
      </c>
      <c r="X93" s="19">
        <f>-CF_Gen_1[[#This Row],[Probability_of_Inforce]]*CF_Gen_1[[#This Row],[Earned_Premium]]*(1-CF_Gen_1[[#This Row],[Cancellation_Ratio]])*CF_Gen_1[[#This Row],[PME_Ratio]]+CF_Gen_1[[#This Row],[ULAE_Ratio]]*CF_Gen_1[[#This Row],[Exp_Claim]]</f>
        <v>-8380.3652118318623</v>
      </c>
      <c r="Y93" s="19">
        <f>-CF_Gen_1[[#This Row],[Probability_of_Inforce]]*CF_Gen_1[[#This Row],[Earned_Premium]]*(1-CF_Gen_1[[#This Row],[Cancellation_Ratio]])*CF_Gen_1[[#This Row],[Loss_Ratio]]</f>
        <v>-37664.562749806122</v>
      </c>
      <c r="Z93" s="19">
        <f>CF_Gen_1[[#This Row],[Exp_Claim]]*CF_Gen_1[[#This Row],[Risk_Adjustment_Ratio]]</f>
        <v>-5273.0387849728577</v>
      </c>
      <c r="AA93" s="19">
        <f>IF(CF_Gen_1[[#This Row],[Contract]]="RC",-CF_Gen_1[[#This Row],[NPR_Ratio]]*CF_Gen_1[[#This Row],[Exp_Claim]],0)</f>
        <v>0</v>
      </c>
      <c r="AB93" s="19">
        <f>SUMIFS(Actual_CF[Actual_Premium],Actual_CF[ICG],CF_Gen_1[[#This Row],[ICG]],Actual_CF[Incurred],CF_Gen_1[[#This Row],[Incurred]])</f>
        <v>0</v>
      </c>
      <c r="AC93" s="19">
        <f>SUMIFS(Actual_CF[Actual_Commission],Actual_CF[ICG],CF_Gen_1[[#This Row],[ICG]],Actual_CF[Incurred],CF_Gen_1[[#This Row],[Incurred]])</f>
        <v>0</v>
      </c>
      <c r="AD93" s="19">
        <f>SUMIFS(Actual_CF[Actual_Acquisition],Actual_CF[ICG],CF_Gen_1[[#This Row],[ICG]],Actual_CF[Incurred],CF_Gen_1[[#This Row],[Incurred]])</f>
        <v>0</v>
      </c>
    </row>
    <row r="94" spans="1:30">
      <c r="A94" t="str">
        <f t="shared" si="4"/>
        <v>#2024#IC-Property</v>
      </c>
      <c r="B94">
        <f>_xlfn.XLOOKUP(CF_Gen_1[[#This Row],[ICG]],ICG[ICG],ICG[Cohort])</f>
        <v>2024</v>
      </c>
      <c r="C94" t="str">
        <f>_xlfn.XLOOKUP(CF_Gen_1[[#This Row],[ICG]],ICG[ICG],ICG[Portfolio])</f>
        <v>IC-Property</v>
      </c>
      <c r="D94" t="str">
        <f>_xlfn.XLOOKUP(CF_Gen_1[[#This Row],[ICG]],ICG[ICG],ICG[Contract])</f>
        <v>IC</v>
      </c>
      <c r="E94" s="2">
        <f t="shared" si="3"/>
        <v>45930</v>
      </c>
      <c r="F94">
        <v>93</v>
      </c>
      <c r="G94" s="2">
        <f>EOMONTH(DATE(YEAR(CF_Gen_1[[#This Row],[Valuation]])-1,12,31),CF_Gen_1[[#This Row],['#Incurred]]*3)</f>
        <v>54148</v>
      </c>
      <c r="H94" s="14">
        <f>SUMIFS(Expected_CF[Expected_Premium],Expected_CF[ICG],CF_Gen_1[[#This Row],[ICG]],Expected_CF[Incurred],CF_Gen_1[[#This Row],[Incurred]])</f>
        <v>0</v>
      </c>
      <c r="I94" s="14">
        <f>SUMIFS(Expected_CF[Expected_Commission],Expected_CF[ICG],CF_Gen_1[[#This Row],[ICG]],Expected_CF[Incurred],CF_Gen_1[[#This Row],[Incurred]])</f>
        <v>0</v>
      </c>
      <c r="J94" s="14">
        <f>IF(CF_Gen_1[[#This Row],[Contract]]="IC",SUMIFS(Expected_CF[Expected_Acquisition],Expected_CF[ICG],CF_Gen_1[[#This Row],[ICG]],Expected_CF[Incurred],CF_Gen_1[[#This Row],[Incurred]]),0)</f>
        <v>0</v>
      </c>
      <c r="K94" s="14">
        <f>SUMIFS(Earned[Earned_Premium],Earned[ICG],CF_Gen_1[[#This Row],[ICG]],Earned[Incurred],CF_Gen_1[[#This Row],[Incurred]])</f>
        <v>44832496.385372132</v>
      </c>
      <c r="L94" s="14">
        <f>SUMIFS(Earned[Earned_Commission],Earned[ICG],CF_Gen_1[[#This Row],[ICG]],Earned[Incurred],CF_Gen_1[[#This Row],[Incurred]])</f>
        <v>-7124686.057369953</v>
      </c>
      <c r="M94" s="18">
        <f>_xlfn.XLOOKUP(CF_Gen_1[[#This Row],[ICG]],Assumptions[ICG],Assumptions[Loss_Ratio])</f>
        <v>0.4</v>
      </c>
      <c r="N94" s="18">
        <f>_xlfn.XLOOKUP(CF_Gen_1[[#This Row],[ICG]],Assumptions[ICG],Assumptions[Risk_Adjustment_Ratio])</f>
        <v>0.14000000000000001</v>
      </c>
      <c r="O94" s="18">
        <f>_xlfn.XLOOKUP(CF_Gen_1[[#This Row],[ICG]],Assumptions[ICG],Assumptions[PME_Ratio])</f>
        <v>4.4999999999999998E-2</v>
      </c>
      <c r="P94" s="18">
        <f>_xlfn.XLOOKUP(CF_Gen_1[[#This Row],[ICG]],Assumptions[ICG],Assumptions[ULAE_Ratio])</f>
        <v>0.11</v>
      </c>
      <c r="Q94" s="18">
        <f>_xlfn.XLOOKUP(CF_Gen_1[[#This Row],[ICG]],Assumptions[ICG],Assumptions[Cancellation_Ratio])</f>
        <v>7.0000000000000007E-2</v>
      </c>
      <c r="R94" s="18">
        <f>_xlfn.XLOOKUP(CF_Gen_1[[#This Row],[ICG]],Assumptions[ICG],Assumptions[Premium_Refund_Ratio])</f>
        <v>0.5</v>
      </c>
      <c r="S94" s="18">
        <f>IF(CF_Gen_1[[#This Row],[Contract]]="RC",_xlfn.XLOOKUP(CF_Gen_1[[#This Row],[ICG]],Assumptions[ICG],Assumptions[NPR_Ratio]),0)</f>
        <v>0</v>
      </c>
      <c r="T94" s="17">
        <f>T93*(1-CF_Gen_1[[#This Row],[Cancellation_Ratio]])</f>
        <v>1.2601761820058466E-3</v>
      </c>
      <c r="U94" s="19">
        <f>IF(CF_Gen_1[[#This Row],[Incurred]]&lt;=CF_Gen_1[[#This Row],[Valuation]],CF_Gen_1[[#This Row],[Expected_Premium]],-CF_Gen_1[[#This Row],[Probability_of_Inforce]]*CF_Gen_1[[#This Row],[Premium_Refund_Ratio]]*CF_Gen_1[[#This Row],[Cancellation_Ratio]]*SUM(K94:K$105))</f>
        <v>-3295.6492406080351</v>
      </c>
      <c r="V9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Row],[Cancellation_Ratio]]*SUM(L94:L$105))</f>
        <v>523.73764763639406</v>
      </c>
      <c r="W94" s="19">
        <f>CF_Gen_1[[#This Row],[Expected_Acquisition]]</f>
        <v>0</v>
      </c>
      <c r="X94" s="19">
        <f>-CF_Gen_1[[#This Row],[Probability_of_Inforce]]*CF_Gen_1[[#This Row],[Earned_Premium]]*(1-CF_Gen_1[[#This Row],[Cancellation_Ratio]])*CF_Gen_1[[#This Row],[PME_Ratio]]+CF_Gen_1[[#This Row],[ULAE_Ratio]]*CF_Gen_1[[#This Row],[Exp_Claim]]</f>
        <v>-4676.2437882021777</v>
      </c>
      <c r="Y94" s="19">
        <f>-CF_Gen_1[[#This Row],[Probability_of_Inforce]]*CF_Gen_1[[#This Row],[Earned_Premium]]*(1-CF_Gen_1[[#This Row],[Cancellation_Ratio]])*CF_Gen_1[[#This Row],[Loss_Ratio]]</f>
        <v>-21016.826014391812</v>
      </c>
      <c r="Z94" s="19">
        <f>CF_Gen_1[[#This Row],[Exp_Claim]]*CF_Gen_1[[#This Row],[Risk_Adjustment_Ratio]]</f>
        <v>-2942.3556420148539</v>
      </c>
      <c r="AA94" s="19">
        <f>IF(CF_Gen_1[[#This Row],[Contract]]="RC",-CF_Gen_1[[#This Row],[NPR_Ratio]]*CF_Gen_1[[#This Row],[Exp_Claim]],0)</f>
        <v>0</v>
      </c>
      <c r="AB94" s="19">
        <f>SUMIFS(Actual_CF[Actual_Premium],Actual_CF[ICG],CF_Gen_1[[#This Row],[ICG]],Actual_CF[Incurred],CF_Gen_1[[#This Row],[Incurred]])</f>
        <v>0</v>
      </c>
      <c r="AC94" s="19">
        <f>SUMIFS(Actual_CF[Actual_Commission],Actual_CF[ICG],CF_Gen_1[[#This Row],[ICG]],Actual_CF[Incurred],CF_Gen_1[[#This Row],[Incurred]])</f>
        <v>0</v>
      </c>
      <c r="AD94" s="19">
        <f>SUMIFS(Actual_CF[Actual_Acquisition],Actual_CF[ICG],CF_Gen_1[[#This Row],[ICG]],Actual_CF[Incurred],CF_Gen_1[[#This Row],[Incurred]])</f>
        <v>0</v>
      </c>
    </row>
    <row r="95" spans="1:30">
      <c r="A95" t="str">
        <f t="shared" si="4"/>
        <v>#2024#IC-Property</v>
      </c>
      <c r="B95">
        <f>_xlfn.XLOOKUP(CF_Gen_1[[#This Row],[ICG]],ICG[ICG],ICG[Cohort])</f>
        <v>2024</v>
      </c>
      <c r="C95" t="str">
        <f>_xlfn.XLOOKUP(CF_Gen_1[[#This Row],[ICG]],ICG[ICG],ICG[Portfolio])</f>
        <v>IC-Property</v>
      </c>
      <c r="D95" t="str">
        <f>_xlfn.XLOOKUP(CF_Gen_1[[#This Row],[ICG]],ICG[ICG],ICG[Contract])</f>
        <v>IC</v>
      </c>
      <c r="E95" s="2">
        <f t="shared" si="3"/>
        <v>45930</v>
      </c>
      <c r="F95">
        <v>94</v>
      </c>
      <c r="G95" s="2">
        <f>EOMONTH(DATE(YEAR(CF_Gen_1[[#This Row],[Valuation]])-1,12,31),CF_Gen_1[[#This Row],['#Incurred]]*3)</f>
        <v>54239</v>
      </c>
      <c r="H95" s="14">
        <f>SUMIFS(Expected_CF[Expected_Premium],Expected_CF[ICG],CF_Gen_1[[#This Row],[ICG]],Expected_CF[Incurred],CF_Gen_1[[#This Row],[Incurred]])</f>
        <v>0</v>
      </c>
      <c r="I95" s="14">
        <f>SUMIFS(Expected_CF[Expected_Commission],Expected_CF[ICG],CF_Gen_1[[#This Row],[ICG]],Expected_CF[Incurred],CF_Gen_1[[#This Row],[Incurred]])</f>
        <v>0</v>
      </c>
      <c r="J95" s="14">
        <f>IF(CF_Gen_1[[#This Row],[Contract]]="IC",SUMIFS(Expected_CF[Expected_Acquisition],Expected_CF[ICG],CF_Gen_1[[#This Row],[ICG]],Expected_CF[Incurred],CF_Gen_1[[#This Row],[Incurred]]),0)</f>
        <v>0</v>
      </c>
      <c r="K95" s="14">
        <f>SUMIFS(Earned[Earned_Premium],Earned[ICG],CF_Gen_1[[#This Row],[ICG]],Earned[Incurred],CF_Gen_1[[#This Row],[Incurred]])</f>
        <v>22416248.192686066</v>
      </c>
      <c r="L95" s="14">
        <f>SUMIFS(Earned[Earned_Commission],Earned[ICG],CF_Gen_1[[#This Row],[ICG]],Earned[Incurred],CF_Gen_1[[#This Row],[Incurred]])</f>
        <v>-3562343.0286849765</v>
      </c>
      <c r="M95" s="18">
        <f>_xlfn.XLOOKUP(CF_Gen_1[[#This Row],[ICG]],Assumptions[ICG],Assumptions[Loss_Ratio])</f>
        <v>0.4</v>
      </c>
      <c r="N95" s="18">
        <f>_xlfn.XLOOKUP(CF_Gen_1[[#This Row],[ICG]],Assumptions[ICG],Assumptions[Risk_Adjustment_Ratio])</f>
        <v>0.14000000000000001</v>
      </c>
      <c r="O95" s="18">
        <f>_xlfn.XLOOKUP(CF_Gen_1[[#This Row],[ICG]],Assumptions[ICG],Assumptions[PME_Ratio])</f>
        <v>4.4999999999999998E-2</v>
      </c>
      <c r="P95" s="18">
        <f>_xlfn.XLOOKUP(CF_Gen_1[[#This Row],[ICG]],Assumptions[ICG],Assumptions[ULAE_Ratio])</f>
        <v>0.11</v>
      </c>
      <c r="Q95" s="18">
        <f>_xlfn.XLOOKUP(CF_Gen_1[[#This Row],[ICG]],Assumptions[ICG],Assumptions[Cancellation_Ratio])</f>
        <v>7.0000000000000007E-2</v>
      </c>
      <c r="R95" s="18">
        <f>_xlfn.XLOOKUP(CF_Gen_1[[#This Row],[ICG]],Assumptions[ICG],Assumptions[Premium_Refund_Ratio])</f>
        <v>0.5</v>
      </c>
      <c r="S95" s="18">
        <f>IF(CF_Gen_1[[#This Row],[Contract]]="RC",_xlfn.XLOOKUP(CF_Gen_1[[#This Row],[ICG]],Assumptions[ICG],Assumptions[NPR_Ratio]),0)</f>
        <v>0</v>
      </c>
      <c r="T95" s="17">
        <f>T94*(1-CF_Gen_1[[#This Row],[Cancellation_Ratio]])</f>
        <v>1.1719638492654373E-3</v>
      </c>
      <c r="U95" s="19">
        <f>IF(CF_Gen_1[[#This Row],[Incurred]]&lt;=CF_Gen_1[[#This Row],[Valuation]],CF_Gen_1[[#This Row],[Expected_Premium]],-CF_Gen_1[[#This Row],[Probability_of_Inforce]]*CF_Gen_1[[#This Row],[Premium_Refund_Ratio]]*CF_Gen_1[[#This Row],[Cancellation_Ratio]]*SUM(K95:K$105))</f>
        <v>-1225.9815175061892</v>
      </c>
      <c r="V9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Row],[Cancellation_Ratio]]*SUM(L95:L$105))</f>
        <v>194.83040492073863</v>
      </c>
      <c r="W95" s="19">
        <f>CF_Gen_1[[#This Row],[Expected_Acquisition]]</f>
        <v>0</v>
      </c>
      <c r="X95" s="19">
        <f>-CF_Gen_1[[#This Row],[Probability_of_Inforce]]*CF_Gen_1[[#This Row],[Earned_Premium]]*(1-CF_Gen_1[[#This Row],[Cancellation_Ratio]])*CF_Gen_1[[#This Row],[PME_Ratio]]+CF_Gen_1[[#This Row],[ULAE_Ratio]]*CF_Gen_1[[#This Row],[Exp_Claim]]</f>
        <v>-2174.4533615140126</v>
      </c>
      <c r="Y95" s="19">
        <f>-CF_Gen_1[[#This Row],[Probability_of_Inforce]]*CF_Gen_1[[#This Row],[Earned_Premium]]*(1-CF_Gen_1[[#This Row],[Cancellation_Ratio]])*CF_Gen_1[[#This Row],[Loss_Ratio]]</f>
        <v>-9772.8240966921912</v>
      </c>
      <c r="Z95" s="19">
        <f>CF_Gen_1[[#This Row],[Exp_Claim]]*CF_Gen_1[[#This Row],[Risk_Adjustment_Ratio]]</f>
        <v>-1368.1953735369068</v>
      </c>
      <c r="AA95" s="19">
        <f>IF(CF_Gen_1[[#This Row],[Contract]]="RC",-CF_Gen_1[[#This Row],[NPR_Ratio]]*CF_Gen_1[[#This Row],[Exp_Claim]],0)</f>
        <v>0</v>
      </c>
      <c r="AB95" s="19">
        <f>SUMIFS(Actual_CF[Actual_Premium],Actual_CF[ICG],CF_Gen_1[[#This Row],[ICG]],Actual_CF[Incurred],CF_Gen_1[[#This Row],[Incurred]])</f>
        <v>0</v>
      </c>
      <c r="AC95" s="19">
        <f>SUMIFS(Actual_CF[Actual_Commission],Actual_CF[ICG],CF_Gen_1[[#This Row],[ICG]],Actual_CF[Incurred],CF_Gen_1[[#This Row],[Incurred]])</f>
        <v>0</v>
      </c>
      <c r="AD95" s="19">
        <f>SUMIFS(Actual_CF[Actual_Acquisition],Actual_CF[ICG],CF_Gen_1[[#This Row],[ICG]],Actual_CF[Incurred],CF_Gen_1[[#This Row],[Incurred]])</f>
        <v>0</v>
      </c>
    </row>
    <row r="96" spans="1:30">
      <c r="A96" t="str">
        <f t="shared" si="4"/>
        <v>#2024#IC-Property</v>
      </c>
      <c r="B96">
        <f>_xlfn.XLOOKUP(CF_Gen_1[[#This Row],[ICG]],ICG[ICG],ICG[Cohort])</f>
        <v>2024</v>
      </c>
      <c r="C96" t="str">
        <f>_xlfn.XLOOKUP(CF_Gen_1[[#This Row],[ICG]],ICG[ICG],ICG[Portfolio])</f>
        <v>IC-Property</v>
      </c>
      <c r="D96" t="str">
        <f>_xlfn.XLOOKUP(CF_Gen_1[[#This Row],[ICG]],ICG[ICG],ICG[Contract])</f>
        <v>IC</v>
      </c>
      <c r="E96" s="2">
        <f t="shared" si="3"/>
        <v>45930</v>
      </c>
      <c r="F96">
        <v>95</v>
      </c>
      <c r="G96" s="2">
        <f>EOMONTH(DATE(YEAR(CF_Gen_1[[#This Row],[Valuation]])-1,12,31),CF_Gen_1[[#This Row],['#Incurred]]*3)</f>
        <v>54331</v>
      </c>
      <c r="H96" s="14">
        <f>SUMIFS(Expected_CF[Expected_Premium],Expected_CF[ICG],CF_Gen_1[[#This Row],[ICG]],Expected_CF[Incurred],CF_Gen_1[[#This Row],[Incurred]])</f>
        <v>0</v>
      </c>
      <c r="I96" s="14">
        <f>SUMIFS(Expected_CF[Expected_Commission],Expected_CF[ICG],CF_Gen_1[[#This Row],[ICG]],Expected_CF[Incurred],CF_Gen_1[[#This Row],[Incurred]])</f>
        <v>0</v>
      </c>
      <c r="J96" s="14">
        <f>IF(CF_Gen_1[[#This Row],[Contract]]="IC",SUMIFS(Expected_CF[Expected_Acquisition],Expected_CF[ICG],CF_Gen_1[[#This Row],[ICG]],Expected_CF[Incurred],CF_Gen_1[[#This Row],[Incurred]]),0)</f>
        <v>0</v>
      </c>
      <c r="K96" s="14">
        <f>SUMIFS(Earned[Earned_Premium],Earned[ICG],CF_Gen_1[[#This Row],[ICG]],Earned[Incurred],CF_Gen_1[[#This Row],[Incurred]])</f>
        <v>7472082.7308953553</v>
      </c>
      <c r="L96" s="14">
        <f>SUMIFS(Earned[Earned_Commission],Earned[ICG],CF_Gen_1[[#This Row],[ICG]],Earned[Incurred],CF_Gen_1[[#This Row],[Incurred]])</f>
        <v>-1187447.6762283256</v>
      </c>
      <c r="M96" s="18">
        <f>_xlfn.XLOOKUP(CF_Gen_1[[#This Row],[ICG]],Assumptions[ICG],Assumptions[Loss_Ratio])</f>
        <v>0.4</v>
      </c>
      <c r="N96" s="18">
        <f>_xlfn.XLOOKUP(CF_Gen_1[[#This Row],[ICG]],Assumptions[ICG],Assumptions[Risk_Adjustment_Ratio])</f>
        <v>0.14000000000000001</v>
      </c>
      <c r="O96" s="18">
        <f>_xlfn.XLOOKUP(CF_Gen_1[[#This Row],[ICG]],Assumptions[ICG],Assumptions[PME_Ratio])</f>
        <v>4.4999999999999998E-2</v>
      </c>
      <c r="P96" s="18">
        <f>_xlfn.XLOOKUP(CF_Gen_1[[#This Row],[ICG]],Assumptions[ICG],Assumptions[ULAE_Ratio])</f>
        <v>0.11</v>
      </c>
      <c r="Q96" s="18">
        <f>_xlfn.XLOOKUP(CF_Gen_1[[#This Row],[ICG]],Assumptions[ICG],Assumptions[Cancellation_Ratio])</f>
        <v>7.0000000000000007E-2</v>
      </c>
      <c r="R96" s="18">
        <f>_xlfn.XLOOKUP(CF_Gen_1[[#This Row],[ICG]],Assumptions[ICG],Assumptions[Premium_Refund_Ratio])</f>
        <v>0.5</v>
      </c>
      <c r="S96" s="18">
        <f>IF(CF_Gen_1[[#This Row],[Contract]]="RC",_xlfn.XLOOKUP(CF_Gen_1[[#This Row],[ICG]],Assumptions[ICG],Assumptions[NPR_Ratio]),0)</f>
        <v>0</v>
      </c>
      <c r="T96" s="17">
        <f>T95*(1-CF_Gen_1[[#This Row],[Cancellation_Ratio]])</f>
        <v>1.0899263798168565E-3</v>
      </c>
      <c r="U96" s="19">
        <f>IF(CF_Gen_1[[#This Row],[Incurred]]&lt;=CF_Gen_1[[#This Row],[Valuation]],CF_Gen_1[[#This Row],[Expected_Premium]],-CF_Gen_1[[#This Row],[Probability_of_Inforce]]*CF_Gen_1[[#This Row],[Premium_Refund_Ratio]]*CF_Gen_1[[#This Row],[Cancellation_Ratio]]*SUM(K96:K$105))</f>
        <v>-285.04070282018893</v>
      </c>
      <c r="V96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Row],[Cancellation_Ratio]]*SUM(L96:L$105))</f>
        <v>45.298069144071725</v>
      </c>
      <c r="W96" s="19">
        <f>CF_Gen_1[[#This Row],[Expected_Acquisition]]</f>
        <v>0</v>
      </c>
      <c r="X96" s="19">
        <f>-CF_Gen_1[[#This Row],[Probability_of_Inforce]]*CF_Gen_1[[#This Row],[Earned_Premium]]*(1-CF_Gen_1[[#This Row],[Cancellation_Ratio]])*CF_Gen_1[[#This Row],[PME_Ratio]]+CF_Gen_1[[#This Row],[ULAE_Ratio]]*CF_Gen_1[[#This Row],[Exp_Claim]]</f>
        <v>-674.08054206934389</v>
      </c>
      <c r="Y96" s="19">
        <f>-CF_Gen_1[[#This Row],[Probability_of_Inforce]]*CF_Gen_1[[#This Row],[Earned_Premium]]*(1-CF_Gen_1[[#This Row],[Cancellation_Ratio]])*CF_Gen_1[[#This Row],[Loss_Ratio]]</f>
        <v>-3029.5754699745794</v>
      </c>
      <c r="Z96" s="19">
        <f>CF_Gen_1[[#This Row],[Exp_Claim]]*CF_Gen_1[[#This Row],[Risk_Adjustment_Ratio]]</f>
        <v>-424.14056579644114</v>
      </c>
      <c r="AA96" s="19">
        <f>IF(CF_Gen_1[[#This Row],[Contract]]="RC",-CF_Gen_1[[#This Row],[NPR_Ratio]]*CF_Gen_1[[#This Row],[Exp_Claim]],0)</f>
        <v>0</v>
      </c>
      <c r="AB96" s="19">
        <f>SUMIFS(Actual_CF[Actual_Premium],Actual_CF[ICG],CF_Gen_1[[#This Row],[ICG]],Actual_CF[Incurred],CF_Gen_1[[#This Row],[Incurred]])</f>
        <v>0</v>
      </c>
      <c r="AC96" s="19">
        <f>SUMIFS(Actual_CF[Actual_Commission],Actual_CF[ICG],CF_Gen_1[[#This Row],[ICG]],Actual_CF[Incurred],CF_Gen_1[[#This Row],[Incurred]])</f>
        <v>0</v>
      </c>
      <c r="AD96" s="19">
        <f>SUMIFS(Actual_CF[Actual_Acquisition],Actual_CF[ICG],CF_Gen_1[[#This Row],[ICG]],Actual_CF[Incurred],CF_Gen_1[[#This Row],[Incurred]])</f>
        <v>0</v>
      </c>
    </row>
    <row r="97" spans="1:30">
      <c r="A97" t="str">
        <f t="shared" si="4"/>
        <v>#2024#IC-Property</v>
      </c>
      <c r="B97">
        <f>_xlfn.XLOOKUP(CF_Gen_1[[#This Row],[ICG]],ICG[ICG],ICG[Cohort])</f>
        <v>2024</v>
      </c>
      <c r="C97" t="str">
        <f>_xlfn.XLOOKUP(CF_Gen_1[[#This Row],[ICG]],ICG[ICG],ICG[Portfolio])</f>
        <v>IC-Property</v>
      </c>
      <c r="D97" t="str">
        <f>_xlfn.XLOOKUP(CF_Gen_1[[#This Row],[ICG]],ICG[ICG],ICG[Contract])</f>
        <v>IC</v>
      </c>
      <c r="E97" s="2">
        <f t="shared" si="3"/>
        <v>45930</v>
      </c>
      <c r="F97">
        <v>96</v>
      </c>
      <c r="G97" s="2">
        <f>EOMONTH(DATE(YEAR(CF_Gen_1[[#This Row],[Valuation]])-1,12,31),CF_Gen_1[[#This Row],['#Incurred]]*3)</f>
        <v>54423</v>
      </c>
      <c r="H97" s="14">
        <f>SUMIFS(Expected_CF[Expected_Premium],Expected_CF[ICG],CF_Gen_1[[#This Row],[ICG]],Expected_CF[Incurred],CF_Gen_1[[#This Row],[Incurred]])</f>
        <v>0</v>
      </c>
      <c r="I97" s="14">
        <f>SUMIFS(Expected_CF[Expected_Commission],Expected_CF[ICG],CF_Gen_1[[#This Row],[ICG]],Expected_CF[Incurred],CF_Gen_1[[#This Row],[Incurred]])</f>
        <v>0</v>
      </c>
      <c r="J97" s="14">
        <f>IF(CF_Gen_1[[#This Row],[Contract]]="IC",SUMIFS(Expected_CF[Expected_Acquisition],Expected_CF[ICG],CF_Gen_1[[#This Row],[ICG]],Expected_CF[Incurred],CF_Gen_1[[#This Row],[Incurred]]),0)</f>
        <v>0</v>
      </c>
      <c r="K97" s="14">
        <f>SUMIFS(Earned[Earned_Premium],Earned[ICG],CF_Gen_1[[#This Row],[ICG]],Earned[Incurred],CF_Gen_1[[#This Row],[Incurred]])</f>
        <v>0</v>
      </c>
      <c r="L97" s="14">
        <f>SUMIFS(Earned[Earned_Commission],Earned[ICG],CF_Gen_1[[#This Row],[ICG]],Earned[Incurred],CF_Gen_1[[#This Row],[Incurred]])</f>
        <v>0</v>
      </c>
      <c r="M97" s="18">
        <f>_xlfn.XLOOKUP(CF_Gen_1[[#This Row],[ICG]],Assumptions[ICG],Assumptions[Loss_Ratio])</f>
        <v>0.4</v>
      </c>
      <c r="N97" s="18">
        <f>_xlfn.XLOOKUP(CF_Gen_1[[#This Row],[ICG]],Assumptions[ICG],Assumptions[Risk_Adjustment_Ratio])</f>
        <v>0.14000000000000001</v>
      </c>
      <c r="O97" s="18">
        <f>_xlfn.XLOOKUP(CF_Gen_1[[#This Row],[ICG]],Assumptions[ICG],Assumptions[PME_Ratio])</f>
        <v>4.4999999999999998E-2</v>
      </c>
      <c r="P97" s="18">
        <f>_xlfn.XLOOKUP(CF_Gen_1[[#This Row],[ICG]],Assumptions[ICG],Assumptions[ULAE_Ratio])</f>
        <v>0.11</v>
      </c>
      <c r="Q97" s="18">
        <f>_xlfn.XLOOKUP(CF_Gen_1[[#This Row],[ICG]],Assumptions[ICG],Assumptions[Cancellation_Ratio])</f>
        <v>7.0000000000000007E-2</v>
      </c>
      <c r="R97" s="18">
        <f>_xlfn.XLOOKUP(CF_Gen_1[[#This Row],[ICG]],Assumptions[ICG],Assumptions[Premium_Refund_Ratio])</f>
        <v>0.5</v>
      </c>
      <c r="S97" s="18">
        <f>IF(CF_Gen_1[[#This Row],[Contract]]="RC",_xlfn.XLOOKUP(CF_Gen_1[[#This Row],[ICG]],Assumptions[ICG],Assumptions[NPR_Ratio]),0)</f>
        <v>0</v>
      </c>
      <c r="T97" s="17">
        <f>T96*(1-CF_Gen_1[[#This Row],[Cancellation_Ratio]])</f>
        <v>1.0136315332296764E-3</v>
      </c>
      <c r="U97" s="19">
        <f>IF(CF_Gen_1[[#This Row],[Incurred]]&lt;=CF_Gen_1[[#This Row],[Valuation]],CF_Gen_1[[#This Row],[Expected_Premium]],-CF_Gen_1[[#This Row],[Probability_of_Inforce]]*CF_Gen_1[[#This Row],[Premium_Refund_Ratio]]*CF_Gen_1[[#This Row],[Cancellation_Ratio]]*SUM(K97:K$105))</f>
        <v>0</v>
      </c>
      <c r="V97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Row],[Cancellation_Ratio]]*SUM(L97:L$105))</f>
        <v>0</v>
      </c>
      <c r="W97" s="19">
        <f>CF_Gen_1[[#This Row],[Expected_Acquisition]]</f>
        <v>0</v>
      </c>
      <c r="X97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97" s="19">
        <f>-CF_Gen_1[[#This Row],[Probability_of_Inforce]]*CF_Gen_1[[#This Row],[Earned_Premium]]*(1-CF_Gen_1[[#This Row],[Cancellation_Ratio]])*CF_Gen_1[[#This Row],[Loss_Ratio]]</f>
        <v>0</v>
      </c>
      <c r="Z97" s="19">
        <f>CF_Gen_1[[#This Row],[Exp_Claim]]*CF_Gen_1[[#This Row],[Risk_Adjustment_Ratio]]</f>
        <v>0</v>
      </c>
      <c r="AA97" s="19">
        <f>IF(CF_Gen_1[[#This Row],[Contract]]="RC",-CF_Gen_1[[#This Row],[NPR_Ratio]]*CF_Gen_1[[#This Row],[Exp_Claim]],0)</f>
        <v>0</v>
      </c>
      <c r="AB97" s="19">
        <f>SUMIFS(Actual_CF[Actual_Premium],Actual_CF[ICG],CF_Gen_1[[#This Row],[ICG]],Actual_CF[Incurred],CF_Gen_1[[#This Row],[Incurred]])</f>
        <v>0</v>
      </c>
      <c r="AC97" s="19">
        <f>SUMIFS(Actual_CF[Actual_Commission],Actual_CF[ICG],CF_Gen_1[[#This Row],[ICG]],Actual_CF[Incurred],CF_Gen_1[[#This Row],[Incurred]])</f>
        <v>0</v>
      </c>
      <c r="AD97" s="19">
        <f>SUMIFS(Actual_CF[Actual_Acquisition],Actual_CF[ICG],CF_Gen_1[[#This Row],[ICG]],Actual_CF[Incurred],CF_Gen_1[[#This Row],[Incurred]])</f>
        <v>0</v>
      </c>
    </row>
    <row r="98" spans="1:30">
      <c r="A98" t="str">
        <f t="shared" si="4"/>
        <v>#2024#IC-Property</v>
      </c>
      <c r="B98">
        <f>_xlfn.XLOOKUP(CF_Gen_1[[#This Row],[ICG]],ICG[ICG],ICG[Cohort])</f>
        <v>2024</v>
      </c>
      <c r="C98" t="str">
        <f>_xlfn.XLOOKUP(CF_Gen_1[[#This Row],[ICG]],ICG[ICG],ICG[Portfolio])</f>
        <v>IC-Property</v>
      </c>
      <c r="D98" t="str">
        <f>_xlfn.XLOOKUP(CF_Gen_1[[#This Row],[ICG]],ICG[ICG],ICG[Contract])</f>
        <v>IC</v>
      </c>
      <c r="E98" s="2">
        <f t="shared" si="3"/>
        <v>45930</v>
      </c>
      <c r="F98">
        <v>97</v>
      </c>
      <c r="G98" s="2">
        <f>EOMONTH(DATE(YEAR(CF_Gen_1[[#This Row],[Valuation]])-1,12,31),CF_Gen_1[[#This Row],['#Incurred]]*3)</f>
        <v>54513</v>
      </c>
      <c r="H98" s="14">
        <f>SUMIFS(Expected_CF[Expected_Premium],Expected_CF[ICG],CF_Gen_1[[#This Row],[ICG]],Expected_CF[Incurred],CF_Gen_1[[#This Row],[Incurred]])</f>
        <v>0</v>
      </c>
      <c r="I98" s="14">
        <f>SUMIFS(Expected_CF[Expected_Commission],Expected_CF[ICG],CF_Gen_1[[#This Row],[ICG]],Expected_CF[Incurred],CF_Gen_1[[#This Row],[Incurred]])</f>
        <v>0</v>
      </c>
      <c r="J98" s="14">
        <f>IF(CF_Gen_1[[#This Row],[Contract]]="IC",SUMIFS(Expected_CF[Expected_Acquisition],Expected_CF[ICG],CF_Gen_1[[#This Row],[ICG]],Expected_CF[Incurred],CF_Gen_1[[#This Row],[Incurred]]),0)</f>
        <v>0</v>
      </c>
      <c r="K98" s="14">
        <f>SUMIFS(Earned[Earned_Premium],Earned[ICG],CF_Gen_1[[#This Row],[ICG]],Earned[Incurred],CF_Gen_1[[#This Row],[Incurred]])</f>
        <v>0</v>
      </c>
      <c r="L98" s="14">
        <f>SUMIFS(Earned[Earned_Commission],Earned[ICG],CF_Gen_1[[#This Row],[ICG]],Earned[Incurred],CF_Gen_1[[#This Row],[Incurred]])</f>
        <v>0</v>
      </c>
      <c r="M98" s="18">
        <f>_xlfn.XLOOKUP(CF_Gen_1[[#This Row],[ICG]],Assumptions[ICG],Assumptions[Loss_Ratio])</f>
        <v>0.4</v>
      </c>
      <c r="N98" s="18">
        <f>_xlfn.XLOOKUP(CF_Gen_1[[#This Row],[ICG]],Assumptions[ICG],Assumptions[Risk_Adjustment_Ratio])</f>
        <v>0.14000000000000001</v>
      </c>
      <c r="O98" s="18">
        <f>_xlfn.XLOOKUP(CF_Gen_1[[#This Row],[ICG]],Assumptions[ICG],Assumptions[PME_Ratio])</f>
        <v>4.4999999999999998E-2</v>
      </c>
      <c r="P98" s="18">
        <f>_xlfn.XLOOKUP(CF_Gen_1[[#This Row],[ICG]],Assumptions[ICG],Assumptions[ULAE_Ratio])</f>
        <v>0.11</v>
      </c>
      <c r="Q98" s="18">
        <f>_xlfn.XLOOKUP(CF_Gen_1[[#This Row],[ICG]],Assumptions[ICG],Assumptions[Cancellation_Ratio])</f>
        <v>7.0000000000000007E-2</v>
      </c>
      <c r="R98" s="18">
        <f>_xlfn.XLOOKUP(CF_Gen_1[[#This Row],[ICG]],Assumptions[ICG],Assumptions[Premium_Refund_Ratio])</f>
        <v>0.5</v>
      </c>
      <c r="S98" s="18">
        <f>IF(CF_Gen_1[[#This Row],[Contract]]="RC",_xlfn.XLOOKUP(CF_Gen_1[[#This Row],[ICG]],Assumptions[ICG],Assumptions[NPR_Ratio]),0)</f>
        <v>0</v>
      </c>
      <c r="T98" s="17">
        <f>T97*(1-CF_Gen_1[[#This Row],[Cancellation_Ratio]])</f>
        <v>9.4267732590359898E-4</v>
      </c>
      <c r="U98" s="19">
        <f>IF(CF_Gen_1[[#This Row],[Incurred]]&lt;=CF_Gen_1[[#This Row],[Valuation]],CF_Gen_1[[#This Row],[Expected_Premium]],-CF_Gen_1[[#This Row],[Probability_of_Inforce]]*CF_Gen_1[[#This Row],[Premium_Refund_Ratio]]*CF_Gen_1[[#This Row],[Cancellation_Ratio]]*SUM(K98:K$105))</f>
        <v>0</v>
      </c>
      <c r="V98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Row],[Cancellation_Ratio]]*SUM(L98:L$105))</f>
        <v>0</v>
      </c>
      <c r="W98" s="19">
        <f>CF_Gen_1[[#This Row],[Expected_Acquisition]]</f>
        <v>0</v>
      </c>
      <c r="X98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98" s="19">
        <f>-CF_Gen_1[[#This Row],[Probability_of_Inforce]]*CF_Gen_1[[#This Row],[Earned_Premium]]*(1-CF_Gen_1[[#This Row],[Cancellation_Ratio]])*CF_Gen_1[[#This Row],[Loss_Ratio]]</f>
        <v>0</v>
      </c>
      <c r="Z98" s="19">
        <f>CF_Gen_1[[#This Row],[Exp_Claim]]*CF_Gen_1[[#This Row],[Risk_Adjustment_Ratio]]</f>
        <v>0</v>
      </c>
      <c r="AA98" s="19">
        <f>IF(CF_Gen_1[[#This Row],[Contract]]="RC",-CF_Gen_1[[#This Row],[NPR_Ratio]]*CF_Gen_1[[#This Row],[Exp_Claim]],0)</f>
        <v>0</v>
      </c>
      <c r="AB98" s="19">
        <f>SUMIFS(Actual_CF[Actual_Premium],Actual_CF[ICG],CF_Gen_1[[#This Row],[ICG]],Actual_CF[Incurred],CF_Gen_1[[#This Row],[Incurred]])</f>
        <v>0</v>
      </c>
      <c r="AC98" s="19">
        <f>SUMIFS(Actual_CF[Actual_Commission],Actual_CF[ICG],CF_Gen_1[[#This Row],[ICG]],Actual_CF[Incurred],CF_Gen_1[[#This Row],[Incurred]])</f>
        <v>0</v>
      </c>
      <c r="AD98" s="19">
        <f>SUMIFS(Actual_CF[Actual_Acquisition],Actual_CF[ICG],CF_Gen_1[[#This Row],[ICG]],Actual_CF[Incurred],CF_Gen_1[[#This Row],[Incurred]])</f>
        <v>0</v>
      </c>
    </row>
    <row r="99" spans="1:30">
      <c r="A99" t="str">
        <f t="shared" si="4"/>
        <v>#2024#IC-Property</v>
      </c>
      <c r="B99">
        <f>_xlfn.XLOOKUP(CF_Gen_1[[#This Row],[ICG]],ICG[ICG],ICG[Cohort])</f>
        <v>2024</v>
      </c>
      <c r="C99" t="str">
        <f>_xlfn.XLOOKUP(CF_Gen_1[[#This Row],[ICG]],ICG[ICG],ICG[Portfolio])</f>
        <v>IC-Property</v>
      </c>
      <c r="D99" t="str">
        <f>_xlfn.XLOOKUP(CF_Gen_1[[#This Row],[ICG]],ICG[ICG],ICG[Contract])</f>
        <v>IC</v>
      </c>
      <c r="E99" s="2">
        <f t="shared" si="3"/>
        <v>45930</v>
      </c>
      <c r="F99">
        <v>98</v>
      </c>
      <c r="G99" s="2">
        <f>EOMONTH(DATE(YEAR(CF_Gen_1[[#This Row],[Valuation]])-1,12,31),CF_Gen_1[[#This Row],['#Incurred]]*3)</f>
        <v>54604</v>
      </c>
      <c r="H99" s="14">
        <f>SUMIFS(Expected_CF[Expected_Premium],Expected_CF[ICG],CF_Gen_1[[#This Row],[ICG]],Expected_CF[Incurred],CF_Gen_1[[#This Row],[Incurred]])</f>
        <v>0</v>
      </c>
      <c r="I99" s="14">
        <f>SUMIFS(Expected_CF[Expected_Commission],Expected_CF[ICG],CF_Gen_1[[#This Row],[ICG]],Expected_CF[Incurred],CF_Gen_1[[#This Row],[Incurred]])</f>
        <v>0</v>
      </c>
      <c r="J99" s="14">
        <f>IF(CF_Gen_1[[#This Row],[Contract]]="IC",SUMIFS(Expected_CF[Expected_Acquisition],Expected_CF[ICG],CF_Gen_1[[#This Row],[ICG]],Expected_CF[Incurred],CF_Gen_1[[#This Row],[Incurred]]),0)</f>
        <v>0</v>
      </c>
      <c r="K99" s="14">
        <f>SUMIFS(Earned[Earned_Premium],Earned[ICG],CF_Gen_1[[#This Row],[ICG]],Earned[Incurred],CF_Gen_1[[#This Row],[Incurred]])</f>
        <v>0</v>
      </c>
      <c r="L99" s="14">
        <f>SUMIFS(Earned[Earned_Commission],Earned[ICG],CF_Gen_1[[#This Row],[ICG]],Earned[Incurred],CF_Gen_1[[#This Row],[Incurred]])</f>
        <v>0</v>
      </c>
      <c r="M99" s="18">
        <f>_xlfn.XLOOKUP(CF_Gen_1[[#This Row],[ICG]],Assumptions[ICG],Assumptions[Loss_Ratio])</f>
        <v>0.4</v>
      </c>
      <c r="N99" s="18">
        <f>_xlfn.XLOOKUP(CF_Gen_1[[#This Row],[ICG]],Assumptions[ICG],Assumptions[Risk_Adjustment_Ratio])</f>
        <v>0.14000000000000001</v>
      </c>
      <c r="O99" s="18">
        <f>_xlfn.XLOOKUP(CF_Gen_1[[#This Row],[ICG]],Assumptions[ICG],Assumptions[PME_Ratio])</f>
        <v>4.4999999999999998E-2</v>
      </c>
      <c r="P99" s="18">
        <f>_xlfn.XLOOKUP(CF_Gen_1[[#This Row],[ICG]],Assumptions[ICG],Assumptions[ULAE_Ratio])</f>
        <v>0.11</v>
      </c>
      <c r="Q99" s="18">
        <f>_xlfn.XLOOKUP(CF_Gen_1[[#This Row],[ICG]],Assumptions[ICG],Assumptions[Cancellation_Ratio])</f>
        <v>7.0000000000000007E-2</v>
      </c>
      <c r="R99" s="18">
        <f>_xlfn.XLOOKUP(CF_Gen_1[[#This Row],[ICG]],Assumptions[ICG],Assumptions[Premium_Refund_Ratio])</f>
        <v>0.5</v>
      </c>
      <c r="S99" s="18">
        <f>IF(CF_Gen_1[[#This Row],[Contract]]="RC",_xlfn.XLOOKUP(CF_Gen_1[[#This Row],[ICG]],Assumptions[ICG],Assumptions[NPR_Ratio]),0)</f>
        <v>0</v>
      </c>
      <c r="T99" s="17">
        <f>T98*(1-CF_Gen_1[[#This Row],[Cancellation_Ratio]])</f>
        <v>8.7668991309034698E-4</v>
      </c>
      <c r="U99" s="19">
        <f>IF(CF_Gen_1[[#This Row],[Incurred]]&lt;=CF_Gen_1[[#This Row],[Valuation]],CF_Gen_1[[#This Row],[Expected_Premium]],-CF_Gen_1[[#This Row],[Probability_of_Inforce]]*CF_Gen_1[[#This Row],[Premium_Refund_Ratio]]*CF_Gen_1[[#This Row],[Cancellation_Ratio]]*SUM(K99:K$105))</f>
        <v>0</v>
      </c>
      <c r="V99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Row],[Cancellation_Ratio]]*SUM(L99:L$105))</f>
        <v>0</v>
      </c>
      <c r="W99" s="19">
        <f>CF_Gen_1[[#This Row],[Expected_Acquisition]]</f>
        <v>0</v>
      </c>
      <c r="X99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99" s="19">
        <f>-CF_Gen_1[[#This Row],[Probability_of_Inforce]]*CF_Gen_1[[#This Row],[Earned_Premium]]*(1-CF_Gen_1[[#This Row],[Cancellation_Ratio]])*CF_Gen_1[[#This Row],[Loss_Ratio]]</f>
        <v>0</v>
      </c>
      <c r="Z99" s="19">
        <f>CF_Gen_1[[#This Row],[Exp_Claim]]*CF_Gen_1[[#This Row],[Risk_Adjustment_Ratio]]</f>
        <v>0</v>
      </c>
      <c r="AA99" s="19">
        <f>IF(CF_Gen_1[[#This Row],[Contract]]="RC",-CF_Gen_1[[#This Row],[NPR_Ratio]]*CF_Gen_1[[#This Row],[Exp_Claim]],0)</f>
        <v>0</v>
      </c>
      <c r="AB99" s="19">
        <f>SUMIFS(Actual_CF[Actual_Premium],Actual_CF[ICG],CF_Gen_1[[#This Row],[ICG]],Actual_CF[Incurred],CF_Gen_1[[#This Row],[Incurred]])</f>
        <v>0</v>
      </c>
      <c r="AC99" s="19">
        <f>SUMIFS(Actual_CF[Actual_Commission],Actual_CF[ICG],CF_Gen_1[[#This Row],[ICG]],Actual_CF[Incurred],CF_Gen_1[[#This Row],[Incurred]])</f>
        <v>0</v>
      </c>
      <c r="AD99" s="19">
        <f>SUMIFS(Actual_CF[Actual_Acquisition],Actual_CF[ICG],CF_Gen_1[[#This Row],[ICG]],Actual_CF[Incurred],CF_Gen_1[[#This Row],[Incurred]])</f>
        <v>0</v>
      </c>
    </row>
    <row r="100" spans="1:30">
      <c r="A100" t="str">
        <f t="shared" si="4"/>
        <v>#2024#IC-Property</v>
      </c>
      <c r="B100">
        <f>_xlfn.XLOOKUP(CF_Gen_1[[#This Row],[ICG]],ICG[ICG],ICG[Cohort])</f>
        <v>2024</v>
      </c>
      <c r="C100" t="str">
        <f>_xlfn.XLOOKUP(CF_Gen_1[[#This Row],[ICG]],ICG[ICG],ICG[Portfolio])</f>
        <v>IC-Property</v>
      </c>
      <c r="D100" t="str">
        <f>_xlfn.XLOOKUP(CF_Gen_1[[#This Row],[ICG]],ICG[ICG],ICG[Contract])</f>
        <v>IC</v>
      </c>
      <c r="E100" s="2">
        <f t="shared" si="3"/>
        <v>45930</v>
      </c>
      <c r="F100">
        <v>99</v>
      </c>
      <c r="G100" s="2">
        <f>EOMONTH(DATE(YEAR(CF_Gen_1[[#This Row],[Valuation]])-1,12,31),CF_Gen_1[[#This Row],['#Incurred]]*3)</f>
        <v>54696</v>
      </c>
      <c r="H100" s="14">
        <f>SUMIFS(Expected_CF[Expected_Premium],Expected_CF[ICG],CF_Gen_1[[#This Row],[ICG]],Expected_CF[Incurred],CF_Gen_1[[#This Row],[Incurred]])</f>
        <v>0</v>
      </c>
      <c r="I100" s="14">
        <f>SUMIFS(Expected_CF[Expected_Commission],Expected_CF[ICG],CF_Gen_1[[#This Row],[ICG]],Expected_CF[Incurred],CF_Gen_1[[#This Row],[Incurred]])</f>
        <v>0</v>
      </c>
      <c r="J100" s="14">
        <f>IF(CF_Gen_1[[#This Row],[Contract]]="IC",SUMIFS(Expected_CF[Expected_Acquisition],Expected_CF[ICG],CF_Gen_1[[#This Row],[ICG]],Expected_CF[Incurred],CF_Gen_1[[#This Row],[Incurred]]),0)</f>
        <v>0</v>
      </c>
      <c r="K100" s="14">
        <f>SUMIFS(Earned[Earned_Premium],Earned[ICG],CF_Gen_1[[#This Row],[ICG]],Earned[Incurred],CF_Gen_1[[#This Row],[Incurred]])</f>
        <v>0</v>
      </c>
      <c r="L100" s="14">
        <f>SUMIFS(Earned[Earned_Commission],Earned[ICG],CF_Gen_1[[#This Row],[ICG]],Earned[Incurred],CF_Gen_1[[#This Row],[Incurred]])</f>
        <v>0</v>
      </c>
      <c r="M100" s="18">
        <f>_xlfn.XLOOKUP(CF_Gen_1[[#This Row],[ICG]],Assumptions[ICG],Assumptions[Loss_Ratio])</f>
        <v>0.4</v>
      </c>
      <c r="N100" s="18">
        <f>_xlfn.XLOOKUP(CF_Gen_1[[#This Row],[ICG]],Assumptions[ICG],Assumptions[Risk_Adjustment_Ratio])</f>
        <v>0.14000000000000001</v>
      </c>
      <c r="O100" s="18">
        <f>_xlfn.XLOOKUP(CF_Gen_1[[#This Row],[ICG]],Assumptions[ICG],Assumptions[PME_Ratio])</f>
        <v>4.4999999999999998E-2</v>
      </c>
      <c r="P100" s="18">
        <f>_xlfn.XLOOKUP(CF_Gen_1[[#This Row],[ICG]],Assumptions[ICG],Assumptions[ULAE_Ratio])</f>
        <v>0.11</v>
      </c>
      <c r="Q100" s="18">
        <f>_xlfn.XLOOKUP(CF_Gen_1[[#This Row],[ICG]],Assumptions[ICG],Assumptions[Cancellation_Ratio])</f>
        <v>7.0000000000000007E-2</v>
      </c>
      <c r="R100" s="18">
        <f>_xlfn.XLOOKUP(CF_Gen_1[[#This Row],[ICG]],Assumptions[ICG],Assumptions[Premium_Refund_Ratio])</f>
        <v>0.5</v>
      </c>
      <c r="S100" s="18">
        <f>IF(CF_Gen_1[[#This Row],[Contract]]="RC",_xlfn.XLOOKUP(CF_Gen_1[[#This Row],[ICG]],Assumptions[ICG],Assumptions[NPR_Ratio]),0)</f>
        <v>0</v>
      </c>
      <c r="T100" s="17">
        <f>T99*(1-CF_Gen_1[[#This Row],[Cancellation_Ratio]])</f>
        <v>8.1532161917402264E-4</v>
      </c>
      <c r="U100" s="19">
        <f>IF(CF_Gen_1[[#This Row],[Incurred]]&lt;=CF_Gen_1[[#This Row],[Valuation]],CF_Gen_1[[#This Row],[Expected_Premium]],-CF_Gen_1[[#This Row],[Probability_of_Inforce]]*CF_Gen_1[[#This Row],[Premium_Refund_Ratio]]*CF_Gen_1[[#This Row],[Cancellation_Ratio]]*SUM(K100:K$105))</f>
        <v>0</v>
      </c>
      <c r="V100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Row],[Cancellation_Ratio]]*SUM(L100:L$105))</f>
        <v>0</v>
      </c>
      <c r="W100" s="19">
        <f>CF_Gen_1[[#This Row],[Expected_Acquisition]]</f>
        <v>0</v>
      </c>
      <c r="X100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100" s="19">
        <f>-CF_Gen_1[[#This Row],[Probability_of_Inforce]]*CF_Gen_1[[#This Row],[Earned_Premium]]*(1-CF_Gen_1[[#This Row],[Cancellation_Ratio]])*CF_Gen_1[[#This Row],[Loss_Ratio]]</f>
        <v>0</v>
      </c>
      <c r="Z100" s="19">
        <f>CF_Gen_1[[#This Row],[Exp_Claim]]*CF_Gen_1[[#This Row],[Risk_Adjustment_Ratio]]</f>
        <v>0</v>
      </c>
      <c r="AA100" s="19">
        <f>IF(CF_Gen_1[[#This Row],[Contract]]="RC",-CF_Gen_1[[#This Row],[NPR_Ratio]]*CF_Gen_1[[#This Row],[Exp_Claim]],0)</f>
        <v>0</v>
      </c>
      <c r="AB100" s="19">
        <f>SUMIFS(Actual_CF[Actual_Premium],Actual_CF[ICG],CF_Gen_1[[#This Row],[ICG]],Actual_CF[Incurred],CF_Gen_1[[#This Row],[Incurred]])</f>
        <v>0</v>
      </c>
      <c r="AC100" s="19">
        <f>SUMIFS(Actual_CF[Actual_Commission],Actual_CF[ICG],CF_Gen_1[[#This Row],[ICG]],Actual_CF[Incurred],CF_Gen_1[[#This Row],[Incurred]])</f>
        <v>0</v>
      </c>
      <c r="AD100" s="19">
        <f>SUMIFS(Actual_CF[Actual_Acquisition],Actual_CF[ICG],CF_Gen_1[[#This Row],[ICG]],Actual_CF[Incurred],CF_Gen_1[[#This Row],[Incurred]])</f>
        <v>0</v>
      </c>
    </row>
    <row r="101" spans="1:30">
      <c r="A101" t="str">
        <f t="shared" si="4"/>
        <v>#2024#IC-Property</v>
      </c>
      <c r="B101">
        <f>_xlfn.XLOOKUP(CF_Gen_1[[#This Row],[ICG]],ICG[ICG],ICG[Cohort])</f>
        <v>2024</v>
      </c>
      <c r="C101" t="str">
        <f>_xlfn.XLOOKUP(CF_Gen_1[[#This Row],[ICG]],ICG[ICG],ICG[Portfolio])</f>
        <v>IC-Property</v>
      </c>
      <c r="D101" t="str">
        <f>_xlfn.XLOOKUP(CF_Gen_1[[#This Row],[ICG]],ICG[ICG],ICG[Contract])</f>
        <v>IC</v>
      </c>
      <c r="E101" s="2">
        <f t="shared" si="3"/>
        <v>45930</v>
      </c>
      <c r="F101">
        <v>100</v>
      </c>
      <c r="G101" s="2">
        <f>EOMONTH(DATE(YEAR(CF_Gen_1[[#This Row],[Valuation]])-1,12,31),CF_Gen_1[[#This Row],['#Incurred]]*3)</f>
        <v>54788</v>
      </c>
      <c r="H101" s="14">
        <f>SUMIFS(Expected_CF[Expected_Premium],Expected_CF[ICG],CF_Gen_1[[#This Row],[ICG]],Expected_CF[Incurred],CF_Gen_1[[#This Row],[Incurred]])</f>
        <v>0</v>
      </c>
      <c r="I101" s="14">
        <f>SUMIFS(Expected_CF[Expected_Commission],Expected_CF[ICG],CF_Gen_1[[#This Row],[ICG]],Expected_CF[Incurred],CF_Gen_1[[#This Row],[Incurred]])</f>
        <v>0</v>
      </c>
      <c r="J101" s="14">
        <f>IF(CF_Gen_1[[#This Row],[Contract]]="IC",SUMIFS(Expected_CF[Expected_Acquisition],Expected_CF[ICG],CF_Gen_1[[#This Row],[ICG]],Expected_CF[Incurred],CF_Gen_1[[#This Row],[Incurred]]),0)</f>
        <v>0</v>
      </c>
      <c r="K101" s="14">
        <f>SUMIFS(Earned[Earned_Premium],Earned[ICG],CF_Gen_1[[#This Row],[ICG]],Earned[Incurred],CF_Gen_1[[#This Row],[Incurred]])</f>
        <v>0</v>
      </c>
      <c r="L101" s="14">
        <f>SUMIFS(Earned[Earned_Commission],Earned[ICG],CF_Gen_1[[#This Row],[ICG]],Earned[Incurred],CF_Gen_1[[#This Row],[Incurred]])</f>
        <v>0</v>
      </c>
      <c r="M101" s="18">
        <f>_xlfn.XLOOKUP(CF_Gen_1[[#This Row],[ICG]],Assumptions[ICG],Assumptions[Loss_Ratio])</f>
        <v>0.4</v>
      </c>
      <c r="N101" s="18">
        <f>_xlfn.XLOOKUP(CF_Gen_1[[#This Row],[ICG]],Assumptions[ICG],Assumptions[Risk_Adjustment_Ratio])</f>
        <v>0.14000000000000001</v>
      </c>
      <c r="O101" s="18">
        <f>_xlfn.XLOOKUP(CF_Gen_1[[#This Row],[ICG]],Assumptions[ICG],Assumptions[PME_Ratio])</f>
        <v>4.4999999999999998E-2</v>
      </c>
      <c r="P101" s="18">
        <f>_xlfn.XLOOKUP(CF_Gen_1[[#This Row],[ICG]],Assumptions[ICG],Assumptions[ULAE_Ratio])</f>
        <v>0.11</v>
      </c>
      <c r="Q101" s="18">
        <f>_xlfn.XLOOKUP(CF_Gen_1[[#This Row],[ICG]],Assumptions[ICG],Assumptions[Cancellation_Ratio])</f>
        <v>7.0000000000000007E-2</v>
      </c>
      <c r="R101" s="18">
        <f>_xlfn.XLOOKUP(CF_Gen_1[[#This Row],[ICG]],Assumptions[ICG],Assumptions[Premium_Refund_Ratio])</f>
        <v>0.5</v>
      </c>
      <c r="S101" s="18">
        <f>IF(CF_Gen_1[[#This Row],[Contract]]="RC",_xlfn.XLOOKUP(CF_Gen_1[[#This Row],[ICG]],Assumptions[ICG],Assumptions[NPR_Ratio]),0)</f>
        <v>0</v>
      </c>
      <c r="T101" s="17">
        <f>T100*(1-CF_Gen_1[[#This Row],[Cancellation_Ratio]])</f>
        <v>7.5824910583184102E-4</v>
      </c>
      <c r="U101" s="19">
        <f>IF(CF_Gen_1[[#This Row],[Incurred]]&lt;=CF_Gen_1[[#This Row],[Valuation]],CF_Gen_1[[#This Row],[Expected_Premium]],-CF_Gen_1[[#This Row],[Probability_of_Inforce]]*CF_Gen_1[[#This Row],[Premium_Refund_Ratio]]*CF_Gen_1[[#This Row],[Cancellation_Ratio]]*SUM(K101:K$105))</f>
        <v>0</v>
      </c>
      <c r="V101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Row],[Cancellation_Ratio]]*SUM(L101:L$105))</f>
        <v>0</v>
      </c>
      <c r="W101" s="19">
        <f>CF_Gen_1[[#This Row],[Expected_Acquisition]]</f>
        <v>0</v>
      </c>
      <c r="X101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101" s="19">
        <f>-CF_Gen_1[[#This Row],[Probability_of_Inforce]]*CF_Gen_1[[#This Row],[Earned_Premium]]*(1-CF_Gen_1[[#This Row],[Cancellation_Ratio]])*CF_Gen_1[[#This Row],[Loss_Ratio]]</f>
        <v>0</v>
      </c>
      <c r="Z101" s="19">
        <f>CF_Gen_1[[#This Row],[Exp_Claim]]*CF_Gen_1[[#This Row],[Risk_Adjustment_Ratio]]</f>
        <v>0</v>
      </c>
      <c r="AA101" s="19">
        <f>IF(CF_Gen_1[[#This Row],[Contract]]="RC",-CF_Gen_1[[#This Row],[NPR_Ratio]]*CF_Gen_1[[#This Row],[Exp_Claim]],0)</f>
        <v>0</v>
      </c>
      <c r="AB101" s="19">
        <f>SUMIFS(Actual_CF[Actual_Premium],Actual_CF[ICG],CF_Gen_1[[#This Row],[ICG]],Actual_CF[Incurred],CF_Gen_1[[#This Row],[Incurred]])</f>
        <v>0</v>
      </c>
      <c r="AC101" s="19">
        <f>SUMIFS(Actual_CF[Actual_Commission],Actual_CF[ICG],CF_Gen_1[[#This Row],[ICG]],Actual_CF[Incurred],CF_Gen_1[[#This Row],[Incurred]])</f>
        <v>0</v>
      </c>
      <c r="AD101" s="19">
        <f>SUMIFS(Actual_CF[Actual_Acquisition],Actual_CF[ICG],CF_Gen_1[[#This Row],[ICG]],Actual_CF[Incurred],CF_Gen_1[[#This Row],[Incurred]])</f>
        <v>0</v>
      </c>
    </row>
    <row r="102" spans="1:30">
      <c r="A102" t="str">
        <f t="shared" ref="A102:A105" si="5">A101</f>
        <v>#2024#IC-Property</v>
      </c>
      <c r="B102">
        <f>_xlfn.XLOOKUP(CF_Gen_1[[#This Row],[ICG]],ICG[ICG],ICG[Cohort])</f>
        <v>2024</v>
      </c>
      <c r="C102" t="str">
        <f>_xlfn.XLOOKUP(CF_Gen_1[[#This Row],[ICG]],ICG[ICG],ICG[Portfolio])</f>
        <v>IC-Property</v>
      </c>
      <c r="D102" t="str">
        <f>_xlfn.XLOOKUP(CF_Gen_1[[#This Row],[ICG]],ICG[ICG],ICG[Contract])</f>
        <v>IC</v>
      </c>
      <c r="E102" s="2">
        <f t="shared" si="3"/>
        <v>45930</v>
      </c>
      <c r="F102">
        <v>101</v>
      </c>
      <c r="G102" s="2">
        <f>EOMONTH(DATE(YEAR(CF_Gen_1[[#This Row],[Valuation]])-1,12,31),CF_Gen_1[[#This Row],['#Incurred]]*3)</f>
        <v>54878</v>
      </c>
      <c r="H102" s="14">
        <f>SUMIFS(Expected_CF[Expected_Premium],Expected_CF[ICG],CF_Gen_1[[#This Row],[ICG]],Expected_CF[Incurred],CF_Gen_1[[#This Row],[Incurred]])</f>
        <v>0</v>
      </c>
      <c r="I102" s="14">
        <f>SUMIFS(Expected_CF[Expected_Commission],Expected_CF[ICG],CF_Gen_1[[#This Row],[ICG]],Expected_CF[Incurred],CF_Gen_1[[#This Row],[Incurred]])</f>
        <v>0</v>
      </c>
      <c r="J102" s="14">
        <f>IF(CF_Gen_1[[#This Row],[Contract]]="IC",SUMIFS(Expected_CF[Expected_Acquisition],Expected_CF[ICG],CF_Gen_1[[#This Row],[ICG]],Expected_CF[Incurred],CF_Gen_1[[#This Row],[Incurred]]),0)</f>
        <v>0</v>
      </c>
      <c r="K102" s="14">
        <f>SUMIFS(Earned[Earned_Premium],Earned[ICG],CF_Gen_1[[#This Row],[ICG]],Earned[Incurred],CF_Gen_1[[#This Row],[Incurred]])</f>
        <v>0</v>
      </c>
      <c r="L102" s="14">
        <f>SUMIFS(Earned[Earned_Commission],Earned[ICG],CF_Gen_1[[#This Row],[ICG]],Earned[Incurred],CF_Gen_1[[#This Row],[Incurred]])</f>
        <v>0</v>
      </c>
      <c r="M102" s="18">
        <f>_xlfn.XLOOKUP(CF_Gen_1[[#This Row],[ICG]],Assumptions[ICG],Assumptions[Loss_Ratio])</f>
        <v>0.4</v>
      </c>
      <c r="N102" s="18">
        <f>_xlfn.XLOOKUP(CF_Gen_1[[#This Row],[ICG]],Assumptions[ICG],Assumptions[Risk_Adjustment_Ratio])</f>
        <v>0.14000000000000001</v>
      </c>
      <c r="O102" s="18">
        <f>_xlfn.XLOOKUP(CF_Gen_1[[#This Row],[ICG]],Assumptions[ICG],Assumptions[PME_Ratio])</f>
        <v>4.4999999999999998E-2</v>
      </c>
      <c r="P102" s="18">
        <f>_xlfn.XLOOKUP(CF_Gen_1[[#This Row],[ICG]],Assumptions[ICG],Assumptions[ULAE_Ratio])</f>
        <v>0.11</v>
      </c>
      <c r="Q102" s="18">
        <f>_xlfn.XLOOKUP(CF_Gen_1[[#This Row],[ICG]],Assumptions[ICG],Assumptions[Cancellation_Ratio])</f>
        <v>7.0000000000000007E-2</v>
      </c>
      <c r="R102" s="18">
        <f>_xlfn.XLOOKUP(CF_Gen_1[[#This Row],[ICG]],Assumptions[ICG],Assumptions[Premium_Refund_Ratio])</f>
        <v>0.5</v>
      </c>
      <c r="S102" s="18">
        <f>IF(CF_Gen_1[[#This Row],[Contract]]="RC",_xlfn.XLOOKUP(CF_Gen_1[[#This Row],[ICG]],Assumptions[ICG],Assumptions[NPR_Ratio]),0)</f>
        <v>0</v>
      </c>
      <c r="T102" s="17">
        <f>T101*(1-CF_Gen_1[[#This Row],[Cancellation_Ratio]])</f>
        <v>7.0517166842361213E-4</v>
      </c>
      <c r="U102" s="19">
        <f>IF(CF_Gen_1[[#This Row],[Incurred]]&lt;=CF_Gen_1[[#This Row],[Valuation]],CF_Gen_1[[#This Row],[Expected_Premium]],-CF_Gen_1[[#This Row],[Probability_of_Inforce]]*CF_Gen_1[[#This Row],[Premium_Refund_Ratio]]*CF_Gen_1[[#This Row],[Cancellation_Ratio]]*SUM(K102:K$105))</f>
        <v>0</v>
      </c>
      <c r="V102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Row],[Cancellation_Ratio]]*SUM(L102:L$105))</f>
        <v>0</v>
      </c>
      <c r="W102" s="19">
        <f>CF_Gen_1[[#This Row],[Expected_Acquisition]]</f>
        <v>0</v>
      </c>
      <c r="X102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102" s="19">
        <f>-CF_Gen_1[[#This Row],[Probability_of_Inforce]]*CF_Gen_1[[#This Row],[Earned_Premium]]*(1-CF_Gen_1[[#This Row],[Cancellation_Ratio]])*CF_Gen_1[[#This Row],[Loss_Ratio]]</f>
        <v>0</v>
      </c>
      <c r="Z102" s="19">
        <f>CF_Gen_1[[#This Row],[Exp_Claim]]*CF_Gen_1[[#This Row],[Risk_Adjustment_Ratio]]</f>
        <v>0</v>
      </c>
      <c r="AA102" s="19">
        <f>IF(CF_Gen_1[[#This Row],[Contract]]="RC",-CF_Gen_1[[#This Row],[NPR_Ratio]]*CF_Gen_1[[#This Row],[Exp_Claim]],0)</f>
        <v>0</v>
      </c>
      <c r="AB102" s="19">
        <f>SUMIFS(Actual_CF[Actual_Premium],Actual_CF[ICG],CF_Gen_1[[#This Row],[ICG]],Actual_CF[Incurred],CF_Gen_1[[#This Row],[Incurred]])</f>
        <v>0</v>
      </c>
      <c r="AC102" s="19">
        <f>SUMIFS(Actual_CF[Actual_Commission],Actual_CF[ICG],CF_Gen_1[[#This Row],[ICG]],Actual_CF[Incurred],CF_Gen_1[[#This Row],[Incurred]])</f>
        <v>0</v>
      </c>
      <c r="AD102" s="19">
        <f>SUMIFS(Actual_CF[Actual_Acquisition],Actual_CF[ICG],CF_Gen_1[[#This Row],[ICG]],Actual_CF[Incurred],CF_Gen_1[[#This Row],[Incurred]])</f>
        <v>0</v>
      </c>
    </row>
    <row r="103" spans="1:30">
      <c r="A103" t="str">
        <f t="shared" si="5"/>
        <v>#2024#IC-Property</v>
      </c>
      <c r="B103">
        <f>_xlfn.XLOOKUP(CF_Gen_1[[#This Row],[ICG]],ICG[ICG],ICG[Cohort])</f>
        <v>2024</v>
      </c>
      <c r="C103" t="str">
        <f>_xlfn.XLOOKUP(CF_Gen_1[[#This Row],[ICG]],ICG[ICG],ICG[Portfolio])</f>
        <v>IC-Property</v>
      </c>
      <c r="D103" t="str">
        <f>_xlfn.XLOOKUP(CF_Gen_1[[#This Row],[ICG]],ICG[ICG],ICG[Contract])</f>
        <v>IC</v>
      </c>
      <c r="E103" s="2">
        <f t="shared" si="3"/>
        <v>45930</v>
      </c>
      <c r="F103">
        <v>102</v>
      </c>
      <c r="G103" s="2">
        <f>EOMONTH(DATE(YEAR(CF_Gen_1[[#This Row],[Valuation]])-1,12,31),CF_Gen_1[[#This Row],['#Incurred]]*3)</f>
        <v>54969</v>
      </c>
      <c r="H103" s="14">
        <f>SUMIFS(Expected_CF[Expected_Premium],Expected_CF[ICG],CF_Gen_1[[#This Row],[ICG]],Expected_CF[Incurred],CF_Gen_1[[#This Row],[Incurred]])</f>
        <v>0</v>
      </c>
      <c r="I103" s="14">
        <f>SUMIFS(Expected_CF[Expected_Commission],Expected_CF[ICG],CF_Gen_1[[#This Row],[ICG]],Expected_CF[Incurred],CF_Gen_1[[#This Row],[Incurred]])</f>
        <v>0</v>
      </c>
      <c r="J103" s="14">
        <f>IF(CF_Gen_1[[#This Row],[Contract]]="IC",SUMIFS(Expected_CF[Expected_Acquisition],Expected_CF[ICG],CF_Gen_1[[#This Row],[ICG]],Expected_CF[Incurred],CF_Gen_1[[#This Row],[Incurred]]),0)</f>
        <v>0</v>
      </c>
      <c r="K103" s="14">
        <f>SUMIFS(Earned[Earned_Premium],Earned[ICG],CF_Gen_1[[#This Row],[ICG]],Earned[Incurred],CF_Gen_1[[#This Row],[Incurred]])</f>
        <v>0</v>
      </c>
      <c r="L103" s="14">
        <f>SUMIFS(Earned[Earned_Commission],Earned[ICG],CF_Gen_1[[#This Row],[ICG]],Earned[Incurred],CF_Gen_1[[#This Row],[Incurred]])</f>
        <v>0</v>
      </c>
      <c r="M103" s="18">
        <f>_xlfn.XLOOKUP(CF_Gen_1[[#This Row],[ICG]],Assumptions[ICG],Assumptions[Loss_Ratio])</f>
        <v>0.4</v>
      </c>
      <c r="N103" s="18">
        <f>_xlfn.XLOOKUP(CF_Gen_1[[#This Row],[ICG]],Assumptions[ICG],Assumptions[Risk_Adjustment_Ratio])</f>
        <v>0.14000000000000001</v>
      </c>
      <c r="O103" s="18">
        <f>_xlfn.XLOOKUP(CF_Gen_1[[#This Row],[ICG]],Assumptions[ICG],Assumptions[PME_Ratio])</f>
        <v>4.4999999999999998E-2</v>
      </c>
      <c r="P103" s="18">
        <f>_xlfn.XLOOKUP(CF_Gen_1[[#This Row],[ICG]],Assumptions[ICG],Assumptions[ULAE_Ratio])</f>
        <v>0.11</v>
      </c>
      <c r="Q103" s="18">
        <f>_xlfn.XLOOKUP(CF_Gen_1[[#This Row],[ICG]],Assumptions[ICG],Assumptions[Cancellation_Ratio])</f>
        <v>7.0000000000000007E-2</v>
      </c>
      <c r="R103" s="18">
        <f>_xlfn.XLOOKUP(CF_Gen_1[[#This Row],[ICG]],Assumptions[ICG],Assumptions[Premium_Refund_Ratio])</f>
        <v>0.5</v>
      </c>
      <c r="S103" s="18">
        <f>IF(CF_Gen_1[[#This Row],[Contract]]="RC",_xlfn.XLOOKUP(CF_Gen_1[[#This Row],[ICG]],Assumptions[ICG],Assumptions[NPR_Ratio]),0)</f>
        <v>0</v>
      </c>
      <c r="T103" s="17">
        <f>T102*(1-CF_Gen_1[[#This Row],[Cancellation_Ratio]])</f>
        <v>6.5580965163395928E-4</v>
      </c>
      <c r="U103" s="19">
        <f>IF(CF_Gen_1[[#This Row],[Incurred]]&lt;=CF_Gen_1[[#This Row],[Valuation]],CF_Gen_1[[#This Row],[Expected_Premium]],-CF_Gen_1[[#This Row],[Probability_of_Inforce]]*CF_Gen_1[[#This Row],[Premium_Refund_Ratio]]*CF_Gen_1[[#This Row],[Cancellation_Ratio]]*SUM(K103:K$105))</f>
        <v>0</v>
      </c>
      <c r="V103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Row],[Cancellation_Ratio]]*SUM(L103:L$105))</f>
        <v>0</v>
      </c>
      <c r="W103" s="19">
        <f>CF_Gen_1[[#This Row],[Expected_Acquisition]]</f>
        <v>0</v>
      </c>
      <c r="X103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103" s="19">
        <f>-CF_Gen_1[[#This Row],[Probability_of_Inforce]]*CF_Gen_1[[#This Row],[Earned_Premium]]*(1-CF_Gen_1[[#This Row],[Cancellation_Ratio]])*CF_Gen_1[[#This Row],[Loss_Ratio]]</f>
        <v>0</v>
      </c>
      <c r="Z103" s="19">
        <f>CF_Gen_1[[#This Row],[Exp_Claim]]*CF_Gen_1[[#This Row],[Risk_Adjustment_Ratio]]</f>
        <v>0</v>
      </c>
      <c r="AA103" s="19">
        <f>IF(CF_Gen_1[[#This Row],[Contract]]="RC",-CF_Gen_1[[#This Row],[NPR_Ratio]]*CF_Gen_1[[#This Row],[Exp_Claim]],0)</f>
        <v>0</v>
      </c>
      <c r="AB103" s="19">
        <f>SUMIFS(Actual_CF[Actual_Premium],Actual_CF[ICG],CF_Gen_1[[#This Row],[ICG]],Actual_CF[Incurred],CF_Gen_1[[#This Row],[Incurred]])</f>
        <v>0</v>
      </c>
      <c r="AC103" s="19">
        <f>SUMIFS(Actual_CF[Actual_Commission],Actual_CF[ICG],CF_Gen_1[[#This Row],[ICG]],Actual_CF[Incurred],CF_Gen_1[[#This Row],[Incurred]])</f>
        <v>0</v>
      </c>
      <c r="AD103" s="19">
        <f>SUMIFS(Actual_CF[Actual_Acquisition],Actual_CF[ICG],CF_Gen_1[[#This Row],[ICG]],Actual_CF[Incurred],CF_Gen_1[[#This Row],[Incurred]])</f>
        <v>0</v>
      </c>
    </row>
    <row r="104" spans="1:30">
      <c r="A104" t="str">
        <f t="shared" si="5"/>
        <v>#2024#IC-Property</v>
      </c>
      <c r="B104">
        <f>_xlfn.XLOOKUP(CF_Gen_1[[#This Row],[ICG]],ICG[ICG],ICG[Cohort])</f>
        <v>2024</v>
      </c>
      <c r="C104" t="str">
        <f>_xlfn.XLOOKUP(CF_Gen_1[[#This Row],[ICG]],ICG[ICG],ICG[Portfolio])</f>
        <v>IC-Property</v>
      </c>
      <c r="D104" t="str">
        <f>_xlfn.XLOOKUP(CF_Gen_1[[#This Row],[ICG]],ICG[ICG],ICG[Contract])</f>
        <v>IC</v>
      </c>
      <c r="E104" s="2">
        <f t="shared" si="3"/>
        <v>45930</v>
      </c>
      <c r="F104">
        <v>103</v>
      </c>
      <c r="G104" s="2">
        <f>EOMONTH(DATE(YEAR(CF_Gen_1[[#This Row],[Valuation]])-1,12,31),CF_Gen_1[[#This Row],['#Incurred]]*3)</f>
        <v>55061</v>
      </c>
      <c r="H104" s="14">
        <f>SUMIFS(Expected_CF[Expected_Premium],Expected_CF[ICG],CF_Gen_1[[#This Row],[ICG]],Expected_CF[Incurred],CF_Gen_1[[#This Row],[Incurred]])</f>
        <v>0</v>
      </c>
      <c r="I104" s="14">
        <f>SUMIFS(Expected_CF[Expected_Commission],Expected_CF[ICG],CF_Gen_1[[#This Row],[ICG]],Expected_CF[Incurred],CF_Gen_1[[#This Row],[Incurred]])</f>
        <v>0</v>
      </c>
      <c r="J104" s="14">
        <f>IF(CF_Gen_1[[#This Row],[Contract]]="IC",SUMIFS(Expected_CF[Expected_Acquisition],Expected_CF[ICG],CF_Gen_1[[#This Row],[ICG]],Expected_CF[Incurred],CF_Gen_1[[#This Row],[Incurred]]),0)</f>
        <v>0</v>
      </c>
      <c r="K104" s="14">
        <f>SUMIFS(Earned[Earned_Premium],Earned[ICG],CF_Gen_1[[#This Row],[ICG]],Earned[Incurred],CF_Gen_1[[#This Row],[Incurred]])</f>
        <v>0</v>
      </c>
      <c r="L104" s="14">
        <f>SUMIFS(Earned[Earned_Commission],Earned[ICG],CF_Gen_1[[#This Row],[ICG]],Earned[Incurred],CF_Gen_1[[#This Row],[Incurred]])</f>
        <v>0</v>
      </c>
      <c r="M104" s="18">
        <f>_xlfn.XLOOKUP(CF_Gen_1[[#This Row],[ICG]],Assumptions[ICG],Assumptions[Loss_Ratio])</f>
        <v>0.4</v>
      </c>
      <c r="N104" s="18">
        <f>_xlfn.XLOOKUP(CF_Gen_1[[#This Row],[ICG]],Assumptions[ICG],Assumptions[Risk_Adjustment_Ratio])</f>
        <v>0.14000000000000001</v>
      </c>
      <c r="O104" s="18">
        <f>_xlfn.XLOOKUP(CF_Gen_1[[#This Row],[ICG]],Assumptions[ICG],Assumptions[PME_Ratio])</f>
        <v>4.4999999999999998E-2</v>
      </c>
      <c r="P104" s="18">
        <f>_xlfn.XLOOKUP(CF_Gen_1[[#This Row],[ICG]],Assumptions[ICG],Assumptions[ULAE_Ratio])</f>
        <v>0.11</v>
      </c>
      <c r="Q104" s="18">
        <f>_xlfn.XLOOKUP(CF_Gen_1[[#This Row],[ICG]],Assumptions[ICG],Assumptions[Cancellation_Ratio])</f>
        <v>7.0000000000000007E-2</v>
      </c>
      <c r="R104" s="18">
        <f>_xlfn.XLOOKUP(CF_Gen_1[[#This Row],[ICG]],Assumptions[ICG],Assumptions[Premium_Refund_Ratio])</f>
        <v>0.5</v>
      </c>
      <c r="S104" s="18">
        <f>IF(CF_Gen_1[[#This Row],[Contract]]="RC",_xlfn.XLOOKUP(CF_Gen_1[[#This Row],[ICG]],Assumptions[ICG],Assumptions[NPR_Ratio]),0)</f>
        <v>0</v>
      </c>
      <c r="T104" s="17">
        <f>T103*(1-CF_Gen_1[[#This Row],[Cancellation_Ratio]])</f>
        <v>6.0990297601958205E-4</v>
      </c>
      <c r="U104" s="19">
        <f>IF(CF_Gen_1[[#This Row],[Incurred]]&lt;=CF_Gen_1[[#This Row],[Valuation]],CF_Gen_1[[#This Row],[Expected_Premium]],-CF_Gen_1[[#This Row],[Probability_of_Inforce]]*CF_Gen_1[[#This Row],[Premium_Refund_Ratio]]*CF_Gen_1[[#This Row],[Cancellation_Ratio]]*SUM(K104:K$105))</f>
        <v>0</v>
      </c>
      <c r="V104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Row],[Cancellation_Ratio]]*SUM(L104:L$105))</f>
        <v>0</v>
      </c>
      <c r="W104" s="19">
        <f>CF_Gen_1[[#This Row],[Expected_Acquisition]]</f>
        <v>0</v>
      </c>
      <c r="X104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104" s="19">
        <f>-CF_Gen_1[[#This Row],[Probability_of_Inforce]]*CF_Gen_1[[#This Row],[Earned_Premium]]*(1-CF_Gen_1[[#This Row],[Cancellation_Ratio]])*CF_Gen_1[[#This Row],[Loss_Ratio]]</f>
        <v>0</v>
      </c>
      <c r="Z104" s="19">
        <f>CF_Gen_1[[#This Row],[Exp_Claim]]*CF_Gen_1[[#This Row],[Risk_Adjustment_Ratio]]</f>
        <v>0</v>
      </c>
      <c r="AA104" s="19">
        <f>IF(CF_Gen_1[[#This Row],[Contract]]="RC",-CF_Gen_1[[#This Row],[NPR_Ratio]]*CF_Gen_1[[#This Row],[Exp_Claim]],0)</f>
        <v>0</v>
      </c>
      <c r="AB104" s="19">
        <f>SUMIFS(Actual_CF[Actual_Premium],Actual_CF[ICG],CF_Gen_1[[#This Row],[ICG]],Actual_CF[Incurred],CF_Gen_1[[#This Row],[Incurred]])</f>
        <v>0</v>
      </c>
      <c r="AC104" s="19">
        <f>SUMIFS(Actual_CF[Actual_Commission],Actual_CF[ICG],CF_Gen_1[[#This Row],[ICG]],Actual_CF[Incurred],CF_Gen_1[[#This Row],[Incurred]])</f>
        <v>0</v>
      </c>
      <c r="AD104" s="19">
        <f>SUMIFS(Actual_CF[Actual_Acquisition],Actual_CF[ICG],CF_Gen_1[[#This Row],[ICG]],Actual_CF[Incurred],CF_Gen_1[[#This Row],[Incurred]])</f>
        <v>0</v>
      </c>
    </row>
    <row r="105" spans="1:30">
      <c r="A105" t="str">
        <f t="shared" si="5"/>
        <v>#2024#IC-Property</v>
      </c>
      <c r="B105">
        <f>_xlfn.XLOOKUP(CF_Gen_1[[#This Row],[ICG]],ICG[ICG],ICG[Cohort])</f>
        <v>2024</v>
      </c>
      <c r="C105" t="str">
        <f>_xlfn.XLOOKUP(CF_Gen_1[[#This Row],[ICG]],ICG[ICG],ICG[Portfolio])</f>
        <v>IC-Property</v>
      </c>
      <c r="D105" t="str">
        <f>_xlfn.XLOOKUP(CF_Gen_1[[#This Row],[ICG]],ICG[ICG],ICG[Contract])</f>
        <v>IC</v>
      </c>
      <c r="E105" s="2">
        <f t="shared" si="3"/>
        <v>45930</v>
      </c>
      <c r="F105">
        <v>104</v>
      </c>
      <c r="G105" s="2">
        <f>EOMONTH(DATE(YEAR(CF_Gen_1[[#This Row],[Valuation]])-1,12,31),CF_Gen_1[[#This Row],['#Incurred]]*3)</f>
        <v>55153</v>
      </c>
      <c r="H105" s="14">
        <f>SUMIFS(Expected_CF[Expected_Premium],Expected_CF[ICG],CF_Gen_1[[#This Row],[ICG]],Expected_CF[Incurred],CF_Gen_1[[#This Row],[Incurred]])</f>
        <v>0</v>
      </c>
      <c r="I105" s="14">
        <f>SUMIFS(Expected_CF[Expected_Commission],Expected_CF[ICG],CF_Gen_1[[#This Row],[ICG]],Expected_CF[Incurred],CF_Gen_1[[#This Row],[Incurred]])</f>
        <v>0</v>
      </c>
      <c r="J105" s="14">
        <f>IF(CF_Gen_1[[#This Row],[Contract]]="IC",SUMIFS(Expected_CF[Expected_Acquisition],Expected_CF[ICG],CF_Gen_1[[#This Row],[ICG]],Expected_CF[Incurred],CF_Gen_1[[#This Row],[Incurred]]),0)</f>
        <v>0</v>
      </c>
      <c r="K105" s="14">
        <f>SUMIFS(Earned[Earned_Premium],Earned[ICG],CF_Gen_1[[#This Row],[ICG]],Earned[Incurred],CF_Gen_1[[#This Row],[Incurred]])</f>
        <v>0</v>
      </c>
      <c r="L105" s="14">
        <f>SUMIFS(Earned[Earned_Commission],Earned[ICG],CF_Gen_1[[#This Row],[ICG]],Earned[Incurred],CF_Gen_1[[#This Row],[Incurred]])</f>
        <v>0</v>
      </c>
      <c r="M105" s="18">
        <f>_xlfn.XLOOKUP(CF_Gen_1[[#This Row],[ICG]],Assumptions[ICG],Assumptions[Loss_Ratio])</f>
        <v>0.4</v>
      </c>
      <c r="N105" s="18">
        <f>_xlfn.XLOOKUP(CF_Gen_1[[#This Row],[ICG]],Assumptions[ICG],Assumptions[Risk_Adjustment_Ratio])</f>
        <v>0.14000000000000001</v>
      </c>
      <c r="O105" s="18">
        <f>_xlfn.XLOOKUP(CF_Gen_1[[#This Row],[ICG]],Assumptions[ICG],Assumptions[PME_Ratio])</f>
        <v>4.4999999999999998E-2</v>
      </c>
      <c r="P105" s="18">
        <f>_xlfn.XLOOKUP(CF_Gen_1[[#This Row],[ICG]],Assumptions[ICG],Assumptions[ULAE_Ratio])</f>
        <v>0.11</v>
      </c>
      <c r="Q105" s="18">
        <f>_xlfn.XLOOKUP(CF_Gen_1[[#This Row],[ICG]],Assumptions[ICG],Assumptions[Cancellation_Ratio])</f>
        <v>7.0000000000000007E-2</v>
      </c>
      <c r="R105" s="18">
        <f>_xlfn.XLOOKUP(CF_Gen_1[[#This Row],[ICG]],Assumptions[ICG],Assumptions[Premium_Refund_Ratio])</f>
        <v>0.5</v>
      </c>
      <c r="S105" s="18">
        <f>IF(CF_Gen_1[[#This Row],[Contract]]="RC",_xlfn.XLOOKUP(CF_Gen_1[[#This Row],[ICG]],Assumptions[ICG],Assumptions[NPR_Ratio]),0)</f>
        <v>0</v>
      </c>
      <c r="T105" s="17">
        <f>T104*(1-CF_Gen_1[[#This Row],[Cancellation_Ratio]])</f>
        <v>5.6720976769821126E-4</v>
      </c>
      <c r="U105" s="19">
        <f>IF(CF_Gen_1[[#This Row],[Incurred]]&lt;=CF_Gen_1[[#This Row],[Valuation]],CF_Gen_1[[#This Row],[Expected_Premium]],-CF_Gen_1[[#This Row],[Probability_of_Inforce]]*CF_Gen_1[[#This Row],[Premium_Refund_Ratio]]*CF_Gen_1[[#This Row],[Cancellation_Ratio]]*SUM(K105:K$105))</f>
        <v>0</v>
      </c>
      <c r="V105" s="19">
        <f>IF(CF_Gen_1[[#This Row],[Incurred]]&lt;=CF_Gen_1[[#This Row],[Valuation]],CF_Gen_1[[#This Row],[Expected_Commission]],-CF_Gen_1[[#This Row],[Probability_of_Inforce]]*CF_Gen_1[[#This Row],[Premium_Refund_Ratio]]*CF_Gen_1[[#This Row],[Cancellation_Ratio]]*SUM(L105:L$105))</f>
        <v>0</v>
      </c>
      <c r="W105" s="19">
        <f>CF_Gen_1[[#This Row],[Expected_Acquisition]]</f>
        <v>0</v>
      </c>
      <c r="X105" s="19">
        <f>-CF_Gen_1[[#This Row],[Probability_of_Inforce]]*CF_Gen_1[[#This Row],[Earned_Premium]]*(1-CF_Gen_1[[#This Row],[Cancellation_Ratio]])*CF_Gen_1[[#This Row],[PME_Ratio]]+CF_Gen_1[[#This Row],[ULAE_Ratio]]*CF_Gen_1[[#This Row],[Exp_Claim]]</f>
        <v>0</v>
      </c>
      <c r="Y105" s="19">
        <f>-CF_Gen_1[[#This Row],[Probability_of_Inforce]]*CF_Gen_1[[#This Row],[Earned_Premium]]*(1-CF_Gen_1[[#This Row],[Cancellation_Ratio]])*CF_Gen_1[[#This Row],[Loss_Ratio]]</f>
        <v>0</v>
      </c>
      <c r="Z105" s="19">
        <f>CF_Gen_1[[#This Row],[Exp_Claim]]*CF_Gen_1[[#This Row],[Risk_Adjustment_Ratio]]</f>
        <v>0</v>
      </c>
      <c r="AA105" s="19">
        <f>IF(CF_Gen_1[[#This Row],[Contract]]="RC",-CF_Gen_1[[#This Row],[NPR_Ratio]]*CF_Gen_1[[#This Row],[Exp_Claim]],0)</f>
        <v>0</v>
      </c>
      <c r="AB105" s="19">
        <f>SUMIFS(Actual_CF[Actual_Premium],Actual_CF[ICG],CF_Gen_1[[#This Row],[ICG]],Actual_CF[Incurred],CF_Gen_1[[#This Row],[Incurred]])</f>
        <v>0</v>
      </c>
      <c r="AC105" s="19">
        <f>SUMIFS(Actual_CF[Actual_Commission],Actual_CF[ICG],CF_Gen_1[[#This Row],[ICG]],Actual_CF[Incurred],CF_Gen_1[[#This Row],[Incurred]])</f>
        <v>0</v>
      </c>
      <c r="AD105" s="19">
        <f>SUMIFS(Actual_CF[Actual_Acquisition],Actual_CF[ICG],CF_Gen_1[[#This Row],[ICG]],Actual_CF[Incurred],CF_Gen_1[[#This Row],[Incurred]])</f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89A2-B806-4203-8DCE-2A8B831D0E18}">
  <dimension ref="A1:AD105"/>
  <sheetViews>
    <sheetView showGridLines="0" zoomScale="80" zoomScaleNormal="80" workbookViewId="0">
      <selection activeCell="F3" sqref="F3"/>
    </sheetView>
  </sheetViews>
  <sheetFormatPr defaultRowHeight="14.5"/>
  <cols>
    <col min="1" max="1" width="18.7265625" bestFit="1" customWidth="1"/>
    <col min="2" max="3" width="18.7265625" customWidth="1"/>
    <col min="4" max="4" width="12" bestFit="1" customWidth="1"/>
    <col min="5" max="5" width="13.7265625" bestFit="1" customWidth="1"/>
    <col min="6" max="6" width="13.1796875" bestFit="1" customWidth="1"/>
    <col min="7" max="7" width="12.81640625" bestFit="1" customWidth="1"/>
    <col min="8" max="8" width="22.7265625" bestFit="1" customWidth="1"/>
    <col min="9" max="9" width="26.26953125" bestFit="1" customWidth="1"/>
    <col min="10" max="10" width="25.1796875" bestFit="1" customWidth="1"/>
    <col min="11" max="11" width="20.7265625" bestFit="1" customWidth="1"/>
    <col min="12" max="12" width="24.26953125" bestFit="1" customWidth="1"/>
    <col min="13" max="13" width="14.54296875" bestFit="1" customWidth="1"/>
    <col min="14" max="14" width="27.1796875" bestFit="1" customWidth="1"/>
    <col min="15" max="15" width="14.26953125" bestFit="1" customWidth="1"/>
    <col min="16" max="16" width="15" bestFit="1" customWidth="1"/>
    <col min="17" max="17" width="23" bestFit="1" customWidth="1"/>
    <col min="18" max="18" width="27.453125" bestFit="1" customWidth="1"/>
    <col min="19" max="19" width="14.1796875" bestFit="1" customWidth="1"/>
    <col min="20" max="20" width="26" bestFit="1" customWidth="1"/>
    <col min="21" max="21" width="20.26953125" bestFit="1" customWidth="1"/>
    <col min="22" max="22" width="23.81640625" bestFit="1" customWidth="1"/>
    <col min="23" max="23" width="23" bestFit="1" customWidth="1"/>
    <col min="24" max="24" width="19.81640625" bestFit="1" customWidth="1"/>
    <col min="25" max="25" width="17.26953125" bestFit="1" customWidth="1"/>
    <col min="26" max="26" width="15.1796875" bestFit="1" customWidth="1"/>
    <col min="27" max="27" width="15.26953125" bestFit="1" customWidth="1"/>
    <col min="28" max="28" width="23.7265625" bestFit="1" customWidth="1"/>
    <col min="29" max="29" width="27.26953125" bestFit="1" customWidth="1"/>
    <col min="30" max="30" width="26.453125" bestFit="1" customWidth="1"/>
  </cols>
  <sheetData>
    <row r="1" spans="1:30">
      <c r="A1" t="s">
        <v>8</v>
      </c>
      <c r="B1" t="s">
        <v>5</v>
      </c>
      <c r="C1" t="s">
        <v>56</v>
      </c>
      <c r="D1" t="s">
        <v>21</v>
      </c>
      <c r="E1" t="s">
        <v>16</v>
      </c>
      <c r="F1" t="s">
        <v>41</v>
      </c>
      <c r="G1" t="s">
        <v>15</v>
      </c>
      <c r="H1" s="15" t="s">
        <v>26</v>
      </c>
      <c r="I1" s="15" t="s">
        <v>27</v>
      </c>
      <c r="J1" s="15" t="s">
        <v>31</v>
      </c>
      <c r="K1" s="16" t="s">
        <v>24</v>
      </c>
      <c r="L1" s="16" t="s">
        <v>25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  <c r="R1" s="15" t="s">
        <v>38</v>
      </c>
      <c r="S1" s="15" t="s">
        <v>39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29</v>
      </c>
      <c r="AC1" t="s">
        <v>30</v>
      </c>
      <c r="AD1" t="s">
        <v>32</v>
      </c>
    </row>
    <row r="2" spans="1:30">
      <c r="A2" s="4" t="str">
        <f>ICG!$A$3</f>
        <v>#2024#RC-Property</v>
      </c>
      <c r="B2">
        <f>_xlfn.XLOOKUP(CF_Gen_2[[#This Row],[ICG]],ICG[ICG],ICG[Cohort])</f>
        <v>2024</v>
      </c>
      <c r="C2" t="str">
        <f>_xlfn.XLOOKUP(CF_Gen_2[[#This Row],[ICG]],ICG[ICG],ICG[Portfolio])</f>
        <v>RC-Property</v>
      </c>
      <c r="D2" t="str">
        <f>_xlfn.XLOOKUP(CF_Gen_2[[#This Row],[ICG]],ICG[ICG],ICG[Contract])</f>
        <v>RC</v>
      </c>
      <c r="E2" s="2">
        <f t="shared" ref="E2:E65" si="0">ValuationDate</f>
        <v>45930</v>
      </c>
      <c r="F2">
        <v>1</v>
      </c>
      <c r="G2" s="2">
        <f>EOMONTH(DATE(YEAR(CF_Gen_2[[#This Row],[Valuation]])-1,12,31),CF_Gen_2[[#This Row],['#Incurred]]*3)</f>
        <v>45747</v>
      </c>
      <c r="H2" s="13">
        <f>SUMIFS(Expected_CF[Expected_Premium],Expected_CF[ICG],CF_Gen_2[[#This Row],[ICG]],Expected_CF[Incurred],CF_Gen_2[[#This Row],[Incurred]])</f>
        <v>0</v>
      </c>
      <c r="I2" s="13">
        <f>SUMIFS(Expected_CF[Expected_Commission],Expected_CF[ICG],CF_Gen_2[[#This Row],[ICG]],Expected_CF[Incurred],CF_Gen_2[[#This Row],[Incurred]])</f>
        <v>0</v>
      </c>
      <c r="J2" s="13">
        <f>IF(CF_Gen_2[[#This Row],[Contract]]="IC",SUMIFS(Expected_CF[Expected_Acquisition],Expected_CF[ICG],CF_Gen_2[[#This Row],[ICG]],Expected_CF[Incurred],CF_Gen_2[[#This Row],[Incurred]]),0)</f>
        <v>0</v>
      </c>
      <c r="K2" s="13">
        <f>SUMIFS(Earned[Earned_Premium],Earned[ICG],CF_Gen_2[[#This Row],[ICG]],Earned[Incurred],CF_Gen_2[[#This Row],[Incurred]])</f>
        <v>0</v>
      </c>
      <c r="L2" s="13">
        <f>SUMIFS(Earned[Earned_Commission],Earned[ICG],CF_Gen_2[[#This Row],[ICG]],Earned[Incurred],CF_Gen_2[[#This Row],[Incurred]])</f>
        <v>0</v>
      </c>
      <c r="M2" s="17">
        <f>_xlfn.XLOOKUP(CF_Gen_2[[#This Row],[ICG]],Assumptions[ICG],Assumptions[Loss_Ratio])</f>
        <v>0.38</v>
      </c>
      <c r="N2" s="17">
        <f>_xlfn.XLOOKUP(CF_Gen_2[[#This Row],[ICG]],Assumptions[ICG],Assumptions[Risk_Adjustment_Ratio])</f>
        <v>0.13</v>
      </c>
      <c r="O2" s="17">
        <f>_xlfn.XLOOKUP(CF_Gen_2[[#This Row],[ICG]],Assumptions[ICG],Assumptions[PME_Ratio])</f>
        <v>0</v>
      </c>
      <c r="P2" s="17">
        <f>_xlfn.XLOOKUP(CF_Gen_2[[#This Row],[ICG]],Assumptions[ICG],Assumptions[ULAE_Ratio])</f>
        <v>0</v>
      </c>
      <c r="Q2" s="17">
        <f>_xlfn.XLOOKUP(CF_Gen_2[[#This Row],[ICG]],Assumptions[ICG],Assumptions[Cancellation_Ratio])</f>
        <v>7.0000000000000007E-2</v>
      </c>
      <c r="R2" s="17">
        <f>_xlfn.XLOOKUP(CF_Gen_2[[#This Row],[ICG]],Assumptions[ICG],Assumptions[Premium_Refund_Ratio])</f>
        <v>0.5</v>
      </c>
      <c r="S2" s="17">
        <f>IF(CF_Gen_2[[#This Row],[Contract]]="RC",_xlfn.XLOOKUP(CF_Gen_2[[#This Row],[ICG]],Assumptions[ICG],Assumptions[NPR_Ratio]),0)</f>
        <v>2.8000000000000001E-2</v>
      </c>
      <c r="T2" s="17">
        <v>1</v>
      </c>
      <c r="U2" s="19">
        <f>IF(CF_Gen_2[[#This Row],[Incurred]]&lt;=CF_Gen_2[[#This Row],[Valuation]],CF_Gen_2[[#This Row],[Expected_Premium]],-CF_Gen_2[[#This Row],[Probability_of_Inforce]]*CF_Gen_2[[#This Row],[Premium_Refund_Ratio]]*CF_Gen_2[[#This Row],[Cancellation_Ratio]]*SUM(K2:K$105))</f>
        <v>0</v>
      </c>
      <c r="V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Row],[Cancellation_Ratio]]*SUM(L2:L$105))</f>
        <v>0</v>
      </c>
      <c r="W2" s="19">
        <f>CF_Gen_2[[#This Row],[Expected_Acquisition]]</f>
        <v>0</v>
      </c>
      <c r="X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" s="19">
        <f>-CF_Gen_2[[#This Row],[Probability_of_Inforce]]*CF_Gen_2[[#This Row],[Earned_Premium]]*(1-CF_Gen_2[[#This Row],[Cancellation_Ratio]])*CF_Gen_2[[#This Row],[Loss_Ratio]]</f>
        <v>0</v>
      </c>
      <c r="Z2" s="19">
        <f>CF_Gen_2[[#This Row],[Exp_Claim]]*CF_Gen_2[[#This Row],[Risk_Adjustment_Ratio]]</f>
        <v>0</v>
      </c>
      <c r="AA2" s="19">
        <f>IF(CF_Gen_2[[#This Row],[Contract]]="RC",-CF_Gen_2[[#This Row],[NPR_Ratio]]*CF_Gen_2[[#This Row],[Exp_Claim]],0)</f>
        <v>0</v>
      </c>
      <c r="AB2" s="13">
        <f>SUMIFS(Actual_CF[Actual_Premium],Actual_CF[ICG],CF_Gen_2[[#This Row],[ICG]],Actual_CF[Incurred],CF_Gen_2[[#This Row],[Incurred]])</f>
        <v>-517757297.0000236</v>
      </c>
      <c r="AC2" s="13">
        <f>SUMIFS(Actual_CF[Actual_Commission],Actual_CF[ICG],CF_Gen_2[[#This Row],[ICG]],Actual_CF[Incurred],CF_Gen_2[[#This Row],[Incurred]])</f>
        <v>168271121.52500767</v>
      </c>
      <c r="AD2" s="13">
        <f>SUMIFS(Actual_CF[Actual_Acquisition],Actual_CF[ICG],CF_Gen_2[[#This Row],[ICG]],Actual_CF[Incurred],CF_Gen_2[[#This Row],[Incurred]])</f>
        <v>0</v>
      </c>
    </row>
    <row r="3" spans="1:30">
      <c r="A3" t="str">
        <f t="shared" ref="A3:A34" si="1">A2</f>
        <v>#2024#RC-Property</v>
      </c>
      <c r="B3">
        <f>_xlfn.XLOOKUP(CF_Gen_2[[#This Row],[ICG]],ICG[ICG],ICG[Cohort])</f>
        <v>2024</v>
      </c>
      <c r="C3" t="str">
        <f>_xlfn.XLOOKUP(CF_Gen_2[[#This Row],[ICG]],ICG[ICG],ICG[Portfolio])</f>
        <v>RC-Property</v>
      </c>
      <c r="D3" t="str">
        <f>_xlfn.XLOOKUP(CF_Gen_2[[#This Row],[ICG]],ICG[ICG],ICG[Contract])</f>
        <v>RC</v>
      </c>
      <c r="E3" s="2">
        <f t="shared" si="0"/>
        <v>45930</v>
      </c>
      <c r="F3">
        <v>2</v>
      </c>
      <c r="G3" s="2">
        <f>EOMONTH(DATE(YEAR(CF_Gen_2[[#This Row],[Valuation]])-1,12,31),CF_Gen_2[[#This Row],['#Incurred]]*3)</f>
        <v>45838</v>
      </c>
      <c r="H3" s="13">
        <f>SUMIFS(Expected_CF[Expected_Premium],Expected_CF[ICG],CF_Gen_2[[#This Row],[ICG]],Expected_CF[Incurred],CF_Gen_2[[#This Row],[Incurred]])</f>
        <v>0</v>
      </c>
      <c r="I3" s="13">
        <f>SUMIFS(Expected_CF[Expected_Commission],Expected_CF[ICG],CF_Gen_2[[#This Row],[ICG]],Expected_CF[Incurred],CF_Gen_2[[#This Row],[Incurred]])</f>
        <v>0</v>
      </c>
      <c r="J3" s="13">
        <f>IF(CF_Gen_2[[#This Row],[Contract]]="IC",SUMIFS(Expected_CF[Expected_Acquisition],Expected_CF[ICG],CF_Gen_2[[#This Row],[ICG]],Expected_CF[Incurred],CF_Gen_2[[#This Row],[Incurred]]),0)</f>
        <v>0</v>
      </c>
      <c r="K3" s="13">
        <f>SUMIFS(Earned[Earned_Premium],Earned[ICG],CF_Gen_2[[#This Row],[ICG]],Earned[Incurred],CF_Gen_2[[#This Row],[Incurred]])</f>
        <v>0</v>
      </c>
      <c r="L3" s="13">
        <f>SUMIFS(Earned[Earned_Commission],Earned[ICG],CF_Gen_2[[#This Row],[ICG]],Earned[Incurred],CF_Gen_2[[#This Row],[Incurred]])</f>
        <v>0</v>
      </c>
      <c r="M3" s="17">
        <f>_xlfn.XLOOKUP(CF_Gen_2[[#This Row],[ICG]],Assumptions[ICG],Assumptions[Loss_Ratio])</f>
        <v>0.38</v>
      </c>
      <c r="N3" s="17">
        <f>_xlfn.XLOOKUP(CF_Gen_2[[#This Row],[ICG]],Assumptions[ICG],Assumptions[Risk_Adjustment_Ratio])</f>
        <v>0.13</v>
      </c>
      <c r="O3" s="17">
        <f>_xlfn.XLOOKUP(CF_Gen_2[[#This Row],[ICG]],Assumptions[ICG],Assumptions[PME_Ratio])</f>
        <v>0</v>
      </c>
      <c r="P3" s="17">
        <f>_xlfn.XLOOKUP(CF_Gen_2[[#This Row],[ICG]],Assumptions[ICG],Assumptions[ULAE_Ratio])</f>
        <v>0</v>
      </c>
      <c r="Q3" s="17">
        <f>_xlfn.XLOOKUP(CF_Gen_2[[#This Row],[ICG]],Assumptions[ICG],Assumptions[Cancellation_Ratio])</f>
        <v>7.0000000000000007E-2</v>
      </c>
      <c r="R3" s="17">
        <f>_xlfn.XLOOKUP(CF_Gen_2[[#This Row],[ICG]],Assumptions[ICG],Assumptions[Premium_Refund_Ratio])</f>
        <v>0.5</v>
      </c>
      <c r="S3" s="17">
        <f>IF(CF_Gen_2[[#This Row],[Contract]]="RC",_xlfn.XLOOKUP(CF_Gen_2[[#This Row],[ICG]],Assumptions[ICG],Assumptions[NPR_Ratio]),0)</f>
        <v>2.8000000000000001E-2</v>
      </c>
      <c r="T3" s="17">
        <f>T2*(1-CF_Gen_2[[#This Row],[Cancellation_Ratio]])</f>
        <v>0.92999999999999994</v>
      </c>
      <c r="U3" s="19">
        <f>IF(CF_Gen_2[[#This Row],[Incurred]]&lt;=CF_Gen_2[[#This Row],[Valuation]],CF_Gen_2[[#This Row],[Expected_Premium]],-CF_Gen_2[[#This Row],[Probability_of_Inforce]]*CF_Gen_2[[#This Row],[Premium_Refund_Ratio]]*CF_Gen_2[[#This Row],[Cancellation_Ratio]]*SUM(K3:K$105))</f>
        <v>0</v>
      </c>
      <c r="V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Row],[Cancellation_Ratio]]*SUM(L3:L$105))</f>
        <v>0</v>
      </c>
      <c r="W3" s="19">
        <f>CF_Gen_2[[#This Row],[Expected_Acquisition]]</f>
        <v>0</v>
      </c>
      <c r="X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" s="19">
        <f>-CF_Gen_2[[#This Row],[Probability_of_Inforce]]*CF_Gen_2[[#This Row],[Earned_Premium]]*(1-CF_Gen_2[[#This Row],[Cancellation_Ratio]])*CF_Gen_2[[#This Row],[Loss_Ratio]]</f>
        <v>0</v>
      </c>
      <c r="Z3" s="19">
        <f>CF_Gen_2[[#This Row],[Exp_Claim]]*CF_Gen_2[[#This Row],[Risk_Adjustment_Ratio]]</f>
        <v>0</v>
      </c>
      <c r="AA3" s="19">
        <f>IF(CF_Gen_2[[#This Row],[Contract]]="RC",-CF_Gen_2[[#This Row],[NPR_Ratio]]*CF_Gen_2[[#This Row],[Exp_Claim]],0)</f>
        <v>0</v>
      </c>
      <c r="AB3" s="19">
        <f>SUMIFS(Actual_CF[Actual_Premium],Actual_CF[ICG],CF_Gen_2[[#This Row],[ICG]],Actual_CF[Incurred],CF_Gen_2[[#This Row],[Incurred]])</f>
        <v>-146317608.33122519</v>
      </c>
      <c r="AC3" s="19">
        <f>SUMIFS(Actual_CF[Actual_Commission],Actual_CF[ICG],CF_Gen_2[[#This Row],[ICG]],Actual_CF[Incurred],CF_Gen_2[[#This Row],[Incurred]])</f>
        <v>47553222.707648195</v>
      </c>
      <c r="AD3" s="19">
        <f>SUMIFS(Actual_CF[Actual_Acquisition],Actual_CF[ICG],CF_Gen_2[[#This Row],[ICG]],Actual_CF[Incurred],CF_Gen_2[[#This Row],[Incurred]])</f>
        <v>0</v>
      </c>
    </row>
    <row r="4" spans="1:30">
      <c r="A4" t="str">
        <f t="shared" si="1"/>
        <v>#2024#RC-Property</v>
      </c>
      <c r="B4">
        <f>_xlfn.XLOOKUP(CF_Gen_2[[#This Row],[ICG]],ICG[ICG],ICG[Cohort])</f>
        <v>2024</v>
      </c>
      <c r="C4" t="str">
        <f>_xlfn.XLOOKUP(CF_Gen_2[[#This Row],[ICG]],ICG[ICG],ICG[Portfolio])</f>
        <v>RC-Property</v>
      </c>
      <c r="D4" t="str">
        <f>_xlfn.XLOOKUP(CF_Gen_2[[#This Row],[ICG]],ICG[ICG],ICG[Contract])</f>
        <v>RC</v>
      </c>
      <c r="E4" s="2">
        <f t="shared" si="0"/>
        <v>45930</v>
      </c>
      <c r="F4">
        <v>3</v>
      </c>
      <c r="G4" s="2">
        <f>EOMONTH(DATE(YEAR(CF_Gen_2[[#This Row],[Valuation]])-1,12,31),CF_Gen_2[[#This Row],['#Incurred]]*3)</f>
        <v>45930</v>
      </c>
      <c r="H4" s="14">
        <f>SUMIFS(Expected_CF[Expected_Premium],Expected_CF[ICG],CF_Gen_2[[#This Row],[ICG]],Expected_CF[Incurred],CF_Gen_2[[#This Row],[Incurred]])</f>
        <v>0</v>
      </c>
      <c r="I4" s="14">
        <f>SUMIFS(Expected_CF[Expected_Commission],Expected_CF[ICG],CF_Gen_2[[#This Row],[ICG]],Expected_CF[Incurred],CF_Gen_2[[#This Row],[Incurred]])</f>
        <v>0</v>
      </c>
      <c r="J4" s="14">
        <f>IF(CF_Gen_2[[#This Row],[Contract]]="IC",SUMIFS(Expected_CF[Expected_Acquisition],Expected_CF[ICG],CF_Gen_2[[#This Row],[ICG]],Expected_CF[Incurred],CF_Gen_2[[#This Row],[Incurred]]),0)</f>
        <v>0</v>
      </c>
      <c r="K4" s="14">
        <f>SUMIFS(Earned[Earned_Premium],Earned[ICG],CF_Gen_2[[#This Row],[ICG]],Earned[Incurred],CF_Gen_2[[#This Row],[Incurred]])</f>
        <v>0</v>
      </c>
      <c r="L4" s="14">
        <f>SUMIFS(Earned[Earned_Commission],Earned[ICG],CF_Gen_2[[#This Row],[ICG]],Earned[Incurred],CF_Gen_2[[#This Row],[Incurred]])</f>
        <v>0</v>
      </c>
      <c r="M4" s="18">
        <f>_xlfn.XLOOKUP(CF_Gen_2[[#This Row],[ICG]],Assumptions[ICG],Assumptions[Loss_Ratio])</f>
        <v>0.38</v>
      </c>
      <c r="N4" s="18">
        <f>_xlfn.XLOOKUP(CF_Gen_2[[#This Row],[ICG]],Assumptions[ICG],Assumptions[Risk_Adjustment_Ratio])</f>
        <v>0.13</v>
      </c>
      <c r="O4" s="18">
        <f>_xlfn.XLOOKUP(CF_Gen_2[[#This Row],[ICG]],Assumptions[ICG],Assumptions[PME_Ratio])</f>
        <v>0</v>
      </c>
      <c r="P4" s="18">
        <f>_xlfn.XLOOKUP(CF_Gen_2[[#This Row],[ICG]],Assumptions[ICG],Assumptions[ULAE_Ratio])</f>
        <v>0</v>
      </c>
      <c r="Q4" s="18">
        <f>_xlfn.XLOOKUP(CF_Gen_2[[#This Row],[ICG]],Assumptions[ICG],Assumptions[Cancellation_Ratio])</f>
        <v>7.0000000000000007E-2</v>
      </c>
      <c r="R4" s="18">
        <f>_xlfn.XLOOKUP(CF_Gen_2[[#This Row],[ICG]],Assumptions[ICG],Assumptions[Premium_Refund_Ratio])</f>
        <v>0.5</v>
      </c>
      <c r="S4" s="18">
        <f>IF(CF_Gen_2[[#This Row],[Contract]]="RC",_xlfn.XLOOKUP(CF_Gen_2[[#This Row],[ICG]],Assumptions[ICG],Assumptions[NPR_Ratio]),0)</f>
        <v>2.8000000000000001E-2</v>
      </c>
      <c r="T4" s="17">
        <f>T3*(1-CF_Gen_2[[#This Row],[Cancellation_Ratio]])</f>
        <v>0.86489999999999989</v>
      </c>
      <c r="U4" s="19">
        <f>IF(CF_Gen_2[[#This Row],[Incurred]]&lt;=CF_Gen_2[[#This Row],[Valuation]],CF_Gen_2[[#This Row],[Expected_Premium]],-CF_Gen_2[[#This Row],[Probability_of_Inforce]]*CF_Gen_2[[#This Row],[Premium_Refund_Ratio]]*CF_Gen_2[[#This Row],[Cancellation_Ratio]]*SUM(K4:K$105))</f>
        <v>0</v>
      </c>
      <c r="V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Row],[Cancellation_Ratio]]*SUM(L4:L$105))</f>
        <v>0</v>
      </c>
      <c r="W4" s="19">
        <f>CF_Gen_2[[#This Row],[Expected_Acquisition]]</f>
        <v>0</v>
      </c>
      <c r="X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" s="19">
        <f>-CF_Gen_2[[#This Row],[Probability_of_Inforce]]*CF_Gen_2[[#This Row],[Earned_Premium]]*(1-CF_Gen_2[[#This Row],[Cancellation_Ratio]])*CF_Gen_2[[#This Row],[Loss_Ratio]]</f>
        <v>0</v>
      </c>
      <c r="Z4" s="19">
        <f>CF_Gen_2[[#This Row],[Exp_Claim]]*CF_Gen_2[[#This Row],[Risk_Adjustment_Ratio]]</f>
        <v>0</v>
      </c>
      <c r="AA4" s="19">
        <f>IF(CF_Gen_2[[#This Row],[Contract]]="RC",-CF_Gen_2[[#This Row],[NPR_Ratio]]*CF_Gen_2[[#This Row],[Exp_Claim]],0)</f>
        <v>0</v>
      </c>
      <c r="AB4" s="19">
        <f>SUMIFS(Actual_CF[Actual_Premium],Actual_CF[ICG],CF_Gen_2[[#This Row],[ICG]],Actual_CF[Incurred],CF_Gen_2[[#This Row],[Incurred]])</f>
        <v>427331909.33283198</v>
      </c>
      <c r="AC4" s="19">
        <f>SUMIFS(Actual_CF[Actual_Commission],Actual_CF[ICG],CF_Gen_2[[#This Row],[ICG]],Actual_CF[Incurred],CF_Gen_2[[#This Row],[Incurred]])</f>
        <v>-138882870.5331704</v>
      </c>
      <c r="AD4" s="19">
        <f>SUMIFS(Actual_CF[Actual_Acquisition],Actual_CF[ICG],CF_Gen_2[[#This Row],[ICG]],Actual_CF[Incurred],CF_Gen_2[[#This Row],[Incurred]])</f>
        <v>0</v>
      </c>
    </row>
    <row r="5" spans="1:30">
      <c r="A5" t="str">
        <f t="shared" si="1"/>
        <v>#2024#RC-Property</v>
      </c>
      <c r="B5">
        <f>_xlfn.XLOOKUP(CF_Gen_2[[#This Row],[ICG]],ICG[ICG],ICG[Cohort])</f>
        <v>2024</v>
      </c>
      <c r="C5" t="str">
        <f>_xlfn.XLOOKUP(CF_Gen_2[[#This Row],[ICG]],ICG[ICG],ICG[Portfolio])</f>
        <v>RC-Property</v>
      </c>
      <c r="D5" t="str">
        <f>_xlfn.XLOOKUP(CF_Gen_2[[#This Row],[ICG]],ICG[ICG],ICG[Contract])</f>
        <v>RC</v>
      </c>
      <c r="E5" s="2">
        <f t="shared" si="0"/>
        <v>45930</v>
      </c>
      <c r="F5">
        <v>4</v>
      </c>
      <c r="G5" s="2">
        <f>EOMONTH(DATE(YEAR(CF_Gen_2[[#This Row],[Valuation]])-1,12,31),CF_Gen_2[[#This Row],['#Incurred]]*3)</f>
        <v>46022</v>
      </c>
      <c r="H5" s="14">
        <f>SUMIFS(Expected_CF[Expected_Premium],Expected_CF[ICG],CF_Gen_2[[#This Row],[ICG]],Expected_CF[Incurred],CF_Gen_2[[#This Row],[Incurred]])</f>
        <v>0</v>
      </c>
      <c r="I5" s="14">
        <f>SUMIFS(Expected_CF[Expected_Commission],Expected_CF[ICG],CF_Gen_2[[#This Row],[ICG]],Expected_CF[Incurred],CF_Gen_2[[#This Row],[Incurred]])</f>
        <v>0</v>
      </c>
      <c r="J5" s="14">
        <f>IF(CF_Gen_2[[#This Row],[Contract]]="IC",SUMIFS(Expected_CF[Expected_Acquisition],Expected_CF[ICG],CF_Gen_2[[#This Row],[ICG]],Expected_CF[Incurred],CF_Gen_2[[#This Row],[Incurred]]),0)</f>
        <v>0</v>
      </c>
      <c r="K5" s="14">
        <f>SUMIFS(Earned[Earned_Premium],Earned[ICG],CF_Gen_2[[#This Row],[ICG]],Earned[Incurred],CF_Gen_2[[#This Row],[Incurred]])</f>
        <v>-1235660437.3222926</v>
      </c>
      <c r="L5" s="14">
        <f>SUMIFS(Earned[Earned_Commission],Earned[ICG],CF_Gen_2[[#This Row],[ICG]],Earned[Incurred],CF_Gen_2[[#This Row],[Incurred]])</f>
        <v>409330601.39590675</v>
      </c>
      <c r="M5" s="18">
        <f>_xlfn.XLOOKUP(CF_Gen_2[[#This Row],[ICG]],Assumptions[ICG],Assumptions[Loss_Ratio])</f>
        <v>0.38</v>
      </c>
      <c r="N5" s="18">
        <f>_xlfn.XLOOKUP(CF_Gen_2[[#This Row],[ICG]],Assumptions[ICG],Assumptions[Risk_Adjustment_Ratio])</f>
        <v>0.13</v>
      </c>
      <c r="O5" s="18">
        <f>_xlfn.XLOOKUP(CF_Gen_2[[#This Row],[ICG]],Assumptions[ICG],Assumptions[PME_Ratio])</f>
        <v>0</v>
      </c>
      <c r="P5" s="18">
        <f>_xlfn.XLOOKUP(CF_Gen_2[[#This Row],[ICG]],Assumptions[ICG],Assumptions[ULAE_Ratio])</f>
        <v>0</v>
      </c>
      <c r="Q5" s="18">
        <f>_xlfn.XLOOKUP(CF_Gen_2[[#This Row],[ICG]],Assumptions[ICG],Assumptions[Cancellation_Ratio])</f>
        <v>7.0000000000000007E-2</v>
      </c>
      <c r="R5" s="18">
        <f>_xlfn.XLOOKUP(CF_Gen_2[[#This Row],[ICG]],Assumptions[ICG],Assumptions[Premium_Refund_Ratio])</f>
        <v>0.5</v>
      </c>
      <c r="S5" s="18">
        <f>IF(CF_Gen_2[[#This Row],[Contract]]="RC",_xlfn.XLOOKUP(CF_Gen_2[[#This Row],[ICG]],Assumptions[ICG],Assumptions[NPR_Ratio]),0)</f>
        <v>2.8000000000000001E-2</v>
      </c>
      <c r="T5" s="17">
        <f>T4*(1-CF_Gen_2[[#This Row],[Cancellation_Ratio]])</f>
        <v>0.80435699999999988</v>
      </c>
      <c r="U5" s="19">
        <f>IF(CF_Gen_2[[#This Row],[Incurred]]&lt;=CF_Gen_2[[#This Row],[Valuation]],CF_Gen_2[[#This Row],[Expected_Premium]],-CF_Gen_2[[#This Row],[Probability_of_Inforce]]*CF_Gen_2[[#This Row],[Premium_Refund_Ratio]]*CF_Gen_2[[#This Row],[Cancellation_Ratio]]*SUM(K5:K$105))</f>
        <v>1591742027.1559789</v>
      </c>
      <c r="V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Row],[Cancellation_Ratio]]*SUM(L5:L$105))</f>
        <v>-516026381.48409837</v>
      </c>
      <c r="W5" s="19">
        <f>CF_Gen_2[[#This Row],[Expected_Acquisition]]</f>
        <v>0</v>
      </c>
      <c r="X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" s="19">
        <f>-CF_Gen_2[[#This Row],[Probability_of_Inforce]]*CF_Gen_2[[#This Row],[Earned_Premium]]*(1-CF_Gen_2[[#This Row],[Cancellation_Ratio]])*CF_Gen_2[[#This Row],[Loss_Ratio]]</f>
        <v>351248544.0502395</v>
      </c>
      <c r="Z5" s="19">
        <f>CF_Gen_2[[#This Row],[Exp_Claim]]*CF_Gen_2[[#This Row],[Risk_Adjustment_Ratio]]</f>
        <v>45662310.726531141</v>
      </c>
      <c r="AA5" s="19">
        <f>IF(CF_Gen_2[[#This Row],[Contract]]="RC",-CF_Gen_2[[#This Row],[NPR_Ratio]]*CF_Gen_2[[#This Row],[Exp_Claim]],0)</f>
        <v>-9834959.2334067058</v>
      </c>
      <c r="AB5" s="19">
        <f>SUMIFS(Actual_CF[Actual_Premium],Actual_CF[ICG],CF_Gen_2[[#This Row],[ICG]],Actual_CF[Incurred],CF_Gen_2[[#This Row],[Incurred]])</f>
        <v>0</v>
      </c>
      <c r="AC5" s="19">
        <f>SUMIFS(Actual_CF[Actual_Commission],Actual_CF[ICG],CF_Gen_2[[#This Row],[ICG]],Actual_CF[Incurred],CF_Gen_2[[#This Row],[Incurred]])</f>
        <v>0</v>
      </c>
      <c r="AD5" s="19">
        <f>SUMIFS(Actual_CF[Actual_Acquisition],Actual_CF[ICG],CF_Gen_2[[#This Row],[ICG]],Actual_CF[Incurred],CF_Gen_2[[#This Row],[Incurred]])</f>
        <v>0</v>
      </c>
    </row>
    <row r="6" spans="1:30">
      <c r="A6" t="str">
        <f t="shared" si="1"/>
        <v>#2024#RC-Property</v>
      </c>
      <c r="B6">
        <f>_xlfn.XLOOKUP(CF_Gen_2[[#This Row],[ICG]],ICG[ICG],ICG[Cohort])</f>
        <v>2024</v>
      </c>
      <c r="C6" t="str">
        <f>_xlfn.XLOOKUP(CF_Gen_2[[#This Row],[ICG]],ICG[ICG],ICG[Portfolio])</f>
        <v>RC-Property</v>
      </c>
      <c r="D6" t="str">
        <f>_xlfn.XLOOKUP(CF_Gen_2[[#This Row],[ICG]],ICG[ICG],ICG[Contract])</f>
        <v>RC</v>
      </c>
      <c r="E6" s="2">
        <f t="shared" si="0"/>
        <v>45930</v>
      </c>
      <c r="F6">
        <v>5</v>
      </c>
      <c r="G6" s="2">
        <f>EOMONTH(DATE(YEAR(CF_Gen_2[[#This Row],[Valuation]])-1,12,31),CF_Gen_2[[#This Row],['#Incurred]]*3)</f>
        <v>46112</v>
      </c>
      <c r="H6" s="14">
        <f>SUMIFS(Expected_CF[Expected_Premium],Expected_CF[ICG],CF_Gen_2[[#This Row],[ICG]],Expected_CF[Incurred],CF_Gen_2[[#This Row],[Incurred]])</f>
        <v>0</v>
      </c>
      <c r="I6" s="14">
        <f>SUMIFS(Expected_CF[Expected_Commission],Expected_CF[ICG],CF_Gen_2[[#This Row],[ICG]],Expected_CF[Incurred],CF_Gen_2[[#This Row],[Incurred]])</f>
        <v>0</v>
      </c>
      <c r="J6" s="14">
        <f>IF(CF_Gen_2[[#This Row],[Contract]]="IC",SUMIFS(Expected_CF[Expected_Acquisition],Expected_CF[ICG],CF_Gen_2[[#This Row],[ICG]],Expected_CF[Incurred],CF_Gen_2[[#This Row],[Incurred]]),0)</f>
        <v>0</v>
      </c>
      <c r="K6" s="14">
        <f>SUMIFS(Earned[Earned_Premium],Earned[ICG],CF_Gen_2[[#This Row],[ICG]],Earned[Incurred],CF_Gen_2[[#This Row],[Incurred]])</f>
        <v>-1222006730.8325436</v>
      </c>
      <c r="L6" s="14">
        <f>SUMIFS(Earned[Earned_Commission],Earned[ICG],CF_Gen_2[[#This Row],[ICG]],Earned[Incurred],CF_Gen_2[[#This Row],[Incurred]])</f>
        <v>404705396.86035979</v>
      </c>
      <c r="M6" s="18">
        <f>_xlfn.XLOOKUP(CF_Gen_2[[#This Row],[ICG]],Assumptions[ICG],Assumptions[Loss_Ratio])</f>
        <v>0.38</v>
      </c>
      <c r="N6" s="18">
        <f>_xlfn.XLOOKUP(CF_Gen_2[[#This Row],[ICG]],Assumptions[ICG],Assumptions[Risk_Adjustment_Ratio])</f>
        <v>0.13</v>
      </c>
      <c r="O6" s="18">
        <f>_xlfn.XLOOKUP(CF_Gen_2[[#This Row],[ICG]],Assumptions[ICG],Assumptions[PME_Ratio])</f>
        <v>0</v>
      </c>
      <c r="P6" s="18">
        <f>_xlfn.XLOOKUP(CF_Gen_2[[#This Row],[ICG]],Assumptions[ICG],Assumptions[ULAE_Ratio])</f>
        <v>0</v>
      </c>
      <c r="Q6" s="18">
        <f>_xlfn.XLOOKUP(CF_Gen_2[[#This Row],[ICG]],Assumptions[ICG],Assumptions[Cancellation_Ratio])</f>
        <v>7.0000000000000007E-2</v>
      </c>
      <c r="R6" s="18">
        <f>_xlfn.XLOOKUP(CF_Gen_2[[#This Row],[ICG]],Assumptions[ICG],Assumptions[Premium_Refund_Ratio])</f>
        <v>0.5</v>
      </c>
      <c r="S6" s="18">
        <f>IF(CF_Gen_2[[#This Row],[Contract]]="RC",_xlfn.XLOOKUP(CF_Gen_2[[#This Row],[ICG]],Assumptions[ICG],Assumptions[NPR_Ratio]),0)</f>
        <v>2.8000000000000001E-2</v>
      </c>
      <c r="T6" s="17">
        <f>T5*(1-CF_Gen_2[[#This Row],[Cancellation_Ratio]])</f>
        <v>0.74805200999999988</v>
      </c>
      <c r="U6" s="19">
        <f>IF(CF_Gen_2[[#This Row],[Incurred]]&lt;=CF_Gen_2[[#This Row],[Valuation]],CF_Gen_2[[#This Row],[Expected_Premium]],-CF_Gen_2[[#This Row],[Probability_of_Inforce]]*CF_Gen_2[[#This Row],[Premium_Refund_Ratio]]*CF_Gen_2[[#This Row],[Cancellation_Ratio]]*SUM(K6:K$105))</f>
        <v>1447968245.6714857</v>
      </c>
      <c r="V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Row],[Cancellation_Ratio]]*SUM(L6:L$105))</f>
        <v>-469187514.51070637</v>
      </c>
      <c r="W6" s="19">
        <f>CF_Gen_2[[#This Row],[Expected_Acquisition]]</f>
        <v>0</v>
      </c>
      <c r="X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" s="19">
        <f>-CF_Gen_2[[#This Row],[Probability_of_Inforce]]*CF_Gen_2[[#This Row],[Earned_Premium]]*(1-CF_Gen_2[[#This Row],[Cancellation_Ratio]])*CF_Gen_2[[#This Row],[Loss_Ratio]]</f>
        <v>323051630.54167616</v>
      </c>
      <c r="Z6" s="19">
        <f>CF_Gen_2[[#This Row],[Exp_Claim]]*CF_Gen_2[[#This Row],[Risk_Adjustment_Ratio]]</f>
        <v>41996711.970417902</v>
      </c>
      <c r="AA6" s="19">
        <f>IF(CF_Gen_2[[#This Row],[Contract]]="RC",-CF_Gen_2[[#This Row],[NPR_Ratio]]*CF_Gen_2[[#This Row],[Exp_Claim]],0)</f>
        <v>-9045445.6551669333</v>
      </c>
      <c r="AB6" s="19">
        <f>SUMIFS(Actual_CF[Actual_Premium],Actual_CF[ICG],CF_Gen_2[[#This Row],[ICG]],Actual_CF[Incurred],CF_Gen_2[[#This Row],[Incurred]])</f>
        <v>0</v>
      </c>
      <c r="AC6" s="19">
        <f>SUMIFS(Actual_CF[Actual_Commission],Actual_CF[ICG],CF_Gen_2[[#This Row],[ICG]],Actual_CF[Incurred],CF_Gen_2[[#This Row],[Incurred]])</f>
        <v>0</v>
      </c>
      <c r="AD6" s="19">
        <f>SUMIFS(Actual_CF[Actual_Acquisition],Actual_CF[ICG],CF_Gen_2[[#This Row],[ICG]],Actual_CF[Incurred],CF_Gen_2[[#This Row],[Incurred]])</f>
        <v>0</v>
      </c>
    </row>
    <row r="7" spans="1:30">
      <c r="A7" t="str">
        <f t="shared" si="1"/>
        <v>#2024#RC-Property</v>
      </c>
      <c r="B7">
        <f>_xlfn.XLOOKUP(CF_Gen_2[[#This Row],[ICG]],ICG[ICG],ICG[Cohort])</f>
        <v>2024</v>
      </c>
      <c r="C7" t="str">
        <f>_xlfn.XLOOKUP(CF_Gen_2[[#This Row],[ICG]],ICG[ICG],ICG[Portfolio])</f>
        <v>RC-Property</v>
      </c>
      <c r="D7" t="str">
        <f>_xlfn.XLOOKUP(CF_Gen_2[[#This Row],[ICG]],ICG[ICG],ICG[Contract])</f>
        <v>RC</v>
      </c>
      <c r="E7" s="2">
        <f t="shared" si="0"/>
        <v>45930</v>
      </c>
      <c r="F7">
        <v>6</v>
      </c>
      <c r="G7" s="2">
        <f>EOMONTH(DATE(YEAR(CF_Gen_2[[#This Row],[Valuation]])-1,12,31),CF_Gen_2[[#This Row],['#Incurred]]*3)</f>
        <v>46203</v>
      </c>
      <c r="H7" s="14">
        <f>SUMIFS(Expected_CF[Expected_Premium],Expected_CF[ICG],CF_Gen_2[[#This Row],[ICG]],Expected_CF[Incurred],CF_Gen_2[[#This Row],[Incurred]])</f>
        <v>0</v>
      </c>
      <c r="I7" s="14">
        <f>SUMIFS(Expected_CF[Expected_Commission],Expected_CF[ICG],CF_Gen_2[[#This Row],[ICG]],Expected_CF[Incurred],CF_Gen_2[[#This Row],[Incurred]])</f>
        <v>0</v>
      </c>
      <c r="J7" s="14">
        <f>IF(CF_Gen_2[[#This Row],[Contract]]="IC",SUMIFS(Expected_CF[Expected_Acquisition],Expected_CF[ICG],CF_Gen_2[[#This Row],[ICG]],Expected_CF[Incurred],CF_Gen_2[[#This Row],[Incurred]]),0)</f>
        <v>0</v>
      </c>
      <c r="K7" s="14">
        <f>SUMIFS(Earned[Earned_Premium],Earned[ICG],CF_Gen_2[[#This Row],[ICG]],Earned[Incurred],CF_Gen_2[[#This Row],[Incurred]])</f>
        <v>-1208353024.3427947</v>
      </c>
      <c r="L7" s="14">
        <f>SUMIFS(Earned[Earned_Commission],Earned[ICG],CF_Gen_2[[#This Row],[ICG]],Earned[Incurred],CF_Gen_2[[#This Row],[Incurred]])</f>
        <v>400080192.32481283</v>
      </c>
      <c r="M7" s="18">
        <f>_xlfn.XLOOKUP(CF_Gen_2[[#This Row],[ICG]],Assumptions[ICG],Assumptions[Loss_Ratio])</f>
        <v>0.38</v>
      </c>
      <c r="N7" s="18">
        <f>_xlfn.XLOOKUP(CF_Gen_2[[#This Row],[ICG]],Assumptions[ICG],Assumptions[Risk_Adjustment_Ratio])</f>
        <v>0.13</v>
      </c>
      <c r="O7" s="18">
        <f>_xlfn.XLOOKUP(CF_Gen_2[[#This Row],[ICG]],Assumptions[ICG],Assumptions[PME_Ratio])</f>
        <v>0</v>
      </c>
      <c r="P7" s="18">
        <f>_xlfn.XLOOKUP(CF_Gen_2[[#This Row],[ICG]],Assumptions[ICG],Assumptions[ULAE_Ratio])</f>
        <v>0</v>
      </c>
      <c r="Q7" s="18">
        <f>_xlfn.XLOOKUP(CF_Gen_2[[#This Row],[ICG]],Assumptions[ICG],Assumptions[Cancellation_Ratio])</f>
        <v>7.0000000000000007E-2</v>
      </c>
      <c r="R7" s="18">
        <f>_xlfn.XLOOKUP(CF_Gen_2[[#This Row],[ICG]],Assumptions[ICG],Assumptions[Premium_Refund_Ratio])</f>
        <v>0.5</v>
      </c>
      <c r="S7" s="18">
        <f>IF(CF_Gen_2[[#This Row],[Contract]]="RC",_xlfn.XLOOKUP(CF_Gen_2[[#This Row],[ICG]],Assumptions[ICG],Assumptions[NPR_Ratio]),0)</f>
        <v>2.8000000000000001E-2</v>
      </c>
      <c r="T7" s="17">
        <f>T6*(1-CF_Gen_2[[#This Row],[Cancellation_Ratio]])</f>
        <v>0.69568836929999989</v>
      </c>
      <c r="U7" s="19">
        <f>IF(CF_Gen_2[[#This Row],[Incurred]]&lt;=CF_Gen_2[[#This Row],[Valuation]],CF_Gen_2[[#This Row],[Expected_Premium]],-CF_Gen_2[[#This Row],[Probability_of_Inforce]]*CF_Gen_2[[#This Row],[Premium_Refund_Ratio]]*CF_Gen_2[[#This Row],[Cancellation_Ratio]]*SUM(K7:K$105))</f>
        <v>1316855713.0298538</v>
      </c>
      <c r="V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Row],[Cancellation_Ratio]]*SUM(L7:L$105))</f>
        <v>-426490179.17935264</v>
      </c>
      <c r="W7" s="19">
        <f>CF_Gen_2[[#This Row],[Expected_Acquisition]]</f>
        <v>0</v>
      </c>
      <c r="X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" s="19">
        <f>-CF_Gen_2[[#This Row],[Probability_of_Inforce]]*CF_Gen_2[[#This Row],[Earned_Premium]]*(1-CF_Gen_2[[#This Row],[Cancellation_Ratio]])*CF_Gen_2[[#This Row],[Loss_Ratio]]</f>
        <v>297081167.05846542</v>
      </c>
      <c r="Z7" s="19">
        <f>CF_Gen_2[[#This Row],[Exp_Claim]]*CF_Gen_2[[#This Row],[Risk_Adjustment_Ratio]]</f>
        <v>38620551.71760051</v>
      </c>
      <c r="AA7" s="19">
        <f>IF(CF_Gen_2[[#This Row],[Contract]]="RC",-CF_Gen_2[[#This Row],[NPR_Ratio]]*CF_Gen_2[[#This Row],[Exp_Claim]],0)</f>
        <v>-8318272.6776370322</v>
      </c>
      <c r="AB7" s="19">
        <f>SUMIFS(Actual_CF[Actual_Premium],Actual_CF[ICG],CF_Gen_2[[#This Row],[ICG]],Actual_CF[Incurred],CF_Gen_2[[#This Row],[Incurred]])</f>
        <v>0</v>
      </c>
      <c r="AC7" s="19">
        <f>SUMIFS(Actual_CF[Actual_Commission],Actual_CF[ICG],CF_Gen_2[[#This Row],[ICG]],Actual_CF[Incurred],CF_Gen_2[[#This Row],[Incurred]])</f>
        <v>0</v>
      </c>
      <c r="AD7" s="19">
        <f>SUMIFS(Actual_CF[Actual_Acquisition],Actual_CF[ICG],CF_Gen_2[[#This Row],[ICG]],Actual_CF[Incurred],CF_Gen_2[[#This Row],[Incurred]])</f>
        <v>0</v>
      </c>
    </row>
    <row r="8" spans="1:30">
      <c r="A8" t="str">
        <f t="shared" si="1"/>
        <v>#2024#RC-Property</v>
      </c>
      <c r="B8">
        <f>_xlfn.XLOOKUP(CF_Gen_2[[#This Row],[ICG]],ICG[ICG],ICG[Cohort])</f>
        <v>2024</v>
      </c>
      <c r="C8" t="str">
        <f>_xlfn.XLOOKUP(CF_Gen_2[[#This Row],[ICG]],ICG[ICG],ICG[Portfolio])</f>
        <v>RC-Property</v>
      </c>
      <c r="D8" t="str">
        <f>_xlfn.XLOOKUP(CF_Gen_2[[#This Row],[ICG]],ICG[ICG],ICG[Contract])</f>
        <v>RC</v>
      </c>
      <c r="E8" s="2">
        <f t="shared" si="0"/>
        <v>45930</v>
      </c>
      <c r="F8">
        <v>7</v>
      </c>
      <c r="G8" s="2">
        <f>EOMONTH(DATE(YEAR(CF_Gen_2[[#This Row],[Valuation]])-1,12,31),CF_Gen_2[[#This Row],['#Incurred]]*3)</f>
        <v>46295</v>
      </c>
      <c r="H8" s="14">
        <f>SUMIFS(Expected_CF[Expected_Premium],Expected_CF[ICG],CF_Gen_2[[#This Row],[ICG]],Expected_CF[Incurred],CF_Gen_2[[#This Row],[Incurred]])</f>
        <v>0</v>
      </c>
      <c r="I8" s="14">
        <f>SUMIFS(Expected_CF[Expected_Commission],Expected_CF[ICG],CF_Gen_2[[#This Row],[ICG]],Expected_CF[Incurred],CF_Gen_2[[#This Row],[Incurred]])</f>
        <v>0</v>
      </c>
      <c r="J8" s="14">
        <f>IF(CF_Gen_2[[#This Row],[Contract]]="IC",SUMIFS(Expected_CF[Expected_Acquisition],Expected_CF[ICG],CF_Gen_2[[#This Row],[ICG]],Expected_CF[Incurred],CF_Gen_2[[#This Row],[Incurred]]),0)</f>
        <v>0</v>
      </c>
      <c r="K8" s="14">
        <f>SUMIFS(Earned[Earned_Premium],Earned[ICG],CF_Gen_2[[#This Row],[ICG]],Earned[Incurred],CF_Gen_2[[#This Row],[Incurred]])</f>
        <v>-1194699317.8530455</v>
      </c>
      <c r="L8" s="14">
        <f>SUMIFS(Earned[Earned_Commission],Earned[ICG],CF_Gen_2[[#This Row],[ICG]],Earned[Incurred],CF_Gen_2[[#This Row],[Incurred]])</f>
        <v>395454987.78926587</v>
      </c>
      <c r="M8" s="18">
        <f>_xlfn.XLOOKUP(CF_Gen_2[[#This Row],[ICG]],Assumptions[ICG],Assumptions[Loss_Ratio])</f>
        <v>0.38</v>
      </c>
      <c r="N8" s="18">
        <f>_xlfn.XLOOKUP(CF_Gen_2[[#This Row],[ICG]],Assumptions[ICG],Assumptions[Risk_Adjustment_Ratio])</f>
        <v>0.13</v>
      </c>
      <c r="O8" s="18">
        <f>_xlfn.XLOOKUP(CF_Gen_2[[#This Row],[ICG]],Assumptions[ICG],Assumptions[PME_Ratio])</f>
        <v>0</v>
      </c>
      <c r="P8" s="18">
        <f>_xlfn.XLOOKUP(CF_Gen_2[[#This Row],[ICG]],Assumptions[ICG],Assumptions[ULAE_Ratio])</f>
        <v>0</v>
      </c>
      <c r="Q8" s="18">
        <f>_xlfn.XLOOKUP(CF_Gen_2[[#This Row],[ICG]],Assumptions[ICG],Assumptions[Cancellation_Ratio])</f>
        <v>7.0000000000000007E-2</v>
      </c>
      <c r="R8" s="18">
        <f>_xlfn.XLOOKUP(CF_Gen_2[[#This Row],[ICG]],Assumptions[ICG],Assumptions[Premium_Refund_Ratio])</f>
        <v>0.5</v>
      </c>
      <c r="S8" s="18">
        <f>IF(CF_Gen_2[[#This Row],[Contract]]="RC",_xlfn.XLOOKUP(CF_Gen_2[[#This Row],[ICG]],Assumptions[ICG],Assumptions[NPR_Ratio]),0)</f>
        <v>2.8000000000000001E-2</v>
      </c>
      <c r="T8" s="17">
        <f>T7*(1-CF_Gen_2[[#This Row],[Cancellation_Ratio]])</f>
        <v>0.64699018344899983</v>
      </c>
      <c r="U8" s="19">
        <f>IF(CF_Gen_2[[#This Row],[Incurred]]&lt;=CF_Gen_2[[#This Row],[Valuation]],CF_Gen_2[[#This Row],[Expected_Premium]],-CF_Gen_2[[#This Row],[Probability_of_Inforce]]*CF_Gen_2[[#This Row],[Premium_Refund_Ratio]]*CF_Gen_2[[#This Row],[Cancellation_Ratio]]*SUM(K8:K$105))</f>
        <v>1197313074.0465894</v>
      </c>
      <c r="V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Row],[Cancellation_Ratio]]*SUM(L8:L$105))</f>
        <v>-387576188.14086914</v>
      </c>
      <c r="W8" s="19">
        <f>CF_Gen_2[[#This Row],[Expected_Acquisition]]</f>
        <v>0</v>
      </c>
      <c r="X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" s="19">
        <f>-CF_Gen_2[[#This Row],[Probability_of_Inforce]]*CF_Gen_2[[#This Row],[Earned_Premium]]*(1-CF_Gen_2[[#This Row],[Cancellation_Ratio]])*CF_Gen_2[[#This Row],[Loss_Ratio]]</f>
        <v>273163615.47324997</v>
      </c>
      <c r="Z8" s="19">
        <f>CF_Gen_2[[#This Row],[Exp_Claim]]*CF_Gen_2[[#This Row],[Risk_Adjustment_Ratio]]</f>
        <v>35511270.011522494</v>
      </c>
      <c r="AA8" s="19">
        <f>IF(CF_Gen_2[[#This Row],[Contract]]="RC",-CF_Gen_2[[#This Row],[NPR_Ratio]]*CF_Gen_2[[#This Row],[Exp_Claim]],0)</f>
        <v>-7648581.2332509998</v>
      </c>
      <c r="AB8" s="19">
        <f>SUMIFS(Actual_CF[Actual_Premium],Actual_CF[ICG],CF_Gen_2[[#This Row],[ICG]],Actual_CF[Incurred],CF_Gen_2[[#This Row],[Incurred]])</f>
        <v>0</v>
      </c>
      <c r="AC8" s="19">
        <f>SUMIFS(Actual_CF[Actual_Commission],Actual_CF[ICG],CF_Gen_2[[#This Row],[ICG]],Actual_CF[Incurred],CF_Gen_2[[#This Row],[Incurred]])</f>
        <v>0</v>
      </c>
      <c r="AD8" s="19">
        <f>SUMIFS(Actual_CF[Actual_Acquisition],Actual_CF[ICG],CF_Gen_2[[#This Row],[ICG]],Actual_CF[Incurred],CF_Gen_2[[#This Row],[Incurred]])</f>
        <v>0</v>
      </c>
    </row>
    <row r="9" spans="1:30">
      <c r="A9" t="str">
        <f t="shared" si="1"/>
        <v>#2024#RC-Property</v>
      </c>
      <c r="B9">
        <f>_xlfn.XLOOKUP(CF_Gen_2[[#This Row],[ICG]],ICG[ICG],ICG[Cohort])</f>
        <v>2024</v>
      </c>
      <c r="C9" t="str">
        <f>_xlfn.XLOOKUP(CF_Gen_2[[#This Row],[ICG]],ICG[ICG],ICG[Portfolio])</f>
        <v>RC-Property</v>
      </c>
      <c r="D9" t="str">
        <f>_xlfn.XLOOKUP(CF_Gen_2[[#This Row],[ICG]],ICG[ICG],ICG[Contract])</f>
        <v>RC</v>
      </c>
      <c r="E9" s="2">
        <f t="shared" si="0"/>
        <v>45930</v>
      </c>
      <c r="F9">
        <v>8</v>
      </c>
      <c r="G9" s="2">
        <f>EOMONTH(DATE(YEAR(CF_Gen_2[[#This Row],[Valuation]])-1,12,31),CF_Gen_2[[#This Row],['#Incurred]]*3)</f>
        <v>46387</v>
      </c>
      <c r="H9" s="14">
        <f>SUMIFS(Expected_CF[Expected_Premium],Expected_CF[ICG],CF_Gen_2[[#This Row],[ICG]],Expected_CF[Incurred],CF_Gen_2[[#This Row],[Incurred]])</f>
        <v>0</v>
      </c>
      <c r="I9" s="14">
        <f>SUMIFS(Expected_CF[Expected_Commission],Expected_CF[ICG],CF_Gen_2[[#This Row],[ICG]],Expected_CF[Incurred],CF_Gen_2[[#This Row],[Incurred]])</f>
        <v>0</v>
      </c>
      <c r="J9" s="14">
        <f>IF(CF_Gen_2[[#This Row],[Contract]]="IC",SUMIFS(Expected_CF[Expected_Acquisition],Expected_CF[ICG],CF_Gen_2[[#This Row],[ICG]],Expected_CF[Incurred],CF_Gen_2[[#This Row],[Incurred]]),0)</f>
        <v>0</v>
      </c>
      <c r="K9" s="14">
        <f>SUMIFS(Earned[Earned_Premium],Earned[ICG],CF_Gen_2[[#This Row],[ICG]],Earned[Incurred],CF_Gen_2[[#This Row],[Incurred]])</f>
        <v>-1181045611.3632965</v>
      </c>
      <c r="L9" s="14">
        <f>SUMIFS(Earned[Earned_Commission],Earned[ICG],CF_Gen_2[[#This Row],[ICG]],Earned[Incurred],CF_Gen_2[[#This Row],[Incurred]])</f>
        <v>390829783.25371897</v>
      </c>
      <c r="M9" s="18">
        <f>_xlfn.XLOOKUP(CF_Gen_2[[#This Row],[ICG]],Assumptions[ICG],Assumptions[Loss_Ratio])</f>
        <v>0.38</v>
      </c>
      <c r="N9" s="18">
        <f>_xlfn.XLOOKUP(CF_Gen_2[[#This Row],[ICG]],Assumptions[ICG],Assumptions[Risk_Adjustment_Ratio])</f>
        <v>0.13</v>
      </c>
      <c r="O9" s="18">
        <f>_xlfn.XLOOKUP(CF_Gen_2[[#This Row],[ICG]],Assumptions[ICG],Assumptions[PME_Ratio])</f>
        <v>0</v>
      </c>
      <c r="P9" s="18">
        <f>_xlfn.XLOOKUP(CF_Gen_2[[#This Row],[ICG]],Assumptions[ICG],Assumptions[ULAE_Ratio])</f>
        <v>0</v>
      </c>
      <c r="Q9" s="18">
        <f>_xlfn.XLOOKUP(CF_Gen_2[[#This Row],[ICG]],Assumptions[ICG],Assumptions[Cancellation_Ratio])</f>
        <v>7.0000000000000007E-2</v>
      </c>
      <c r="R9" s="18">
        <f>_xlfn.XLOOKUP(CF_Gen_2[[#This Row],[ICG]],Assumptions[ICG],Assumptions[Premium_Refund_Ratio])</f>
        <v>0.5</v>
      </c>
      <c r="S9" s="18">
        <f>IF(CF_Gen_2[[#This Row],[Contract]]="RC",_xlfn.XLOOKUP(CF_Gen_2[[#This Row],[ICG]],Assumptions[ICG],Assumptions[NPR_Ratio]),0)</f>
        <v>2.8000000000000001E-2</v>
      </c>
      <c r="T9" s="17">
        <f>T8*(1-CF_Gen_2[[#This Row],[Cancellation_Ratio]])</f>
        <v>0.60170087060756983</v>
      </c>
      <c r="U9" s="19">
        <f>IF(CF_Gen_2[[#This Row],[Incurred]]&lt;=CF_Gen_2[[#This Row],[Valuation]],CF_Gen_2[[#This Row],[Expected_Premium]],-CF_Gen_2[[#This Row],[Probability_of_Inforce]]*CF_Gen_2[[#This Row],[Premium_Refund_Ratio]]*CF_Gen_2[[#This Row],[Cancellation_Ratio]]*SUM(K9:K$105))</f>
        <v>1088341352.1750023</v>
      </c>
      <c r="V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Row],[Cancellation_Ratio]]*SUM(L9:L$105))</f>
        <v>-352117758.60564655</v>
      </c>
      <c r="W9" s="19">
        <f>CF_Gen_2[[#This Row],[Expected_Acquisition]]</f>
        <v>0</v>
      </c>
      <c r="X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" s="19">
        <f>-CF_Gen_2[[#This Row],[Probability_of_Inforce]]*CF_Gen_2[[#This Row],[Earned_Premium]]*(1-CF_Gen_2[[#This Row],[Cancellation_Ratio]])*CF_Gen_2[[#This Row],[Loss_Ratio]]</f>
        <v>251138823.39137819</v>
      </c>
      <c r="Z9" s="19">
        <f>CF_Gen_2[[#This Row],[Exp_Claim]]*CF_Gen_2[[#This Row],[Risk_Adjustment_Ratio]]</f>
        <v>32648047.040879168</v>
      </c>
      <c r="AA9" s="19">
        <f>IF(CF_Gen_2[[#This Row],[Contract]]="RC",-CF_Gen_2[[#This Row],[NPR_Ratio]]*CF_Gen_2[[#This Row],[Exp_Claim]],0)</f>
        <v>-7031887.0549585894</v>
      </c>
      <c r="AB9" s="19">
        <f>SUMIFS(Actual_CF[Actual_Premium],Actual_CF[ICG],CF_Gen_2[[#This Row],[ICG]],Actual_CF[Incurred],CF_Gen_2[[#This Row],[Incurred]])</f>
        <v>0</v>
      </c>
      <c r="AC9" s="19">
        <f>SUMIFS(Actual_CF[Actual_Commission],Actual_CF[ICG],CF_Gen_2[[#This Row],[ICG]],Actual_CF[Incurred],CF_Gen_2[[#This Row],[Incurred]])</f>
        <v>0</v>
      </c>
      <c r="AD9" s="19">
        <f>SUMIFS(Actual_CF[Actual_Acquisition],Actual_CF[ICG],CF_Gen_2[[#This Row],[ICG]],Actual_CF[Incurred],CF_Gen_2[[#This Row],[Incurred]])</f>
        <v>0</v>
      </c>
    </row>
    <row r="10" spans="1:30">
      <c r="A10" t="str">
        <f t="shared" si="1"/>
        <v>#2024#RC-Property</v>
      </c>
      <c r="B10">
        <f>_xlfn.XLOOKUP(CF_Gen_2[[#This Row],[ICG]],ICG[ICG],ICG[Cohort])</f>
        <v>2024</v>
      </c>
      <c r="C10" t="str">
        <f>_xlfn.XLOOKUP(CF_Gen_2[[#This Row],[ICG]],ICG[ICG],ICG[Portfolio])</f>
        <v>RC-Property</v>
      </c>
      <c r="D10" t="str">
        <f>_xlfn.XLOOKUP(CF_Gen_2[[#This Row],[ICG]],ICG[ICG],ICG[Contract])</f>
        <v>RC</v>
      </c>
      <c r="E10" s="2">
        <f t="shared" si="0"/>
        <v>45930</v>
      </c>
      <c r="F10">
        <v>9</v>
      </c>
      <c r="G10" s="2">
        <f>EOMONTH(DATE(YEAR(CF_Gen_2[[#This Row],[Valuation]])-1,12,31),CF_Gen_2[[#This Row],['#Incurred]]*3)</f>
        <v>46477</v>
      </c>
      <c r="H10" s="14">
        <f>SUMIFS(Expected_CF[Expected_Premium],Expected_CF[ICG],CF_Gen_2[[#This Row],[ICG]],Expected_CF[Incurred],CF_Gen_2[[#This Row],[Incurred]])</f>
        <v>0</v>
      </c>
      <c r="I10" s="14">
        <f>SUMIFS(Expected_CF[Expected_Commission],Expected_CF[ICG],CF_Gen_2[[#This Row],[ICG]],Expected_CF[Incurred],CF_Gen_2[[#This Row],[Incurred]])</f>
        <v>0</v>
      </c>
      <c r="J10" s="14">
        <f>IF(CF_Gen_2[[#This Row],[Contract]]="IC",SUMIFS(Expected_CF[Expected_Acquisition],Expected_CF[ICG],CF_Gen_2[[#This Row],[ICG]],Expected_CF[Incurred],CF_Gen_2[[#This Row],[Incurred]]),0)</f>
        <v>0</v>
      </c>
      <c r="K10" s="14">
        <f>SUMIFS(Earned[Earned_Premium],Earned[ICG],CF_Gen_2[[#This Row],[ICG]],Earned[Incurred],CF_Gen_2[[#This Row],[Incurred]])</f>
        <v>-1167391904.8735473</v>
      </c>
      <c r="L10" s="14">
        <f>SUMIFS(Earned[Earned_Commission],Earned[ICG],CF_Gen_2[[#This Row],[ICG]],Earned[Incurred],CF_Gen_2[[#This Row],[Incurred]])</f>
        <v>386204578.71817207</v>
      </c>
      <c r="M10" s="18">
        <f>_xlfn.XLOOKUP(CF_Gen_2[[#This Row],[ICG]],Assumptions[ICG],Assumptions[Loss_Ratio])</f>
        <v>0.38</v>
      </c>
      <c r="N10" s="18">
        <f>_xlfn.XLOOKUP(CF_Gen_2[[#This Row],[ICG]],Assumptions[ICG],Assumptions[Risk_Adjustment_Ratio])</f>
        <v>0.13</v>
      </c>
      <c r="O10" s="18">
        <f>_xlfn.XLOOKUP(CF_Gen_2[[#This Row],[ICG]],Assumptions[ICG],Assumptions[PME_Ratio])</f>
        <v>0</v>
      </c>
      <c r="P10" s="18">
        <f>_xlfn.XLOOKUP(CF_Gen_2[[#This Row],[ICG]],Assumptions[ICG],Assumptions[ULAE_Ratio])</f>
        <v>0</v>
      </c>
      <c r="Q10" s="18">
        <f>_xlfn.XLOOKUP(CF_Gen_2[[#This Row],[ICG]],Assumptions[ICG],Assumptions[Cancellation_Ratio])</f>
        <v>7.0000000000000007E-2</v>
      </c>
      <c r="R10" s="18">
        <f>_xlfn.XLOOKUP(CF_Gen_2[[#This Row],[ICG]],Assumptions[ICG],Assumptions[Premium_Refund_Ratio])</f>
        <v>0.5</v>
      </c>
      <c r="S10" s="18">
        <f>IF(CF_Gen_2[[#This Row],[Contract]]="RC",_xlfn.XLOOKUP(CF_Gen_2[[#This Row],[ICG]],Assumptions[ICG],Assumptions[NPR_Ratio]),0)</f>
        <v>2.8000000000000001E-2</v>
      </c>
      <c r="T10" s="17">
        <f>T9*(1-CF_Gen_2[[#This Row],[Cancellation_Ratio]])</f>
        <v>0.5595818096650399</v>
      </c>
      <c r="U10" s="19">
        <f>IF(CF_Gen_2[[#This Row],[Incurred]]&lt;=CF_Gen_2[[#This Row],[Valuation]],CF_Gen_2[[#This Row],[Expected_Premium]],-CF_Gen_2[[#This Row],[Probability_of_Inforce]]*CF_Gen_2[[#This Row],[Premium_Refund_Ratio]]*CF_Gen_2[[#This Row],[Cancellation_Ratio]]*SUM(K10:K$105))</f>
        <v>989026250.10512519</v>
      </c>
      <c r="V1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Row],[Cancellation_Ratio]]*SUM(L10:L$105))</f>
        <v>-319814972.19480735</v>
      </c>
      <c r="W10" s="19">
        <f>CF_Gen_2[[#This Row],[Expected_Acquisition]]</f>
        <v>0</v>
      </c>
      <c r="X1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0" s="19">
        <f>-CF_Gen_2[[#This Row],[Probability_of_Inforce]]*CF_Gen_2[[#This Row],[Earned_Premium]]*(1-CF_Gen_2[[#This Row],[Cancellation_Ratio]])*CF_Gen_2[[#This Row],[Loss_Ratio]]</f>
        <v>230859000.48514956</v>
      </c>
      <c r="Z10" s="19">
        <f>CF_Gen_2[[#This Row],[Exp_Claim]]*CF_Gen_2[[#This Row],[Risk_Adjustment_Ratio]]</f>
        <v>30011670.063069444</v>
      </c>
      <c r="AA10" s="19">
        <f>IF(CF_Gen_2[[#This Row],[Contract]]="RC",-CF_Gen_2[[#This Row],[NPR_Ratio]]*CF_Gen_2[[#This Row],[Exp_Claim]],0)</f>
        <v>-6464052.0135841882</v>
      </c>
      <c r="AB10" s="19">
        <f>SUMIFS(Actual_CF[Actual_Premium],Actual_CF[ICG],CF_Gen_2[[#This Row],[ICG]],Actual_CF[Incurred],CF_Gen_2[[#This Row],[Incurred]])</f>
        <v>0</v>
      </c>
      <c r="AC10" s="19">
        <f>SUMIFS(Actual_CF[Actual_Commission],Actual_CF[ICG],CF_Gen_2[[#This Row],[ICG]],Actual_CF[Incurred],CF_Gen_2[[#This Row],[Incurred]])</f>
        <v>0</v>
      </c>
      <c r="AD10" s="19">
        <f>SUMIFS(Actual_CF[Actual_Acquisition],Actual_CF[ICG],CF_Gen_2[[#This Row],[ICG]],Actual_CF[Incurred],CF_Gen_2[[#This Row],[Incurred]])</f>
        <v>0</v>
      </c>
    </row>
    <row r="11" spans="1:30">
      <c r="A11" t="str">
        <f t="shared" si="1"/>
        <v>#2024#RC-Property</v>
      </c>
      <c r="B11">
        <f>_xlfn.XLOOKUP(CF_Gen_2[[#This Row],[ICG]],ICG[ICG],ICG[Cohort])</f>
        <v>2024</v>
      </c>
      <c r="C11" t="str">
        <f>_xlfn.XLOOKUP(CF_Gen_2[[#This Row],[ICG]],ICG[ICG],ICG[Portfolio])</f>
        <v>RC-Property</v>
      </c>
      <c r="D11" t="str">
        <f>_xlfn.XLOOKUP(CF_Gen_2[[#This Row],[ICG]],ICG[ICG],ICG[Contract])</f>
        <v>RC</v>
      </c>
      <c r="E11" s="2">
        <f t="shared" si="0"/>
        <v>45930</v>
      </c>
      <c r="F11">
        <v>10</v>
      </c>
      <c r="G11" s="2">
        <f>EOMONTH(DATE(YEAR(CF_Gen_2[[#This Row],[Valuation]])-1,12,31),CF_Gen_2[[#This Row],['#Incurred]]*3)</f>
        <v>46568</v>
      </c>
      <c r="H11" s="14">
        <f>SUMIFS(Expected_CF[Expected_Premium],Expected_CF[ICG],CF_Gen_2[[#This Row],[ICG]],Expected_CF[Incurred],CF_Gen_2[[#This Row],[Incurred]])</f>
        <v>0</v>
      </c>
      <c r="I11" s="14">
        <f>SUMIFS(Expected_CF[Expected_Commission],Expected_CF[ICG],CF_Gen_2[[#This Row],[ICG]],Expected_CF[Incurred],CF_Gen_2[[#This Row],[Incurred]])</f>
        <v>0</v>
      </c>
      <c r="J11" s="14">
        <f>IF(CF_Gen_2[[#This Row],[Contract]]="IC",SUMIFS(Expected_CF[Expected_Acquisition],Expected_CF[ICG],CF_Gen_2[[#This Row],[ICG]],Expected_CF[Incurred],CF_Gen_2[[#This Row],[Incurred]]),0)</f>
        <v>0</v>
      </c>
      <c r="K11" s="14">
        <f>SUMIFS(Earned[Earned_Premium],Earned[ICG],CF_Gen_2[[#This Row],[ICG]],Earned[Incurred],CF_Gen_2[[#This Row],[Incurred]])</f>
        <v>-1153738198.3837984</v>
      </c>
      <c r="L11" s="14">
        <f>SUMIFS(Earned[Earned_Commission],Earned[ICG],CF_Gen_2[[#This Row],[ICG]],Earned[Incurred],CF_Gen_2[[#This Row],[Incurred]])</f>
        <v>381579374.18262511</v>
      </c>
      <c r="M11" s="18">
        <f>_xlfn.XLOOKUP(CF_Gen_2[[#This Row],[ICG]],Assumptions[ICG],Assumptions[Loss_Ratio])</f>
        <v>0.38</v>
      </c>
      <c r="N11" s="18">
        <f>_xlfn.XLOOKUP(CF_Gen_2[[#This Row],[ICG]],Assumptions[ICG],Assumptions[Risk_Adjustment_Ratio])</f>
        <v>0.13</v>
      </c>
      <c r="O11" s="18">
        <f>_xlfn.XLOOKUP(CF_Gen_2[[#This Row],[ICG]],Assumptions[ICG],Assumptions[PME_Ratio])</f>
        <v>0</v>
      </c>
      <c r="P11" s="18">
        <f>_xlfn.XLOOKUP(CF_Gen_2[[#This Row],[ICG]],Assumptions[ICG],Assumptions[ULAE_Ratio])</f>
        <v>0</v>
      </c>
      <c r="Q11" s="18">
        <f>_xlfn.XLOOKUP(CF_Gen_2[[#This Row],[ICG]],Assumptions[ICG],Assumptions[Cancellation_Ratio])</f>
        <v>7.0000000000000007E-2</v>
      </c>
      <c r="R11" s="18">
        <f>_xlfn.XLOOKUP(CF_Gen_2[[#This Row],[ICG]],Assumptions[ICG],Assumptions[Premium_Refund_Ratio])</f>
        <v>0.5</v>
      </c>
      <c r="S11" s="18">
        <f>IF(CF_Gen_2[[#This Row],[Contract]]="RC",_xlfn.XLOOKUP(CF_Gen_2[[#This Row],[ICG]],Assumptions[ICG],Assumptions[NPR_Ratio]),0)</f>
        <v>2.8000000000000001E-2</v>
      </c>
      <c r="T11" s="17">
        <f>T10*(1-CF_Gen_2[[#This Row],[Cancellation_Ratio]])</f>
        <v>0.52041108298848704</v>
      </c>
      <c r="U11" s="19">
        <f>IF(CF_Gen_2[[#This Row],[Incurred]]&lt;=CF_Gen_2[[#This Row],[Valuation]],CF_Gen_2[[#This Row],[Expected_Premium]],-CF_Gen_2[[#This Row],[Probability_of_Inforce]]*CF_Gen_2[[#This Row],[Premium_Refund_Ratio]]*CF_Gen_2[[#This Row],[Cancellation_Ratio]]*SUM(K11:K$105))</f>
        <v>898531083.60571301</v>
      </c>
      <c r="V1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Row],[Cancellation_Ratio]]*SUM(L11:L$105))</f>
        <v>-290393444.13386655</v>
      </c>
      <c r="W11" s="19">
        <f>CF_Gen_2[[#This Row],[Expected_Acquisition]]</f>
        <v>0</v>
      </c>
      <c r="X1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1" s="19">
        <f>-CF_Gen_2[[#This Row],[Probability_of_Inforce]]*CF_Gen_2[[#This Row],[Earned_Premium]]*(1-CF_Gen_2[[#This Row],[Cancellation_Ratio]])*CF_Gen_2[[#This Row],[Loss_Ratio]]</f>
        <v>212187772.55117521</v>
      </c>
      <c r="Z11" s="19">
        <f>CF_Gen_2[[#This Row],[Exp_Claim]]*CF_Gen_2[[#This Row],[Risk_Adjustment_Ratio]]</f>
        <v>27584410.431652777</v>
      </c>
      <c r="AA11" s="19">
        <f>IF(CF_Gen_2[[#This Row],[Contract]]="RC",-CF_Gen_2[[#This Row],[NPR_Ratio]]*CF_Gen_2[[#This Row],[Exp_Claim]],0)</f>
        <v>-5941257.6314329058</v>
      </c>
      <c r="AB11" s="19">
        <f>SUMIFS(Actual_CF[Actual_Premium],Actual_CF[ICG],CF_Gen_2[[#This Row],[ICG]],Actual_CF[Incurred],CF_Gen_2[[#This Row],[Incurred]])</f>
        <v>0</v>
      </c>
      <c r="AC11" s="19">
        <f>SUMIFS(Actual_CF[Actual_Commission],Actual_CF[ICG],CF_Gen_2[[#This Row],[ICG]],Actual_CF[Incurred],CF_Gen_2[[#This Row],[Incurred]])</f>
        <v>0</v>
      </c>
      <c r="AD11" s="19">
        <f>SUMIFS(Actual_CF[Actual_Acquisition],Actual_CF[ICG],CF_Gen_2[[#This Row],[ICG]],Actual_CF[Incurred],CF_Gen_2[[#This Row],[Incurred]])</f>
        <v>0</v>
      </c>
    </row>
    <row r="12" spans="1:30">
      <c r="A12" t="str">
        <f t="shared" si="1"/>
        <v>#2024#RC-Property</v>
      </c>
      <c r="B12">
        <f>_xlfn.XLOOKUP(CF_Gen_2[[#This Row],[ICG]],ICG[ICG],ICG[Cohort])</f>
        <v>2024</v>
      </c>
      <c r="C12" t="str">
        <f>_xlfn.XLOOKUP(CF_Gen_2[[#This Row],[ICG]],ICG[ICG],ICG[Portfolio])</f>
        <v>RC-Property</v>
      </c>
      <c r="D12" t="str">
        <f>_xlfn.XLOOKUP(CF_Gen_2[[#This Row],[ICG]],ICG[ICG],ICG[Contract])</f>
        <v>RC</v>
      </c>
      <c r="E12" s="2">
        <f t="shared" si="0"/>
        <v>45930</v>
      </c>
      <c r="F12">
        <v>11</v>
      </c>
      <c r="G12" s="2">
        <f>EOMONTH(DATE(YEAR(CF_Gen_2[[#This Row],[Valuation]])-1,12,31),CF_Gen_2[[#This Row],['#Incurred]]*3)</f>
        <v>46660</v>
      </c>
      <c r="H12" s="14">
        <f>SUMIFS(Expected_CF[Expected_Premium],Expected_CF[ICG],CF_Gen_2[[#This Row],[ICG]],Expected_CF[Incurred],CF_Gen_2[[#This Row],[Incurred]])</f>
        <v>0</v>
      </c>
      <c r="I12" s="14">
        <f>SUMIFS(Expected_CF[Expected_Commission],Expected_CF[ICG],CF_Gen_2[[#This Row],[ICG]],Expected_CF[Incurred],CF_Gen_2[[#This Row],[Incurred]])</f>
        <v>0</v>
      </c>
      <c r="J12" s="14">
        <f>IF(CF_Gen_2[[#This Row],[Contract]]="IC",SUMIFS(Expected_CF[Expected_Acquisition],Expected_CF[ICG],CF_Gen_2[[#This Row],[ICG]],Expected_CF[Incurred],CF_Gen_2[[#This Row],[Incurred]]),0)</f>
        <v>0</v>
      </c>
      <c r="K12" s="14">
        <f>SUMIFS(Earned[Earned_Premium],Earned[ICG],CF_Gen_2[[#This Row],[ICG]],Earned[Incurred],CF_Gen_2[[#This Row],[Incurred]])</f>
        <v>-1140084491.8940494</v>
      </c>
      <c r="L12" s="14">
        <f>SUMIFS(Earned[Earned_Commission],Earned[ICG],CF_Gen_2[[#This Row],[ICG]],Earned[Incurred],CF_Gen_2[[#This Row],[Incurred]])</f>
        <v>376954169.64707816</v>
      </c>
      <c r="M12" s="18">
        <f>_xlfn.XLOOKUP(CF_Gen_2[[#This Row],[ICG]],Assumptions[ICG],Assumptions[Loss_Ratio])</f>
        <v>0.38</v>
      </c>
      <c r="N12" s="18">
        <f>_xlfn.XLOOKUP(CF_Gen_2[[#This Row],[ICG]],Assumptions[ICG],Assumptions[Risk_Adjustment_Ratio])</f>
        <v>0.13</v>
      </c>
      <c r="O12" s="18">
        <f>_xlfn.XLOOKUP(CF_Gen_2[[#This Row],[ICG]],Assumptions[ICG],Assumptions[PME_Ratio])</f>
        <v>0</v>
      </c>
      <c r="P12" s="18">
        <f>_xlfn.XLOOKUP(CF_Gen_2[[#This Row],[ICG]],Assumptions[ICG],Assumptions[ULAE_Ratio])</f>
        <v>0</v>
      </c>
      <c r="Q12" s="18">
        <f>_xlfn.XLOOKUP(CF_Gen_2[[#This Row],[ICG]],Assumptions[ICG],Assumptions[Cancellation_Ratio])</f>
        <v>7.0000000000000007E-2</v>
      </c>
      <c r="R12" s="18">
        <f>_xlfn.XLOOKUP(CF_Gen_2[[#This Row],[ICG]],Assumptions[ICG],Assumptions[Premium_Refund_Ratio])</f>
        <v>0.5</v>
      </c>
      <c r="S12" s="18">
        <f>IF(CF_Gen_2[[#This Row],[Contract]]="RC",_xlfn.XLOOKUP(CF_Gen_2[[#This Row],[ICG]],Assumptions[ICG],Assumptions[NPR_Ratio]),0)</f>
        <v>2.8000000000000001E-2</v>
      </c>
      <c r="T12" s="17">
        <f>T11*(1-CF_Gen_2[[#This Row],[Cancellation_Ratio]])</f>
        <v>0.48398230717929291</v>
      </c>
      <c r="U12" s="19">
        <f>IF(CF_Gen_2[[#This Row],[Incurred]]&lt;=CF_Gen_2[[#This Row],[Valuation]],CF_Gen_2[[#This Row],[Expected_Premium]],-CF_Gen_2[[#This Row],[Probability_of_Inforce]]*CF_Gen_2[[#This Row],[Premium_Refund_Ratio]]*CF_Gen_2[[#This Row],[Cancellation_Ratio]]*SUM(K12:K$105))</f>
        <v>816090297.12359977</v>
      </c>
      <c r="V1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Row],[Cancellation_Ratio]]*SUM(L12:L$105))</f>
        <v>-263602184.73838308</v>
      </c>
      <c r="W12" s="19">
        <f>CF_Gen_2[[#This Row],[Expected_Acquisition]]</f>
        <v>0</v>
      </c>
      <c r="X1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2" s="19">
        <f>-CF_Gen_2[[#This Row],[Probability_of_Inforce]]*CF_Gen_2[[#This Row],[Earned_Premium]]*(1-CF_Gen_2[[#This Row],[Cancellation_Ratio]])*CF_Gen_2[[#This Row],[Loss_Ratio]]</f>
        <v>194999307.42557997</v>
      </c>
      <c r="Z12" s="19">
        <f>CF_Gen_2[[#This Row],[Exp_Claim]]*CF_Gen_2[[#This Row],[Risk_Adjustment_Ratio]]</f>
        <v>25349909.965325397</v>
      </c>
      <c r="AA12" s="19">
        <f>IF(CF_Gen_2[[#This Row],[Contract]]="RC",-CF_Gen_2[[#This Row],[NPR_Ratio]]*CF_Gen_2[[#This Row],[Exp_Claim]],0)</f>
        <v>-5459980.6079162387</v>
      </c>
      <c r="AB12" s="19">
        <f>SUMIFS(Actual_CF[Actual_Premium],Actual_CF[ICG],CF_Gen_2[[#This Row],[ICG]],Actual_CF[Incurred],CF_Gen_2[[#This Row],[Incurred]])</f>
        <v>0</v>
      </c>
      <c r="AC12" s="19">
        <f>SUMIFS(Actual_CF[Actual_Commission],Actual_CF[ICG],CF_Gen_2[[#This Row],[ICG]],Actual_CF[Incurred],CF_Gen_2[[#This Row],[Incurred]])</f>
        <v>0</v>
      </c>
      <c r="AD12" s="19">
        <f>SUMIFS(Actual_CF[Actual_Acquisition],Actual_CF[ICG],CF_Gen_2[[#This Row],[ICG]],Actual_CF[Incurred],CF_Gen_2[[#This Row],[Incurred]])</f>
        <v>0</v>
      </c>
    </row>
    <row r="13" spans="1:30">
      <c r="A13" t="str">
        <f t="shared" si="1"/>
        <v>#2024#RC-Property</v>
      </c>
      <c r="B13">
        <f>_xlfn.XLOOKUP(CF_Gen_2[[#This Row],[ICG]],ICG[ICG],ICG[Cohort])</f>
        <v>2024</v>
      </c>
      <c r="C13" t="str">
        <f>_xlfn.XLOOKUP(CF_Gen_2[[#This Row],[ICG]],ICG[ICG],ICG[Portfolio])</f>
        <v>RC-Property</v>
      </c>
      <c r="D13" t="str">
        <f>_xlfn.XLOOKUP(CF_Gen_2[[#This Row],[ICG]],ICG[ICG],ICG[Contract])</f>
        <v>RC</v>
      </c>
      <c r="E13" s="2">
        <f t="shared" si="0"/>
        <v>45930</v>
      </c>
      <c r="F13">
        <v>12</v>
      </c>
      <c r="G13" s="2">
        <f>EOMONTH(DATE(YEAR(CF_Gen_2[[#This Row],[Valuation]])-1,12,31),CF_Gen_2[[#This Row],['#Incurred]]*3)</f>
        <v>46752</v>
      </c>
      <c r="H13" s="14">
        <f>SUMIFS(Expected_CF[Expected_Premium],Expected_CF[ICG],CF_Gen_2[[#This Row],[ICG]],Expected_CF[Incurred],CF_Gen_2[[#This Row],[Incurred]])</f>
        <v>0</v>
      </c>
      <c r="I13" s="14">
        <f>SUMIFS(Expected_CF[Expected_Commission],Expected_CF[ICG],CF_Gen_2[[#This Row],[ICG]],Expected_CF[Incurred],CF_Gen_2[[#This Row],[Incurred]])</f>
        <v>0</v>
      </c>
      <c r="J13" s="14">
        <f>IF(CF_Gen_2[[#This Row],[Contract]]="IC",SUMIFS(Expected_CF[Expected_Acquisition],Expected_CF[ICG],CF_Gen_2[[#This Row],[ICG]],Expected_CF[Incurred],CF_Gen_2[[#This Row],[Incurred]]),0)</f>
        <v>0</v>
      </c>
      <c r="K13" s="14">
        <f>SUMIFS(Earned[Earned_Premium],Earned[ICG],CF_Gen_2[[#This Row],[ICG]],Earned[Incurred],CF_Gen_2[[#This Row],[Incurred]])</f>
        <v>-1126430785.4043002</v>
      </c>
      <c r="L13" s="14">
        <f>SUMIFS(Earned[Earned_Commission],Earned[ICG],CF_Gen_2[[#This Row],[ICG]],Earned[Incurred],CF_Gen_2[[#This Row],[Incurred]])</f>
        <v>372328965.1115312</v>
      </c>
      <c r="M13" s="18">
        <f>_xlfn.XLOOKUP(CF_Gen_2[[#This Row],[ICG]],Assumptions[ICG],Assumptions[Loss_Ratio])</f>
        <v>0.38</v>
      </c>
      <c r="N13" s="18">
        <f>_xlfn.XLOOKUP(CF_Gen_2[[#This Row],[ICG]],Assumptions[ICG],Assumptions[Risk_Adjustment_Ratio])</f>
        <v>0.13</v>
      </c>
      <c r="O13" s="18">
        <f>_xlfn.XLOOKUP(CF_Gen_2[[#This Row],[ICG]],Assumptions[ICG],Assumptions[PME_Ratio])</f>
        <v>0</v>
      </c>
      <c r="P13" s="18">
        <f>_xlfn.XLOOKUP(CF_Gen_2[[#This Row],[ICG]],Assumptions[ICG],Assumptions[ULAE_Ratio])</f>
        <v>0</v>
      </c>
      <c r="Q13" s="18">
        <f>_xlfn.XLOOKUP(CF_Gen_2[[#This Row],[ICG]],Assumptions[ICG],Assumptions[Cancellation_Ratio])</f>
        <v>7.0000000000000007E-2</v>
      </c>
      <c r="R13" s="18">
        <f>_xlfn.XLOOKUP(CF_Gen_2[[#This Row],[ICG]],Assumptions[ICG],Assumptions[Premium_Refund_Ratio])</f>
        <v>0.5</v>
      </c>
      <c r="S13" s="18">
        <f>IF(CF_Gen_2[[#This Row],[Contract]]="RC",_xlfn.XLOOKUP(CF_Gen_2[[#This Row],[ICG]],Assumptions[ICG],Assumptions[NPR_Ratio]),0)</f>
        <v>2.8000000000000001E-2</v>
      </c>
      <c r="T13" s="17">
        <f>T12*(1-CF_Gen_2[[#This Row],[Cancellation_Ratio]])</f>
        <v>0.45010354567674238</v>
      </c>
      <c r="U13" s="19">
        <f>IF(CF_Gen_2[[#This Row],[Incurred]]&lt;=CF_Gen_2[[#This Row],[Valuation]],CF_Gen_2[[#This Row],[Expected_Premium]],-CF_Gen_2[[#This Row],[Probability_of_Inforce]]*CF_Gen_2[[#This Row],[Premium_Refund_Ratio]]*CF_Gen_2[[#This Row],[Cancellation_Ratio]]*SUM(K13:K$105))</f>
        <v>741003513.79890716</v>
      </c>
      <c r="V1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Row],[Cancellation_Ratio]]*SUM(L13:L$105))</f>
        <v>-239211637.51564381</v>
      </c>
      <c r="W13" s="19">
        <f>CF_Gen_2[[#This Row],[Expected_Acquisition]]</f>
        <v>0</v>
      </c>
      <c r="X1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3" s="19">
        <f>-CF_Gen_2[[#This Row],[Probability_of_Inforce]]*CF_Gen_2[[#This Row],[Earned_Premium]]*(1-CF_Gen_2[[#This Row],[Cancellation_Ratio]])*CF_Gen_2[[#This Row],[Loss_Ratio]]</f>
        <v>179177507.33206734</v>
      </c>
      <c r="Z13" s="19">
        <f>CF_Gen_2[[#This Row],[Exp_Claim]]*CF_Gen_2[[#This Row],[Risk_Adjustment_Ratio]]</f>
        <v>23293075.953168754</v>
      </c>
      <c r="AA13" s="19">
        <f>IF(CF_Gen_2[[#This Row],[Contract]]="RC",-CF_Gen_2[[#This Row],[NPR_Ratio]]*CF_Gen_2[[#This Row],[Exp_Claim]],0)</f>
        <v>-5016970.2052978855</v>
      </c>
      <c r="AB13" s="19">
        <f>SUMIFS(Actual_CF[Actual_Premium],Actual_CF[ICG],CF_Gen_2[[#This Row],[ICG]],Actual_CF[Incurred],CF_Gen_2[[#This Row],[Incurred]])</f>
        <v>0</v>
      </c>
      <c r="AC13" s="19">
        <f>SUMIFS(Actual_CF[Actual_Commission],Actual_CF[ICG],CF_Gen_2[[#This Row],[ICG]],Actual_CF[Incurred],CF_Gen_2[[#This Row],[Incurred]])</f>
        <v>0</v>
      </c>
      <c r="AD13" s="19">
        <f>SUMIFS(Actual_CF[Actual_Acquisition],Actual_CF[ICG],CF_Gen_2[[#This Row],[ICG]],Actual_CF[Incurred],CF_Gen_2[[#This Row],[Incurred]])</f>
        <v>0</v>
      </c>
    </row>
    <row r="14" spans="1:30">
      <c r="A14" t="str">
        <f t="shared" si="1"/>
        <v>#2024#RC-Property</v>
      </c>
      <c r="B14">
        <f>_xlfn.XLOOKUP(CF_Gen_2[[#This Row],[ICG]],ICG[ICG],ICG[Cohort])</f>
        <v>2024</v>
      </c>
      <c r="C14" t="str">
        <f>_xlfn.XLOOKUP(CF_Gen_2[[#This Row],[ICG]],ICG[ICG],ICG[Portfolio])</f>
        <v>RC-Property</v>
      </c>
      <c r="D14" t="str">
        <f>_xlfn.XLOOKUP(CF_Gen_2[[#This Row],[ICG]],ICG[ICG],ICG[Contract])</f>
        <v>RC</v>
      </c>
      <c r="E14" s="2">
        <f t="shared" si="0"/>
        <v>45930</v>
      </c>
      <c r="F14">
        <v>13</v>
      </c>
      <c r="G14" s="2">
        <f>EOMONTH(DATE(YEAR(CF_Gen_2[[#This Row],[Valuation]])-1,12,31),CF_Gen_2[[#This Row],['#Incurred]]*3)</f>
        <v>46843</v>
      </c>
      <c r="H14" s="14">
        <f>SUMIFS(Expected_CF[Expected_Premium],Expected_CF[ICG],CF_Gen_2[[#This Row],[ICG]],Expected_CF[Incurred],CF_Gen_2[[#This Row],[Incurred]])</f>
        <v>0</v>
      </c>
      <c r="I14" s="14">
        <f>SUMIFS(Expected_CF[Expected_Commission],Expected_CF[ICG],CF_Gen_2[[#This Row],[ICG]],Expected_CF[Incurred],CF_Gen_2[[#This Row],[Incurred]])</f>
        <v>0</v>
      </c>
      <c r="J14" s="14">
        <f>IF(CF_Gen_2[[#This Row],[Contract]]="IC",SUMIFS(Expected_CF[Expected_Acquisition],Expected_CF[ICG],CF_Gen_2[[#This Row],[ICG]],Expected_CF[Incurred],CF_Gen_2[[#This Row],[Incurred]]),0)</f>
        <v>0</v>
      </c>
      <c r="K14" s="14">
        <f>SUMIFS(Earned[Earned_Premium],Earned[ICG],CF_Gen_2[[#This Row],[ICG]],Earned[Incurred],CF_Gen_2[[#This Row],[Incurred]])</f>
        <v>-1112777078.914551</v>
      </c>
      <c r="L14" s="14">
        <f>SUMIFS(Earned[Earned_Commission],Earned[ICG],CF_Gen_2[[#This Row],[ICG]],Earned[Incurred],CF_Gen_2[[#This Row],[Incurred]])</f>
        <v>367703760.5759843</v>
      </c>
      <c r="M14" s="18">
        <f>_xlfn.XLOOKUP(CF_Gen_2[[#This Row],[ICG]],Assumptions[ICG],Assumptions[Loss_Ratio])</f>
        <v>0.38</v>
      </c>
      <c r="N14" s="18">
        <f>_xlfn.XLOOKUP(CF_Gen_2[[#This Row],[ICG]],Assumptions[ICG],Assumptions[Risk_Adjustment_Ratio])</f>
        <v>0.13</v>
      </c>
      <c r="O14" s="18">
        <f>_xlfn.XLOOKUP(CF_Gen_2[[#This Row],[ICG]],Assumptions[ICG],Assumptions[PME_Ratio])</f>
        <v>0</v>
      </c>
      <c r="P14" s="18">
        <f>_xlfn.XLOOKUP(CF_Gen_2[[#This Row],[ICG]],Assumptions[ICG],Assumptions[ULAE_Ratio])</f>
        <v>0</v>
      </c>
      <c r="Q14" s="18">
        <f>_xlfn.XLOOKUP(CF_Gen_2[[#This Row],[ICG]],Assumptions[ICG],Assumptions[Cancellation_Ratio])</f>
        <v>7.0000000000000007E-2</v>
      </c>
      <c r="R14" s="18">
        <f>_xlfn.XLOOKUP(CF_Gen_2[[#This Row],[ICG]],Assumptions[ICG],Assumptions[Premium_Refund_Ratio])</f>
        <v>0.5</v>
      </c>
      <c r="S14" s="18">
        <f>IF(CF_Gen_2[[#This Row],[Contract]]="RC",_xlfn.XLOOKUP(CF_Gen_2[[#This Row],[ICG]],Assumptions[ICG],Assumptions[NPR_Ratio]),0)</f>
        <v>2.8000000000000001E-2</v>
      </c>
      <c r="T14" s="17">
        <f>T13*(1-CF_Gen_2[[#This Row],[Cancellation_Ratio]])</f>
        <v>0.41859629747937038</v>
      </c>
      <c r="U14" s="19">
        <f>IF(CF_Gen_2[[#This Row],[Incurred]]&lt;=CF_Gen_2[[#This Row],[Valuation]],CF_Gen_2[[#This Row],[Expected_Premium]],-CF_Gen_2[[#This Row],[Probability_of_Inforce]]*CF_Gen_2[[#This Row],[Premium_Refund_Ratio]]*CF_Gen_2[[#This Row],[Cancellation_Ratio]]*SUM(K14:K$105))</f>
        <v>672630076.36818802</v>
      </c>
      <c r="V1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Row],[Cancellation_Ratio]]*SUM(L14:L$105))</f>
        <v>-217011879.47114828</v>
      </c>
      <c r="W14" s="19">
        <f>CF_Gen_2[[#This Row],[Expected_Acquisition]]</f>
        <v>0</v>
      </c>
      <c r="X1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4" s="19">
        <f>-CF_Gen_2[[#This Row],[Probability_of_Inforce]]*CF_Gen_2[[#This Row],[Earned_Premium]]*(1-CF_Gen_2[[#This Row],[Cancellation_Ratio]])*CF_Gen_2[[#This Row],[Loss_Ratio]]</f>
        <v>164615262.64526108</v>
      </c>
      <c r="Z14" s="19">
        <f>CF_Gen_2[[#This Row],[Exp_Claim]]*CF_Gen_2[[#This Row],[Risk_Adjustment_Ratio]]</f>
        <v>21399984.14388394</v>
      </c>
      <c r="AA14" s="19">
        <f>IF(CF_Gen_2[[#This Row],[Contract]]="RC",-CF_Gen_2[[#This Row],[NPR_Ratio]]*CF_Gen_2[[#This Row],[Exp_Claim]],0)</f>
        <v>-4609227.3540673107</v>
      </c>
      <c r="AB14" s="19">
        <f>SUMIFS(Actual_CF[Actual_Premium],Actual_CF[ICG],CF_Gen_2[[#This Row],[ICG]],Actual_CF[Incurred],CF_Gen_2[[#This Row],[Incurred]])</f>
        <v>0</v>
      </c>
      <c r="AC14" s="19">
        <f>SUMIFS(Actual_CF[Actual_Commission],Actual_CF[ICG],CF_Gen_2[[#This Row],[ICG]],Actual_CF[Incurred],CF_Gen_2[[#This Row],[Incurred]])</f>
        <v>0</v>
      </c>
      <c r="AD14" s="19">
        <f>SUMIFS(Actual_CF[Actual_Acquisition],Actual_CF[ICG],CF_Gen_2[[#This Row],[ICG]],Actual_CF[Incurred],CF_Gen_2[[#This Row],[Incurred]])</f>
        <v>0</v>
      </c>
    </row>
    <row r="15" spans="1:30">
      <c r="A15" t="str">
        <f t="shared" si="1"/>
        <v>#2024#RC-Property</v>
      </c>
      <c r="B15">
        <f>_xlfn.XLOOKUP(CF_Gen_2[[#This Row],[ICG]],ICG[ICG],ICG[Cohort])</f>
        <v>2024</v>
      </c>
      <c r="C15" t="str">
        <f>_xlfn.XLOOKUP(CF_Gen_2[[#This Row],[ICG]],ICG[ICG],ICG[Portfolio])</f>
        <v>RC-Property</v>
      </c>
      <c r="D15" t="str">
        <f>_xlfn.XLOOKUP(CF_Gen_2[[#This Row],[ICG]],ICG[ICG],ICG[Contract])</f>
        <v>RC</v>
      </c>
      <c r="E15" s="2">
        <f t="shared" si="0"/>
        <v>45930</v>
      </c>
      <c r="F15">
        <v>14</v>
      </c>
      <c r="G15" s="2">
        <f>EOMONTH(DATE(YEAR(CF_Gen_2[[#This Row],[Valuation]])-1,12,31),CF_Gen_2[[#This Row],['#Incurred]]*3)</f>
        <v>46934</v>
      </c>
      <c r="H15" s="14">
        <f>SUMIFS(Expected_CF[Expected_Premium],Expected_CF[ICG],CF_Gen_2[[#This Row],[ICG]],Expected_CF[Incurred],CF_Gen_2[[#This Row],[Incurred]])</f>
        <v>0</v>
      </c>
      <c r="I15" s="14">
        <f>SUMIFS(Expected_CF[Expected_Commission],Expected_CF[ICG],CF_Gen_2[[#This Row],[ICG]],Expected_CF[Incurred],CF_Gen_2[[#This Row],[Incurred]])</f>
        <v>0</v>
      </c>
      <c r="J15" s="14">
        <f>IF(CF_Gen_2[[#This Row],[Contract]]="IC",SUMIFS(Expected_CF[Expected_Acquisition],Expected_CF[ICG],CF_Gen_2[[#This Row],[ICG]],Expected_CF[Incurred],CF_Gen_2[[#This Row],[Incurred]]),0)</f>
        <v>0</v>
      </c>
      <c r="K15" s="14">
        <f>SUMIFS(Earned[Earned_Premium],Earned[ICG],CF_Gen_2[[#This Row],[ICG]],Earned[Incurred],CF_Gen_2[[#This Row],[Incurred]])</f>
        <v>-1099123372.4248021</v>
      </c>
      <c r="L15" s="14">
        <f>SUMIFS(Earned[Earned_Commission],Earned[ICG],CF_Gen_2[[#This Row],[ICG]],Earned[Incurred],CF_Gen_2[[#This Row],[Incurred]])</f>
        <v>363078556.04043734</v>
      </c>
      <c r="M15" s="18">
        <f>_xlfn.XLOOKUP(CF_Gen_2[[#This Row],[ICG]],Assumptions[ICG],Assumptions[Loss_Ratio])</f>
        <v>0.38</v>
      </c>
      <c r="N15" s="18">
        <f>_xlfn.XLOOKUP(CF_Gen_2[[#This Row],[ICG]],Assumptions[ICG],Assumptions[Risk_Adjustment_Ratio])</f>
        <v>0.13</v>
      </c>
      <c r="O15" s="18">
        <f>_xlfn.XLOOKUP(CF_Gen_2[[#This Row],[ICG]],Assumptions[ICG],Assumptions[PME_Ratio])</f>
        <v>0</v>
      </c>
      <c r="P15" s="18">
        <f>_xlfn.XLOOKUP(CF_Gen_2[[#This Row],[ICG]],Assumptions[ICG],Assumptions[ULAE_Ratio])</f>
        <v>0</v>
      </c>
      <c r="Q15" s="18">
        <f>_xlfn.XLOOKUP(CF_Gen_2[[#This Row],[ICG]],Assumptions[ICG],Assumptions[Cancellation_Ratio])</f>
        <v>7.0000000000000007E-2</v>
      </c>
      <c r="R15" s="18">
        <f>_xlfn.XLOOKUP(CF_Gen_2[[#This Row],[ICG]],Assumptions[ICG],Assumptions[Premium_Refund_Ratio])</f>
        <v>0.5</v>
      </c>
      <c r="S15" s="18">
        <f>IF(CF_Gen_2[[#This Row],[Contract]]="RC",_xlfn.XLOOKUP(CF_Gen_2[[#This Row],[ICG]],Assumptions[ICG],Assumptions[NPR_Ratio]),0)</f>
        <v>2.8000000000000001E-2</v>
      </c>
      <c r="T15" s="17">
        <f>T14*(1-CF_Gen_2[[#This Row],[Cancellation_Ratio]])</f>
        <v>0.38929455665581442</v>
      </c>
      <c r="U15" s="19">
        <f>IF(CF_Gen_2[[#This Row],[Incurred]]&lt;=CF_Gen_2[[#This Row],[Valuation]],CF_Gen_2[[#This Row],[Expected_Premium]],-CF_Gen_2[[#This Row],[Probability_of_Inforce]]*CF_Gen_2[[#This Row],[Premium_Refund_Ratio]]*CF_Gen_2[[#This Row],[Cancellation_Ratio]]*SUM(K15:K$105))</f>
        <v>610384038.93666708</v>
      </c>
      <c r="V1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Row],[Cancellation_Ratio]]*SUM(L15:L$105))</f>
        <v>-196810970.37227425</v>
      </c>
      <c r="W15" s="19">
        <f>CF_Gen_2[[#This Row],[Expected_Acquisition]]</f>
        <v>0</v>
      </c>
      <c r="X1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5" s="19">
        <f>-CF_Gen_2[[#This Row],[Probability_of_Inforce]]*CF_Gen_2[[#This Row],[Earned_Premium]]*(1-CF_Gen_2[[#This Row],[Cancellation_Ratio]])*CF_Gen_2[[#This Row],[Loss_Ratio]]</f>
        <v>151213762.42868066</v>
      </c>
      <c r="Z15" s="19">
        <f>CF_Gen_2[[#This Row],[Exp_Claim]]*CF_Gen_2[[#This Row],[Risk_Adjustment_Ratio]]</f>
        <v>19657789.115728486</v>
      </c>
      <c r="AA15" s="19">
        <f>IF(CF_Gen_2[[#This Row],[Contract]]="RC",-CF_Gen_2[[#This Row],[NPR_Ratio]]*CF_Gen_2[[#This Row],[Exp_Claim]],0)</f>
        <v>-4233985.3480030587</v>
      </c>
      <c r="AB15" s="19">
        <f>SUMIFS(Actual_CF[Actual_Premium],Actual_CF[ICG],CF_Gen_2[[#This Row],[ICG]],Actual_CF[Incurred],CF_Gen_2[[#This Row],[Incurred]])</f>
        <v>0</v>
      </c>
      <c r="AC15" s="19">
        <f>SUMIFS(Actual_CF[Actual_Commission],Actual_CF[ICG],CF_Gen_2[[#This Row],[ICG]],Actual_CF[Incurred],CF_Gen_2[[#This Row],[Incurred]])</f>
        <v>0</v>
      </c>
      <c r="AD15" s="19">
        <f>SUMIFS(Actual_CF[Actual_Acquisition],Actual_CF[ICG],CF_Gen_2[[#This Row],[ICG]],Actual_CF[Incurred],CF_Gen_2[[#This Row],[Incurred]])</f>
        <v>0</v>
      </c>
    </row>
    <row r="16" spans="1:30">
      <c r="A16" t="str">
        <f t="shared" si="1"/>
        <v>#2024#RC-Property</v>
      </c>
      <c r="B16">
        <f>_xlfn.XLOOKUP(CF_Gen_2[[#This Row],[ICG]],ICG[ICG],ICG[Cohort])</f>
        <v>2024</v>
      </c>
      <c r="C16" t="str">
        <f>_xlfn.XLOOKUP(CF_Gen_2[[#This Row],[ICG]],ICG[ICG],ICG[Portfolio])</f>
        <v>RC-Property</v>
      </c>
      <c r="D16" t="str">
        <f>_xlfn.XLOOKUP(CF_Gen_2[[#This Row],[ICG]],ICG[ICG],ICG[Contract])</f>
        <v>RC</v>
      </c>
      <c r="E16" s="2">
        <f t="shared" si="0"/>
        <v>45930</v>
      </c>
      <c r="F16">
        <v>15</v>
      </c>
      <c r="G16" s="2">
        <f>EOMONTH(DATE(YEAR(CF_Gen_2[[#This Row],[Valuation]])-1,12,31),CF_Gen_2[[#This Row],['#Incurred]]*3)</f>
        <v>47026</v>
      </c>
      <c r="H16" s="14">
        <f>SUMIFS(Expected_CF[Expected_Premium],Expected_CF[ICG],CF_Gen_2[[#This Row],[ICG]],Expected_CF[Incurred],CF_Gen_2[[#This Row],[Incurred]])</f>
        <v>0</v>
      </c>
      <c r="I16" s="14">
        <f>SUMIFS(Expected_CF[Expected_Commission],Expected_CF[ICG],CF_Gen_2[[#This Row],[ICG]],Expected_CF[Incurred],CF_Gen_2[[#This Row],[Incurred]])</f>
        <v>0</v>
      </c>
      <c r="J16" s="14">
        <f>IF(CF_Gen_2[[#This Row],[Contract]]="IC",SUMIFS(Expected_CF[Expected_Acquisition],Expected_CF[ICG],CF_Gen_2[[#This Row],[ICG]],Expected_CF[Incurred],CF_Gen_2[[#This Row],[Incurred]]),0)</f>
        <v>0</v>
      </c>
      <c r="K16" s="14">
        <f>SUMIFS(Earned[Earned_Premium],Earned[ICG],CF_Gen_2[[#This Row],[ICG]],Earned[Incurred],CF_Gen_2[[#This Row],[Incurred]])</f>
        <v>-1085469665.9350529</v>
      </c>
      <c r="L16" s="14">
        <f>SUMIFS(Earned[Earned_Commission],Earned[ICG],CF_Gen_2[[#This Row],[ICG]],Earned[Incurred],CF_Gen_2[[#This Row],[Incurred]])</f>
        <v>358453351.50489038</v>
      </c>
      <c r="M16" s="18">
        <f>_xlfn.XLOOKUP(CF_Gen_2[[#This Row],[ICG]],Assumptions[ICG],Assumptions[Loss_Ratio])</f>
        <v>0.38</v>
      </c>
      <c r="N16" s="18">
        <f>_xlfn.XLOOKUP(CF_Gen_2[[#This Row],[ICG]],Assumptions[ICG],Assumptions[Risk_Adjustment_Ratio])</f>
        <v>0.13</v>
      </c>
      <c r="O16" s="18">
        <f>_xlfn.XLOOKUP(CF_Gen_2[[#This Row],[ICG]],Assumptions[ICG],Assumptions[PME_Ratio])</f>
        <v>0</v>
      </c>
      <c r="P16" s="18">
        <f>_xlfn.XLOOKUP(CF_Gen_2[[#This Row],[ICG]],Assumptions[ICG],Assumptions[ULAE_Ratio])</f>
        <v>0</v>
      </c>
      <c r="Q16" s="18">
        <f>_xlfn.XLOOKUP(CF_Gen_2[[#This Row],[ICG]],Assumptions[ICG],Assumptions[Cancellation_Ratio])</f>
        <v>7.0000000000000007E-2</v>
      </c>
      <c r="R16" s="18">
        <f>_xlfn.XLOOKUP(CF_Gen_2[[#This Row],[ICG]],Assumptions[ICG],Assumptions[Premium_Refund_Ratio])</f>
        <v>0.5</v>
      </c>
      <c r="S16" s="18">
        <f>IF(CF_Gen_2[[#This Row],[Contract]]="RC",_xlfn.XLOOKUP(CF_Gen_2[[#This Row],[ICG]],Assumptions[ICG],Assumptions[NPR_Ratio]),0)</f>
        <v>2.8000000000000001E-2</v>
      </c>
      <c r="T16" s="17">
        <f>T15*(1-CF_Gen_2[[#This Row],[Cancellation_Ratio]])</f>
        <v>0.36204393768990739</v>
      </c>
      <c r="U16" s="19">
        <f>IF(CF_Gen_2[[#This Row],[Incurred]]&lt;=CF_Gen_2[[#This Row],[Valuation]],CF_Gen_2[[#This Row],[Expected_Premium]],-CF_Gen_2[[#This Row],[Probability_of_Inforce]]*CF_Gen_2[[#This Row],[Premium_Refund_Ratio]]*CF_Gen_2[[#This Row],[Cancellation_Ratio]]*SUM(K16:K$105))</f>
        <v>553729572.82951128</v>
      </c>
      <c r="V1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Row],[Cancellation_Ratio]]*SUM(L16:L$105))</f>
        <v>-178433438.79202747</v>
      </c>
      <c r="W16" s="19">
        <f>CF_Gen_2[[#This Row],[Expected_Acquisition]]</f>
        <v>0</v>
      </c>
      <c r="X1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6" s="19">
        <f>-CF_Gen_2[[#This Row],[Probability_of_Inforce]]*CF_Gen_2[[#This Row],[Earned_Premium]]*(1-CF_Gen_2[[#This Row],[Cancellation_Ratio]])*CF_Gen_2[[#This Row],[Loss_Ratio]]</f>
        <v>138881857.45545965</v>
      </c>
      <c r="Z16" s="19">
        <f>CF_Gen_2[[#This Row],[Exp_Claim]]*CF_Gen_2[[#This Row],[Risk_Adjustment_Ratio]]</f>
        <v>18054641.469209757</v>
      </c>
      <c r="AA16" s="19">
        <f>IF(CF_Gen_2[[#This Row],[Contract]]="RC",-CF_Gen_2[[#This Row],[NPR_Ratio]]*CF_Gen_2[[#This Row],[Exp_Claim]],0)</f>
        <v>-3888692.0087528704</v>
      </c>
      <c r="AB16" s="19">
        <f>SUMIFS(Actual_CF[Actual_Premium],Actual_CF[ICG],CF_Gen_2[[#This Row],[ICG]],Actual_CF[Incurred],CF_Gen_2[[#This Row],[Incurred]])</f>
        <v>0</v>
      </c>
      <c r="AC16" s="19">
        <f>SUMIFS(Actual_CF[Actual_Commission],Actual_CF[ICG],CF_Gen_2[[#This Row],[ICG]],Actual_CF[Incurred],CF_Gen_2[[#This Row],[Incurred]])</f>
        <v>0</v>
      </c>
      <c r="AD16" s="19">
        <f>SUMIFS(Actual_CF[Actual_Acquisition],Actual_CF[ICG],CF_Gen_2[[#This Row],[ICG]],Actual_CF[Incurred],CF_Gen_2[[#This Row],[Incurred]])</f>
        <v>0</v>
      </c>
    </row>
    <row r="17" spans="1:30">
      <c r="A17" t="str">
        <f t="shared" si="1"/>
        <v>#2024#RC-Property</v>
      </c>
      <c r="B17">
        <f>_xlfn.XLOOKUP(CF_Gen_2[[#This Row],[ICG]],ICG[ICG],ICG[Cohort])</f>
        <v>2024</v>
      </c>
      <c r="C17" t="str">
        <f>_xlfn.XLOOKUP(CF_Gen_2[[#This Row],[ICG]],ICG[ICG],ICG[Portfolio])</f>
        <v>RC-Property</v>
      </c>
      <c r="D17" t="str">
        <f>_xlfn.XLOOKUP(CF_Gen_2[[#This Row],[ICG]],ICG[ICG],ICG[Contract])</f>
        <v>RC</v>
      </c>
      <c r="E17" s="2">
        <f t="shared" si="0"/>
        <v>45930</v>
      </c>
      <c r="F17">
        <v>16</v>
      </c>
      <c r="G17" s="2">
        <f>EOMONTH(DATE(YEAR(CF_Gen_2[[#This Row],[Valuation]])-1,12,31),CF_Gen_2[[#This Row],['#Incurred]]*3)</f>
        <v>47118</v>
      </c>
      <c r="H17" s="14">
        <f>SUMIFS(Expected_CF[Expected_Premium],Expected_CF[ICG],CF_Gen_2[[#This Row],[ICG]],Expected_CF[Incurred],CF_Gen_2[[#This Row],[Incurred]])</f>
        <v>0</v>
      </c>
      <c r="I17" s="14">
        <f>SUMIFS(Expected_CF[Expected_Commission],Expected_CF[ICG],CF_Gen_2[[#This Row],[ICG]],Expected_CF[Incurred],CF_Gen_2[[#This Row],[Incurred]])</f>
        <v>0</v>
      </c>
      <c r="J17" s="14">
        <f>IF(CF_Gen_2[[#This Row],[Contract]]="IC",SUMIFS(Expected_CF[Expected_Acquisition],Expected_CF[ICG],CF_Gen_2[[#This Row],[ICG]],Expected_CF[Incurred],CF_Gen_2[[#This Row],[Incurred]]),0)</f>
        <v>0</v>
      </c>
      <c r="K17" s="14">
        <f>SUMIFS(Earned[Earned_Premium],Earned[ICG],CF_Gen_2[[#This Row],[ICG]],Earned[Incurred],CF_Gen_2[[#This Row],[Incurred]])</f>
        <v>-1071815959.4453038</v>
      </c>
      <c r="L17" s="14">
        <f>SUMIFS(Earned[Earned_Commission],Earned[ICG],CF_Gen_2[[#This Row],[ICG]],Earned[Incurred],CF_Gen_2[[#This Row],[Incurred]])</f>
        <v>353828146.96934342</v>
      </c>
      <c r="M17" s="18">
        <f>_xlfn.XLOOKUP(CF_Gen_2[[#This Row],[ICG]],Assumptions[ICG],Assumptions[Loss_Ratio])</f>
        <v>0.38</v>
      </c>
      <c r="N17" s="18">
        <f>_xlfn.XLOOKUP(CF_Gen_2[[#This Row],[ICG]],Assumptions[ICG],Assumptions[Risk_Adjustment_Ratio])</f>
        <v>0.13</v>
      </c>
      <c r="O17" s="18">
        <f>_xlfn.XLOOKUP(CF_Gen_2[[#This Row],[ICG]],Assumptions[ICG],Assumptions[PME_Ratio])</f>
        <v>0</v>
      </c>
      <c r="P17" s="18">
        <f>_xlfn.XLOOKUP(CF_Gen_2[[#This Row],[ICG]],Assumptions[ICG],Assumptions[ULAE_Ratio])</f>
        <v>0</v>
      </c>
      <c r="Q17" s="18">
        <f>_xlfn.XLOOKUP(CF_Gen_2[[#This Row],[ICG]],Assumptions[ICG],Assumptions[Cancellation_Ratio])</f>
        <v>7.0000000000000007E-2</v>
      </c>
      <c r="R17" s="18">
        <f>_xlfn.XLOOKUP(CF_Gen_2[[#This Row],[ICG]],Assumptions[ICG],Assumptions[Premium_Refund_Ratio])</f>
        <v>0.5</v>
      </c>
      <c r="S17" s="18">
        <f>IF(CF_Gen_2[[#This Row],[Contract]]="RC",_xlfn.XLOOKUP(CF_Gen_2[[#This Row],[ICG]],Assumptions[ICG],Assumptions[NPR_Ratio]),0)</f>
        <v>2.8000000000000001E-2</v>
      </c>
      <c r="T17" s="17">
        <f>T16*(1-CF_Gen_2[[#This Row],[Cancellation_Ratio]])</f>
        <v>0.33670086205161387</v>
      </c>
      <c r="U17" s="19">
        <f>IF(CF_Gen_2[[#This Row],[Incurred]]&lt;=CF_Gen_2[[#This Row],[Valuation]],CF_Gen_2[[#This Row],[Expected_Premium]],-CF_Gen_2[[#This Row],[Probability_of_Inforce]]*CF_Gen_2[[#This Row],[Premium_Refund_Ratio]]*CF_Gen_2[[#This Row],[Cancellation_Ratio]]*SUM(K17:K$105))</f>
        <v>502176752.70265335</v>
      </c>
      <c r="V1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Row],[Cancellation_Ratio]]*SUM(L17:L$105))</f>
        <v>-161718893.74059102</v>
      </c>
      <c r="W17" s="19">
        <f>CF_Gen_2[[#This Row],[Expected_Acquisition]]</f>
        <v>0</v>
      </c>
      <c r="X1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7" s="19">
        <f>-CF_Gen_2[[#This Row],[Probability_of_Inforce]]*CF_Gen_2[[#This Row],[Earned_Premium]]*(1-CF_Gen_2[[#This Row],[Cancellation_Ratio]])*CF_Gen_2[[#This Row],[Loss_Ratio]]</f>
        <v>127535471.74258909</v>
      </c>
      <c r="Z17" s="19">
        <f>CF_Gen_2[[#This Row],[Exp_Claim]]*CF_Gen_2[[#This Row],[Risk_Adjustment_Ratio]]</f>
        <v>16579611.326536581</v>
      </c>
      <c r="AA17" s="19">
        <f>IF(CF_Gen_2[[#This Row],[Contract]]="RC",-CF_Gen_2[[#This Row],[NPR_Ratio]]*CF_Gen_2[[#This Row],[Exp_Claim]],0)</f>
        <v>-3570993.2087924946</v>
      </c>
      <c r="AB17" s="19">
        <f>SUMIFS(Actual_CF[Actual_Premium],Actual_CF[ICG],CF_Gen_2[[#This Row],[ICG]],Actual_CF[Incurred],CF_Gen_2[[#This Row],[Incurred]])</f>
        <v>0</v>
      </c>
      <c r="AC17" s="19">
        <f>SUMIFS(Actual_CF[Actual_Commission],Actual_CF[ICG],CF_Gen_2[[#This Row],[ICG]],Actual_CF[Incurred],CF_Gen_2[[#This Row],[Incurred]])</f>
        <v>0</v>
      </c>
      <c r="AD17" s="19">
        <f>SUMIFS(Actual_CF[Actual_Acquisition],Actual_CF[ICG],CF_Gen_2[[#This Row],[ICG]],Actual_CF[Incurred],CF_Gen_2[[#This Row],[Incurred]])</f>
        <v>0</v>
      </c>
    </row>
    <row r="18" spans="1:30">
      <c r="A18" t="str">
        <f t="shared" si="1"/>
        <v>#2024#RC-Property</v>
      </c>
      <c r="B18">
        <f>_xlfn.XLOOKUP(CF_Gen_2[[#This Row],[ICG]],ICG[ICG],ICG[Cohort])</f>
        <v>2024</v>
      </c>
      <c r="C18" t="str">
        <f>_xlfn.XLOOKUP(CF_Gen_2[[#This Row],[ICG]],ICG[ICG],ICG[Portfolio])</f>
        <v>RC-Property</v>
      </c>
      <c r="D18" t="str">
        <f>_xlfn.XLOOKUP(CF_Gen_2[[#This Row],[ICG]],ICG[ICG],ICG[Contract])</f>
        <v>RC</v>
      </c>
      <c r="E18" s="2">
        <f t="shared" si="0"/>
        <v>45930</v>
      </c>
      <c r="F18">
        <v>17</v>
      </c>
      <c r="G18" s="2">
        <f>EOMONTH(DATE(YEAR(CF_Gen_2[[#This Row],[Valuation]])-1,12,31),CF_Gen_2[[#This Row],['#Incurred]]*3)</f>
        <v>47208</v>
      </c>
      <c r="H18" s="14">
        <f>SUMIFS(Expected_CF[Expected_Premium],Expected_CF[ICG],CF_Gen_2[[#This Row],[ICG]],Expected_CF[Incurred],CF_Gen_2[[#This Row],[Incurred]])</f>
        <v>0</v>
      </c>
      <c r="I18" s="14">
        <f>SUMIFS(Expected_CF[Expected_Commission],Expected_CF[ICG],CF_Gen_2[[#This Row],[ICG]],Expected_CF[Incurred],CF_Gen_2[[#This Row],[Incurred]])</f>
        <v>0</v>
      </c>
      <c r="J18" s="14">
        <f>IF(CF_Gen_2[[#This Row],[Contract]]="IC",SUMIFS(Expected_CF[Expected_Acquisition],Expected_CF[ICG],CF_Gen_2[[#This Row],[ICG]],Expected_CF[Incurred],CF_Gen_2[[#This Row],[Incurred]]),0)</f>
        <v>0</v>
      </c>
      <c r="K18" s="14">
        <f>SUMIFS(Earned[Earned_Premium],Earned[ICG],CF_Gen_2[[#This Row],[ICG]],Earned[Incurred],CF_Gen_2[[#This Row],[Incurred]])</f>
        <v>-1058162252.9555548</v>
      </c>
      <c r="L18" s="14">
        <f>SUMIFS(Earned[Earned_Commission],Earned[ICG],CF_Gen_2[[#This Row],[ICG]],Earned[Incurred],CF_Gen_2[[#This Row],[Incurred]])</f>
        <v>349202942.43379647</v>
      </c>
      <c r="M18" s="18">
        <f>_xlfn.XLOOKUP(CF_Gen_2[[#This Row],[ICG]],Assumptions[ICG],Assumptions[Loss_Ratio])</f>
        <v>0.38</v>
      </c>
      <c r="N18" s="18">
        <f>_xlfn.XLOOKUP(CF_Gen_2[[#This Row],[ICG]],Assumptions[ICG],Assumptions[Risk_Adjustment_Ratio])</f>
        <v>0.13</v>
      </c>
      <c r="O18" s="18">
        <f>_xlfn.XLOOKUP(CF_Gen_2[[#This Row],[ICG]],Assumptions[ICG],Assumptions[PME_Ratio])</f>
        <v>0</v>
      </c>
      <c r="P18" s="18">
        <f>_xlfn.XLOOKUP(CF_Gen_2[[#This Row],[ICG]],Assumptions[ICG],Assumptions[ULAE_Ratio])</f>
        <v>0</v>
      </c>
      <c r="Q18" s="18">
        <f>_xlfn.XLOOKUP(CF_Gen_2[[#This Row],[ICG]],Assumptions[ICG],Assumptions[Cancellation_Ratio])</f>
        <v>7.0000000000000007E-2</v>
      </c>
      <c r="R18" s="18">
        <f>_xlfn.XLOOKUP(CF_Gen_2[[#This Row],[ICG]],Assumptions[ICG],Assumptions[Premium_Refund_Ratio])</f>
        <v>0.5</v>
      </c>
      <c r="S18" s="18">
        <f>IF(CF_Gen_2[[#This Row],[Contract]]="RC",_xlfn.XLOOKUP(CF_Gen_2[[#This Row],[ICG]],Assumptions[ICG],Assumptions[NPR_Ratio]),0)</f>
        <v>2.8000000000000001E-2</v>
      </c>
      <c r="T18" s="17">
        <f>T17*(1-CF_Gen_2[[#This Row],[Cancellation_Ratio]])</f>
        <v>0.31313180170800087</v>
      </c>
      <c r="U18" s="19">
        <f>IF(CF_Gen_2[[#This Row],[Incurred]]&lt;=CF_Gen_2[[#This Row],[Valuation]],CF_Gen_2[[#This Row],[Expected_Premium]],-CF_Gen_2[[#This Row],[Probability_of_Inforce]]*CF_Gen_2[[#This Row],[Premium_Refund_Ratio]]*CF_Gen_2[[#This Row],[Cancellation_Ratio]]*SUM(K18:K$105))</f>
        <v>455277691.82665002</v>
      </c>
      <c r="V1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Row],[Cancellation_Ratio]]*SUM(L18:L$105))</f>
        <v>-146520751.5983066</v>
      </c>
      <c r="W18" s="19">
        <f>CF_Gen_2[[#This Row],[Expected_Acquisition]]</f>
        <v>0</v>
      </c>
      <c r="X1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8" s="19">
        <f>-CF_Gen_2[[#This Row],[Probability_of_Inforce]]*CF_Gen_2[[#This Row],[Earned_Premium]]*(1-CF_Gen_2[[#This Row],[Cancellation_Ratio]])*CF_Gen_2[[#This Row],[Loss_Ratio]]</f>
        <v>117097058.92798865</v>
      </c>
      <c r="Z18" s="19">
        <f>CF_Gen_2[[#This Row],[Exp_Claim]]*CF_Gen_2[[#This Row],[Risk_Adjustment_Ratio]]</f>
        <v>15222617.660638524</v>
      </c>
      <c r="AA18" s="19">
        <f>IF(CF_Gen_2[[#This Row],[Contract]]="RC",-CF_Gen_2[[#This Row],[NPR_Ratio]]*CF_Gen_2[[#This Row],[Exp_Claim]],0)</f>
        <v>-3278717.6499836822</v>
      </c>
      <c r="AB18" s="19">
        <f>SUMIFS(Actual_CF[Actual_Premium],Actual_CF[ICG],CF_Gen_2[[#This Row],[ICG]],Actual_CF[Incurred],CF_Gen_2[[#This Row],[Incurred]])</f>
        <v>0</v>
      </c>
      <c r="AC18" s="19">
        <f>SUMIFS(Actual_CF[Actual_Commission],Actual_CF[ICG],CF_Gen_2[[#This Row],[ICG]],Actual_CF[Incurred],CF_Gen_2[[#This Row],[Incurred]])</f>
        <v>0</v>
      </c>
      <c r="AD18" s="19">
        <f>SUMIFS(Actual_CF[Actual_Acquisition],Actual_CF[ICG],CF_Gen_2[[#This Row],[ICG]],Actual_CF[Incurred],CF_Gen_2[[#This Row],[Incurred]])</f>
        <v>0</v>
      </c>
    </row>
    <row r="19" spans="1:30">
      <c r="A19" t="str">
        <f t="shared" si="1"/>
        <v>#2024#RC-Property</v>
      </c>
      <c r="B19">
        <f>_xlfn.XLOOKUP(CF_Gen_2[[#This Row],[ICG]],ICG[ICG],ICG[Cohort])</f>
        <v>2024</v>
      </c>
      <c r="C19" t="str">
        <f>_xlfn.XLOOKUP(CF_Gen_2[[#This Row],[ICG]],ICG[ICG],ICG[Portfolio])</f>
        <v>RC-Property</v>
      </c>
      <c r="D19" t="str">
        <f>_xlfn.XLOOKUP(CF_Gen_2[[#This Row],[ICG]],ICG[ICG],ICG[Contract])</f>
        <v>RC</v>
      </c>
      <c r="E19" s="2">
        <f t="shared" si="0"/>
        <v>45930</v>
      </c>
      <c r="F19">
        <v>18</v>
      </c>
      <c r="G19" s="2">
        <f>EOMONTH(DATE(YEAR(CF_Gen_2[[#This Row],[Valuation]])-1,12,31),CF_Gen_2[[#This Row],['#Incurred]]*3)</f>
        <v>47299</v>
      </c>
      <c r="H19" s="14">
        <f>SUMIFS(Expected_CF[Expected_Premium],Expected_CF[ICG],CF_Gen_2[[#This Row],[ICG]],Expected_CF[Incurred],CF_Gen_2[[#This Row],[Incurred]])</f>
        <v>0</v>
      </c>
      <c r="I19" s="14">
        <f>SUMIFS(Expected_CF[Expected_Commission],Expected_CF[ICG],CF_Gen_2[[#This Row],[ICG]],Expected_CF[Incurred],CF_Gen_2[[#This Row],[Incurred]])</f>
        <v>0</v>
      </c>
      <c r="J19" s="14">
        <f>IF(CF_Gen_2[[#This Row],[Contract]]="IC",SUMIFS(Expected_CF[Expected_Acquisition],Expected_CF[ICG],CF_Gen_2[[#This Row],[ICG]],Expected_CF[Incurred],CF_Gen_2[[#This Row],[Incurred]]),0)</f>
        <v>0</v>
      </c>
      <c r="K19" s="14">
        <f>SUMIFS(Earned[Earned_Premium],Earned[ICG],CF_Gen_2[[#This Row],[ICG]],Earned[Incurred],CF_Gen_2[[#This Row],[Incurred]])</f>
        <v>-1044508546.4658058</v>
      </c>
      <c r="L19" s="14">
        <f>SUMIFS(Earned[Earned_Commission],Earned[ICG],CF_Gen_2[[#This Row],[ICG]],Earned[Incurred],CF_Gen_2[[#This Row],[Incurred]])</f>
        <v>344577737.89824957</v>
      </c>
      <c r="M19" s="18">
        <f>_xlfn.XLOOKUP(CF_Gen_2[[#This Row],[ICG]],Assumptions[ICG],Assumptions[Loss_Ratio])</f>
        <v>0.38</v>
      </c>
      <c r="N19" s="18">
        <f>_xlfn.XLOOKUP(CF_Gen_2[[#This Row],[ICG]],Assumptions[ICG],Assumptions[Risk_Adjustment_Ratio])</f>
        <v>0.13</v>
      </c>
      <c r="O19" s="18">
        <f>_xlfn.XLOOKUP(CF_Gen_2[[#This Row],[ICG]],Assumptions[ICG],Assumptions[PME_Ratio])</f>
        <v>0</v>
      </c>
      <c r="P19" s="18">
        <f>_xlfn.XLOOKUP(CF_Gen_2[[#This Row],[ICG]],Assumptions[ICG],Assumptions[ULAE_Ratio])</f>
        <v>0</v>
      </c>
      <c r="Q19" s="18">
        <f>_xlfn.XLOOKUP(CF_Gen_2[[#This Row],[ICG]],Assumptions[ICG],Assumptions[Cancellation_Ratio])</f>
        <v>7.0000000000000007E-2</v>
      </c>
      <c r="R19" s="18">
        <f>_xlfn.XLOOKUP(CF_Gen_2[[#This Row],[ICG]],Assumptions[ICG],Assumptions[Premium_Refund_Ratio])</f>
        <v>0.5</v>
      </c>
      <c r="S19" s="18">
        <f>IF(CF_Gen_2[[#This Row],[Contract]]="RC",_xlfn.XLOOKUP(CF_Gen_2[[#This Row],[ICG]],Assumptions[ICG],Assumptions[NPR_Ratio]),0)</f>
        <v>2.8000000000000001E-2</v>
      </c>
      <c r="T19" s="17">
        <f>T18*(1-CF_Gen_2[[#This Row],[Cancellation_Ratio]])</f>
        <v>0.29121257558844077</v>
      </c>
      <c r="U19" s="19">
        <f>IF(CF_Gen_2[[#This Row],[Incurred]]&lt;=CF_Gen_2[[#This Row],[Valuation]],CF_Gen_2[[#This Row],[Expected_Premium]],-CF_Gen_2[[#This Row],[Probability_of_Inforce]]*CF_Gen_2[[#This Row],[Premium_Refund_Ratio]]*CF_Gen_2[[#This Row],[Cancellation_Ratio]]*SUM(K19:K$105))</f>
        <v>412622997.97120667</v>
      </c>
      <c r="V1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Row],[Cancellation_Ratio]]*SUM(L19:L$105))</f>
        <v>-132705068.89700286</v>
      </c>
      <c r="W19" s="19">
        <f>CF_Gen_2[[#This Row],[Expected_Acquisition]]</f>
        <v>0</v>
      </c>
      <c r="X1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9" s="19">
        <f>-CF_Gen_2[[#This Row],[Probability_of_Inforce]]*CF_Gen_2[[#This Row],[Earned_Premium]]*(1-CF_Gen_2[[#This Row],[Cancellation_Ratio]])*CF_Gen_2[[#This Row],[Loss_Ratio]]</f>
        <v>107495100.09589356</v>
      </c>
      <c r="Z19" s="19">
        <f>CF_Gen_2[[#This Row],[Exp_Claim]]*CF_Gen_2[[#This Row],[Risk_Adjustment_Ratio]]</f>
        <v>13974363.012466164</v>
      </c>
      <c r="AA19" s="19">
        <f>IF(CF_Gen_2[[#This Row],[Contract]]="RC",-CF_Gen_2[[#This Row],[NPR_Ratio]]*CF_Gen_2[[#This Row],[Exp_Claim]],0)</f>
        <v>-3009862.80268502</v>
      </c>
      <c r="AB19" s="19">
        <f>SUMIFS(Actual_CF[Actual_Premium],Actual_CF[ICG],CF_Gen_2[[#This Row],[ICG]],Actual_CF[Incurred],CF_Gen_2[[#This Row],[Incurred]])</f>
        <v>0</v>
      </c>
      <c r="AC19" s="19">
        <f>SUMIFS(Actual_CF[Actual_Commission],Actual_CF[ICG],CF_Gen_2[[#This Row],[ICG]],Actual_CF[Incurred],CF_Gen_2[[#This Row],[Incurred]])</f>
        <v>0</v>
      </c>
      <c r="AD19" s="19">
        <f>SUMIFS(Actual_CF[Actual_Acquisition],Actual_CF[ICG],CF_Gen_2[[#This Row],[ICG]],Actual_CF[Incurred],CF_Gen_2[[#This Row],[Incurred]])</f>
        <v>0</v>
      </c>
    </row>
    <row r="20" spans="1:30">
      <c r="A20" t="str">
        <f t="shared" si="1"/>
        <v>#2024#RC-Property</v>
      </c>
      <c r="B20">
        <f>_xlfn.XLOOKUP(CF_Gen_2[[#This Row],[ICG]],ICG[ICG],ICG[Cohort])</f>
        <v>2024</v>
      </c>
      <c r="C20" t="str">
        <f>_xlfn.XLOOKUP(CF_Gen_2[[#This Row],[ICG]],ICG[ICG],ICG[Portfolio])</f>
        <v>RC-Property</v>
      </c>
      <c r="D20" t="str">
        <f>_xlfn.XLOOKUP(CF_Gen_2[[#This Row],[ICG]],ICG[ICG],ICG[Contract])</f>
        <v>RC</v>
      </c>
      <c r="E20" s="2">
        <f t="shared" si="0"/>
        <v>45930</v>
      </c>
      <c r="F20">
        <v>19</v>
      </c>
      <c r="G20" s="2">
        <f>EOMONTH(DATE(YEAR(CF_Gen_2[[#This Row],[Valuation]])-1,12,31),CF_Gen_2[[#This Row],['#Incurred]]*3)</f>
        <v>47391</v>
      </c>
      <c r="H20" s="14">
        <f>SUMIFS(Expected_CF[Expected_Premium],Expected_CF[ICG],CF_Gen_2[[#This Row],[ICG]],Expected_CF[Incurred],CF_Gen_2[[#This Row],[Incurred]])</f>
        <v>0</v>
      </c>
      <c r="I20" s="14">
        <f>SUMIFS(Expected_CF[Expected_Commission],Expected_CF[ICG],CF_Gen_2[[#This Row],[ICG]],Expected_CF[Incurred],CF_Gen_2[[#This Row],[Incurred]])</f>
        <v>0</v>
      </c>
      <c r="J20" s="14">
        <f>IF(CF_Gen_2[[#This Row],[Contract]]="IC",SUMIFS(Expected_CF[Expected_Acquisition],Expected_CF[ICG],CF_Gen_2[[#This Row],[ICG]],Expected_CF[Incurred],CF_Gen_2[[#This Row],[Incurred]]),0)</f>
        <v>0</v>
      </c>
      <c r="K20" s="14">
        <f>SUMIFS(Earned[Earned_Premium],Earned[ICG],CF_Gen_2[[#This Row],[ICG]],Earned[Incurred],CF_Gen_2[[#This Row],[Incurred]])</f>
        <v>-1030854839.9760567</v>
      </c>
      <c r="L20" s="14">
        <f>SUMIFS(Earned[Earned_Commission],Earned[ICG],CF_Gen_2[[#This Row],[ICG]],Earned[Incurred],CF_Gen_2[[#This Row],[Incurred]])</f>
        <v>339952533.36270261</v>
      </c>
      <c r="M20" s="18">
        <f>_xlfn.XLOOKUP(CF_Gen_2[[#This Row],[ICG]],Assumptions[ICG],Assumptions[Loss_Ratio])</f>
        <v>0.38</v>
      </c>
      <c r="N20" s="18">
        <f>_xlfn.XLOOKUP(CF_Gen_2[[#This Row],[ICG]],Assumptions[ICG],Assumptions[Risk_Adjustment_Ratio])</f>
        <v>0.13</v>
      </c>
      <c r="O20" s="18">
        <f>_xlfn.XLOOKUP(CF_Gen_2[[#This Row],[ICG]],Assumptions[ICG],Assumptions[PME_Ratio])</f>
        <v>0</v>
      </c>
      <c r="P20" s="18">
        <f>_xlfn.XLOOKUP(CF_Gen_2[[#This Row],[ICG]],Assumptions[ICG],Assumptions[ULAE_Ratio])</f>
        <v>0</v>
      </c>
      <c r="Q20" s="18">
        <f>_xlfn.XLOOKUP(CF_Gen_2[[#This Row],[ICG]],Assumptions[ICG],Assumptions[Cancellation_Ratio])</f>
        <v>7.0000000000000007E-2</v>
      </c>
      <c r="R20" s="18">
        <f>_xlfn.XLOOKUP(CF_Gen_2[[#This Row],[ICG]],Assumptions[ICG],Assumptions[Premium_Refund_Ratio])</f>
        <v>0.5</v>
      </c>
      <c r="S20" s="18">
        <f>IF(CF_Gen_2[[#This Row],[Contract]]="RC",_xlfn.XLOOKUP(CF_Gen_2[[#This Row],[ICG]],Assumptions[ICG],Assumptions[NPR_Ratio]),0)</f>
        <v>2.8000000000000001E-2</v>
      </c>
      <c r="T20" s="17">
        <f>T19*(1-CF_Gen_2[[#This Row],[Cancellation_Ratio]])</f>
        <v>0.27082769529724987</v>
      </c>
      <c r="U20" s="19">
        <f>IF(CF_Gen_2[[#This Row],[Incurred]]&lt;=CF_Gen_2[[#This Row],[Valuation]],CF_Gen_2[[#This Row],[Expected_Premium]],-CF_Gen_2[[#This Row],[Probability_of_Inforce]]*CF_Gen_2[[#This Row],[Premium_Refund_Ratio]]*CF_Gen_2[[#This Row],[Cancellation_Ratio]]*SUM(K20:K$105))</f>
        <v>373838523.6307056</v>
      </c>
      <c r="V2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Row],[Cancellation_Ratio]]*SUM(L20:L$105))</f>
        <v>-120149472.26301235</v>
      </c>
      <c r="W20" s="19">
        <f>CF_Gen_2[[#This Row],[Expected_Acquisition]]</f>
        <v>0</v>
      </c>
      <c r="X2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0" s="19">
        <f>-CF_Gen_2[[#This Row],[Probability_of_Inforce]]*CF_Gen_2[[#This Row],[Earned_Premium]]*(1-CF_Gen_2[[#This Row],[Cancellation_Ratio]])*CF_Gen_2[[#This Row],[Loss_Ratio]]</f>
        <v>98663639.911544651</v>
      </c>
      <c r="Z20" s="19">
        <f>CF_Gen_2[[#This Row],[Exp_Claim]]*CF_Gen_2[[#This Row],[Risk_Adjustment_Ratio]]</f>
        <v>12826273.188500805</v>
      </c>
      <c r="AA20" s="19">
        <f>IF(CF_Gen_2[[#This Row],[Contract]]="RC",-CF_Gen_2[[#This Row],[NPR_Ratio]]*CF_Gen_2[[#This Row],[Exp_Claim]],0)</f>
        <v>-2762581.9175232504</v>
      </c>
      <c r="AB20" s="19">
        <f>SUMIFS(Actual_CF[Actual_Premium],Actual_CF[ICG],CF_Gen_2[[#This Row],[ICG]],Actual_CF[Incurred],CF_Gen_2[[#This Row],[Incurred]])</f>
        <v>0</v>
      </c>
      <c r="AC20" s="19">
        <f>SUMIFS(Actual_CF[Actual_Commission],Actual_CF[ICG],CF_Gen_2[[#This Row],[ICG]],Actual_CF[Incurred],CF_Gen_2[[#This Row],[Incurred]])</f>
        <v>0</v>
      </c>
      <c r="AD20" s="19">
        <f>SUMIFS(Actual_CF[Actual_Acquisition],Actual_CF[ICG],CF_Gen_2[[#This Row],[ICG]],Actual_CF[Incurred],CF_Gen_2[[#This Row],[Incurred]])</f>
        <v>0</v>
      </c>
    </row>
    <row r="21" spans="1:30">
      <c r="A21" t="str">
        <f t="shared" si="1"/>
        <v>#2024#RC-Property</v>
      </c>
      <c r="B21">
        <f>_xlfn.XLOOKUP(CF_Gen_2[[#This Row],[ICG]],ICG[ICG],ICG[Cohort])</f>
        <v>2024</v>
      </c>
      <c r="C21" t="str">
        <f>_xlfn.XLOOKUP(CF_Gen_2[[#This Row],[ICG]],ICG[ICG],ICG[Portfolio])</f>
        <v>RC-Property</v>
      </c>
      <c r="D21" t="str">
        <f>_xlfn.XLOOKUP(CF_Gen_2[[#This Row],[ICG]],ICG[ICG],ICG[Contract])</f>
        <v>RC</v>
      </c>
      <c r="E21" s="2">
        <f t="shared" si="0"/>
        <v>45930</v>
      </c>
      <c r="F21">
        <v>20</v>
      </c>
      <c r="G21" s="2">
        <f>EOMONTH(DATE(YEAR(CF_Gen_2[[#This Row],[Valuation]])-1,12,31),CF_Gen_2[[#This Row],['#Incurred]]*3)</f>
        <v>47483</v>
      </c>
      <c r="H21" s="14">
        <f>SUMIFS(Expected_CF[Expected_Premium],Expected_CF[ICG],CF_Gen_2[[#This Row],[ICG]],Expected_CF[Incurred],CF_Gen_2[[#This Row],[Incurred]])</f>
        <v>0</v>
      </c>
      <c r="I21" s="14">
        <f>SUMIFS(Expected_CF[Expected_Commission],Expected_CF[ICG],CF_Gen_2[[#This Row],[ICG]],Expected_CF[Incurred],CF_Gen_2[[#This Row],[Incurred]])</f>
        <v>0</v>
      </c>
      <c r="J21" s="14">
        <f>IF(CF_Gen_2[[#This Row],[Contract]]="IC",SUMIFS(Expected_CF[Expected_Acquisition],Expected_CF[ICG],CF_Gen_2[[#This Row],[ICG]],Expected_CF[Incurred],CF_Gen_2[[#This Row],[Incurred]]),0)</f>
        <v>0</v>
      </c>
      <c r="K21" s="14">
        <f>SUMIFS(Earned[Earned_Premium],Earned[ICG],CF_Gen_2[[#This Row],[ICG]],Earned[Incurred],CF_Gen_2[[#This Row],[Incurred]])</f>
        <v>-1017201133.4863076</v>
      </c>
      <c r="L21" s="14">
        <f>SUMIFS(Earned[Earned_Commission],Earned[ICG],CF_Gen_2[[#This Row],[ICG]],Earned[Incurred],CF_Gen_2[[#This Row],[Incurred]])</f>
        <v>335327328.82715565</v>
      </c>
      <c r="M21" s="18">
        <f>_xlfn.XLOOKUP(CF_Gen_2[[#This Row],[ICG]],Assumptions[ICG],Assumptions[Loss_Ratio])</f>
        <v>0.38</v>
      </c>
      <c r="N21" s="18">
        <f>_xlfn.XLOOKUP(CF_Gen_2[[#This Row],[ICG]],Assumptions[ICG],Assumptions[Risk_Adjustment_Ratio])</f>
        <v>0.13</v>
      </c>
      <c r="O21" s="18">
        <f>_xlfn.XLOOKUP(CF_Gen_2[[#This Row],[ICG]],Assumptions[ICG],Assumptions[PME_Ratio])</f>
        <v>0</v>
      </c>
      <c r="P21" s="18">
        <f>_xlfn.XLOOKUP(CF_Gen_2[[#This Row],[ICG]],Assumptions[ICG],Assumptions[ULAE_Ratio])</f>
        <v>0</v>
      </c>
      <c r="Q21" s="18">
        <f>_xlfn.XLOOKUP(CF_Gen_2[[#This Row],[ICG]],Assumptions[ICG],Assumptions[Cancellation_Ratio])</f>
        <v>7.0000000000000007E-2</v>
      </c>
      <c r="R21" s="18">
        <f>_xlfn.XLOOKUP(CF_Gen_2[[#This Row],[ICG]],Assumptions[ICG],Assumptions[Premium_Refund_Ratio])</f>
        <v>0.5</v>
      </c>
      <c r="S21" s="18">
        <f>IF(CF_Gen_2[[#This Row],[Contract]]="RC",_xlfn.XLOOKUP(CF_Gen_2[[#This Row],[ICG]],Assumptions[ICG],Assumptions[NPR_Ratio]),0)</f>
        <v>2.8000000000000001E-2</v>
      </c>
      <c r="T21" s="17">
        <f>T20*(1-CF_Gen_2[[#This Row],[Cancellation_Ratio]])</f>
        <v>0.25186975662644234</v>
      </c>
      <c r="U21" s="19">
        <f>IF(CF_Gen_2[[#This Row],[Incurred]]&lt;=CF_Gen_2[[#This Row],[Valuation]],CF_Gen_2[[#This Row],[Expected_Premium]],-CF_Gen_2[[#This Row],[Probability_of_Inforce]]*CF_Gen_2[[#This Row],[Premium_Refund_Ratio]]*CF_Gen_2[[#This Row],[Cancellation_Ratio]]*SUM(K21:K$105))</f>
        <v>338582386.45838749</v>
      </c>
      <c r="V2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Row],[Cancellation_Ratio]]*SUM(L21:L$105))</f>
        <v>-108742177.54011023</v>
      </c>
      <c r="W21" s="19">
        <f>CF_Gen_2[[#This Row],[Expected_Acquisition]]</f>
        <v>0</v>
      </c>
      <c r="X2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1" s="19">
        <f>-CF_Gen_2[[#This Row],[Probability_of_Inforce]]*CF_Gen_2[[#This Row],[Earned_Premium]]*(1-CF_Gen_2[[#This Row],[Cancellation_Ratio]])*CF_Gen_2[[#This Row],[Loss_Ratio]]</f>
        <v>90541858.162534699</v>
      </c>
      <c r="Z21" s="19">
        <f>CF_Gen_2[[#This Row],[Exp_Claim]]*CF_Gen_2[[#This Row],[Risk_Adjustment_Ratio]]</f>
        <v>11770441.56112951</v>
      </c>
      <c r="AA21" s="19">
        <f>IF(CF_Gen_2[[#This Row],[Contract]]="RC",-CF_Gen_2[[#This Row],[NPR_Ratio]]*CF_Gen_2[[#This Row],[Exp_Claim]],0)</f>
        <v>-2535172.0285509718</v>
      </c>
      <c r="AB21" s="19">
        <f>SUMIFS(Actual_CF[Actual_Premium],Actual_CF[ICG],CF_Gen_2[[#This Row],[ICG]],Actual_CF[Incurred],CF_Gen_2[[#This Row],[Incurred]])</f>
        <v>0</v>
      </c>
      <c r="AC21" s="19">
        <f>SUMIFS(Actual_CF[Actual_Commission],Actual_CF[ICG],CF_Gen_2[[#This Row],[ICG]],Actual_CF[Incurred],CF_Gen_2[[#This Row],[Incurred]])</f>
        <v>0</v>
      </c>
      <c r="AD21" s="19">
        <f>SUMIFS(Actual_CF[Actual_Acquisition],Actual_CF[ICG],CF_Gen_2[[#This Row],[ICG]],Actual_CF[Incurred],CF_Gen_2[[#This Row],[Incurred]])</f>
        <v>0</v>
      </c>
    </row>
    <row r="22" spans="1:30">
      <c r="A22" t="str">
        <f t="shared" si="1"/>
        <v>#2024#RC-Property</v>
      </c>
      <c r="B22">
        <f>_xlfn.XLOOKUP(CF_Gen_2[[#This Row],[ICG]],ICG[ICG],ICG[Cohort])</f>
        <v>2024</v>
      </c>
      <c r="C22" t="str">
        <f>_xlfn.XLOOKUP(CF_Gen_2[[#This Row],[ICG]],ICG[ICG],ICG[Portfolio])</f>
        <v>RC-Property</v>
      </c>
      <c r="D22" t="str">
        <f>_xlfn.XLOOKUP(CF_Gen_2[[#This Row],[ICG]],ICG[ICG],ICG[Contract])</f>
        <v>RC</v>
      </c>
      <c r="E22" s="2">
        <f t="shared" si="0"/>
        <v>45930</v>
      </c>
      <c r="F22">
        <v>21</v>
      </c>
      <c r="G22" s="2">
        <f>EOMONTH(DATE(YEAR(CF_Gen_2[[#This Row],[Valuation]])-1,12,31),CF_Gen_2[[#This Row],['#Incurred]]*3)</f>
        <v>47573</v>
      </c>
      <c r="H22" s="14">
        <f>SUMIFS(Expected_CF[Expected_Premium],Expected_CF[ICG],CF_Gen_2[[#This Row],[ICG]],Expected_CF[Incurred],CF_Gen_2[[#This Row],[Incurred]])</f>
        <v>0</v>
      </c>
      <c r="I22" s="14">
        <f>SUMIFS(Expected_CF[Expected_Commission],Expected_CF[ICG],CF_Gen_2[[#This Row],[ICG]],Expected_CF[Incurred],CF_Gen_2[[#This Row],[Incurred]])</f>
        <v>0</v>
      </c>
      <c r="J22" s="14">
        <f>IF(CF_Gen_2[[#This Row],[Contract]]="IC",SUMIFS(Expected_CF[Expected_Acquisition],Expected_CF[ICG],CF_Gen_2[[#This Row],[ICG]],Expected_CF[Incurred],CF_Gen_2[[#This Row],[Incurred]]),0)</f>
        <v>0</v>
      </c>
      <c r="K22" s="14">
        <f>SUMIFS(Earned[Earned_Premium],Earned[ICG],CF_Gen_2[[#This Row],[ICG]],Earned[Incurred],CF_Gen_2[[#This Row],[Incurred]])</f>
        <v>-1003547426.9965585</v>
      </c>
      <c r="L22" s="14">
        <f>SUMIFS(Earned[Earned_Commission],Earned[ICG],CF_Gen_2[[#This Row],[ICG]],Earned[Incurred],CF_Gen_2[[#This Row],[Incurred]])</f>
        <v>330702124.29160869</v>
      </c>
      <c r="M22" s="18">
        <f>_xlfn.XLOOKUP(CF_Gen_2[[#This Row],[ICG]],Assumptions[ICG],Assumptions[Loss_Ratio])</f>
        <v>0.38</v>
      </c>
      <c r="N22" s="18">
        <f>_xlfn.XLOOKUP(CF_Gen_2[[#This Row],[ICG]],Assumptions[ICG],Assumptions[Risk_Adjustment_Ratio])</f>
        <v>0.13</v>
      </c>
      <c r="O22" s="18">
        <f>_xlfn.XLOOKUP(CF_Gen_2[[#This Row],[ICG]],Assumptions[ICG],Assumptions[PME_Ratio])</f>
        <v>0</v>
      </c>
      <c r="P22" s="18">
        <f>_xlfn.XLOOKUP(CF_Gen_2[[#This Row],[ICG]],Assumptions[ICG],Assumptions[ULAE_Ratio])</f>
        <v>0</v>
      </c>
      <c r="Q22" s="18">
        <f>_xlfn.XLOOKUP(CF_Gen_2[[#This Row],[ICG]],Assumptions[ICG],Assumptions[Cancellation_Ratio])</f>
        <v>7.0000000000000007E-2</v>
      </c>
      <c r="R22" s="18">
        <f>_xlfn.XLOOKUP(CF_Gen_2[[#This Row],[ICG]],Assumptions[ICG],Assumptions[Premium_Refund_Ratio])</f>
        <v>0.5</v>
      </c>
      <c r="S22" s="18">
        <f>IF(CF_Gen_2[[#This Row],[Contract]]="RC",_xlfn.XLOOKUP(CF_Gen_2[[#This Row],[ICG]],Assumptions[ICG],Assumptions[NPR_Ratio]),0)</f>
        <v>2.8000000000000001E-2</v>
      </c>
      <c r="T22" s="17">
        <f>T21*(1-CF_Gen_2[[#This Row],[Cancellation_Ratio]])</f>
        <v>0.23423887366259136</v>
      </c>
      <c r="U22" s="19">
        <f>IF(CF_Gen_2[[#This Row],[Incurred]]&lt;=CF_Gen_2[[#This Row],[Valuation]],CF_Gen_2[[#This Row],[Expected_Premium]],-CF_Gen_2[[#This Row],[Probability_of_Inforce]]*CF_Gen_2[[#This Row],[Premium_Refund_Ratio]]*CF_Gen_2[[#This Row],[Cancellation_Ratio]]*SUM(K22:K$105))</f>
        <v>306542237.73343527</v>
      </c>
      <c r="V2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Row],[Cancellation_Ratio]]*SUM(L22:L$105))</f>
        <v>-98381090.758855969</v>
      </c>
      <c r="W22" s="19">
        <f>CF_Gen_2[[#This Row],[Expected_Acquisition]]</f>
        <v>0</v>
      </c>
      <c r="X2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2" s="19">
        <f>-CF_Gen_2[[#This Row],[Probability_of_Inforce]]*CF_Gen_2[[#This Row],[Earned_Premium]]*(1-CF_Gen_2[[#This Row],[Cancellation_Ratio]])*CF_Gen_2[[#This Row],[Loss_Ratio]]</f>
        <v>83073674.022819579</v>
      </c>
      <c r="Z22" s="19">
        <f>CF_Gen_2[[#This Row],[Exp_Claim]]*CF_Gen_2[[#This Row],[Risk_Adjustment_Ratio]]</f>
        <v>10799577.622966545</v>
      </c>
      <c r="AA22" s="19">
        <f>IF(CF_Gen_2[[#This Row],[Contract]]="RC",-CF_Gen_2[[#This Row],[NPR_Ratio]]*CF_Gen_2[[#This Row],[Exp_Claim]],0)</f>
        <v>-2326062.8726389483</v>
      </c>
      <c r="AB22" s="19">
        <f>SUMIFS(Actual_CF[Actual_Premium],Actual_CF[ICG],CF_Gen_2[[#This Row],[ICG]],Actual_CF[Incurred],CF_Gen_2[[#This Row],[Incurred]])</f>
        <v>0</v>
      </c>
      <c r="AC22" s="19">
        <f>SUMIFS(Actual_CF[Actual_Commission],Actual_CF[ICG],CF_Gen_2[[#This Row],[ICG]],Actual_CF[Incurred],CF_Gen_2[[#This Row],[Incurred]])</f>
        <v>0</v>
      </c>
      <c r="AD22" s="19">
        <f>SUMIFS(Actual_CF[Actual_Acquisition],Actual_CF[ICG],CF_Gen_2[[#This Row],[ICG]],Actual_CF[Incurred],CF_Gen_2[[#This Row],[Incurred]])</f>
        <v>0</v>
      </c>
    </row>
    <row r="23" spans="1:30">
      <c r="A23" t="str">
        <f t="shared" si="1"/>
        <v>#2024#RC-Property</v>
      </c>
      <c r="B23">
        <f>_xlfn.XLOOKUP(CF_Gen_2[[#This Row],[ICG]],ICG[ICG],ICG[Cohort])</f>
        <v>2024</v>
      </c>
      <c r="C23" t="str">
        <f>_xlfn.XLOOKUP(CF_Gen_2[[#This Row],[ICG]],ICG[ICG],ICG[Portfolio])</f>
        <v>RC-Property</v>
      </c>
      <c r="D23" t="str">
        <f>_xlfn.XLOOKUP(CF_Gen_2[[#This Row],[ICG]],ICG[ICG],ICG[Contract])</f>
        <v>RC</v>
      </c>
      <c r="E23" s="2">
        <f t="shared" si="0"/>
        <v>45930</v>
      </c>
      <c r="F23">
        <v>22</v>
      </c>
      <c r="G23" s="2">
        <f>EOMONTH(DATE(YEAR(CF_Gen_2[[#This Row],[Valuation]])-1,12,31),CF_Gen_2[[#This Row],['#Incurred]]*3)</f>
        <v>47664</v>
      </c>
      <c r="H23" s="14">
        <f>SUMIFS(Expected_CF[Expected_Premium],Expected_CF[ICG],CF_Gen_2[[#This Row],[ICG]],Expected_CF[Incurred],CF_Gen_2[[#This Row],[Incurred]])</f>
        <v>0</v>
      </c>
      <c r="I23" s="14">
        <f>SUMIFS(Expected_CF[Expected_Commission],Expected_CF[ICG],CF_Gen_2[[#This Row],[ICG]],Expected_CF[Incurred],CF_Gen_2[[#This Row],[Incurred]])</f>
        <v>0</v>
      </c>
      <c r="J23" s="14">
        <f>IF(CF_Gen_2[[#This Row],[Contract]]="IC",SUMIFS(Expected_CF[Expected_Acquisition],Expected_CF[ICG],CF_Gen_2[[#This Row],[ICG]],Expected_CF[Incurred],CF_Gen_2[[#This Row],[Incurred]]),0)</f>
        <v>0</v>
      </c>
      <c r="K23" s="14">
        <f>SUMIFS(Earned[Earned_Premium],Earned[ICG],CF_Gen_2[[#This Row],[ICG]],Earned[Incurred],CF_Gen_2[[#This Row],[Incurred]])</f>
        <v>-989893720.50680947</v>
      </c>
      <c r="L23" s="14">
        <f>SUMIFS(Earned[Earned_Commission],Earned[ICG],CF_Gen_2[[#This Row],[ICG]],Earned[Incurred],CF_Gen_2[[#This Row],[Incurred]])</f>
        <v>326076919.75606179</v>
      </c>
      <c r="M23" s="18">
        <f>_xlfn.XLOOKUP(CF_Gen_2[[#This Row],[ICG]],Assumptions[ICG],Assumptions[Loss_Ratio])</f>
        <v>0.38</v>
      </c>
      <c r="N23" s="18">
        <f>_xlfn.XLOOKUP(CF_Gen_2[[#This Row],[ICG]],Assumptions[ICG],Assumptions[Risk_Adjustment_Ratio])</f>
        <v>0.13</v>
      </c>
      <c r="O23" s="18">
        <f>_xlfn.XLOOKUP(CF_Gen_2[[#This Row],[ICG]],Assumptions[ICG],Assumptions[PME_Ratio])</f>
        <v>0</v>
      </c>
      <c r="P23" s="18">
        <f>_xlfn.XLOOKUP(CF_Gen_2[[#This Row],[ICG]],Assumptions[ICG],Assumptions[ULAE_Ratio])</f>
        <v>0</v>
      </c>
      <c r="Q23" s="18">
        <f>_xlfn.XLOOKUP(CF_Gen_2[[#This Row],[ICG]],Assumptions[ICG],Assumptions[Cancellation_Ratio])</f>
        <v>7.0000000000000007E-2</v>
      </c>
      <c r="R23" s="18">
        <f>_xlfn.XLOOKUP(CF_Gen_2[[#This Row],[ICG]],Assumptions[ICG],Assumptions[Premium_Refund_Ratio])</f>
        <v>0.5</v>
      </c>
      <c r="S23" s="18">
        <f>IF(CF_Gen_2[[#This Row],[Contract]]="RC",_xlfn.XLOOKUP(CF_Gen_2[[#This Row],[ICG]],Assumptions[ICG],Assumptions[NPR_Ratio]),0)</f>
        <v>2.8000000000000001E-2</v>
      </c>
      <c r="T23" s="17">
        <f>T22*(1-CF_Gen_2[[#This Row],[Cancellation_Ratio]])</f>
        <v>0.21784215250620995</v>
      </c>
      <c r="U23" s="19">
        <f>IF(CF_Gen_2[[#This Row],[Incurred]]&lt;=CF_Gen_2[[#This Row],[Valuation]],CF_Gen_2[[#This Row],[Expected_Premium]],-CF_Gen_2[[#This Row],[Probability_of_Inforce]]*CF_Gen_2[[#This Row],[Premium_Refund_Ratio]]*CF_Gen_2[[#This Row],[Cancellation_Ratio]]*SUM(K23:K$105))</f>
        <v>277432758.48472983</v>
      </c>
      <c r="V2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Row],[Cancellation_Ratio]]*SUM(L23:L$105))</f>
        <v>-88972984.214943945</v>
      </c>
      <c r="W23" s="19">
        <f>CF_Gen_2[[#This Row],[Expected_Acquisition]]</f>
        <v>0</v>
      </c>
      <c r="X2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3" s="19">
        <f>-CF_Gen_2[[#This Row],[Probability_of_Inforce]]*CF_Gen_2[[#This Row],[Earned_Premium]]*(1-CF_Gen_2[[#This Row],[Cancellation_Ratio]])*CF_Gen_2[[#This Row],[Loss_Ratio]]</f>
        <v>76207380.557668164</v>
      </c>
      <c r="Z23" s="19">
        <f>CF_Gen_2[[#This Row],[Exp_Claim]]*CF_Gen_2[[#This Row],[Risk_Adjustment_Ratio]]</f>
        <v>9906959.4724968616</v>
      </c>
      <c r="AA23" s="19">
        <f>IF(CF_Gen_2[[#This Row],[Contract]]="RC",-CF_Gen_2[[#This Row],[NPR_Ratio]]*CF_Gen_2[[#This Row],[Exp_Claim]],0)</f>
        <v>-2133806.6556147086</v>
      </c>
      <c r="AB23" s="19">
        <f>SUMIFS(Actual_CF[Actual_Premium],Actual_CF[ICG],CF_Gen_2[[#This Row],[ICG]],Actual_CF[Incurred],CF_Gen_2[[#This Row],[Incurred]])</f>
        <v>0</v>
      </c>
      <c r="AC23" s="19">
        <f>SUMIFS(Actual_CF[Actual_Commission],Actual_CF[ICG],CF_Gen_2[[#This Row],[ICG]],Actual_CF[Incurred],CF_Gen_2[[#This Row],[Incurred]])</f>
        <v>0</v>
      </c>
      <c r="AD23" s="19">
        <f>SUMIFS(Actual_CF[Actual_Acquisition],Actual_CF[ICG],CF_Gen_2[[#This Row],[ICG]],Actual_CF[Incurred],CF_Gen_2[[#This Row],[Incurred]])</f>
        <v>0</v>
      </c>
    </row>
    <row r="24" spans="1:30">
      <c r="A24" t="str">
        <f t="shared" si="1"/>
        <v>#2024#RC-Property</v>
      </c>
      <c r="B24">
        <f>_xlfn.XLOOKUP(CF_Gen_2[[#This Row],[ICG]],ICG[ICG],ICG[Cohort])</f>
        <v>2024</v>
      </c>
      <c r="C24" t="str">
        <f>_xlfn.XLOOKUP(CF_Gen_2[[#This Row],[ICG]],ICG[ICG],ICG[Portfolio])</f>
        <v>RC-Property</v>
      </c>
      <c r="D24" t="str">
        <f>_xlfn.XLOOKUP(CF_Gen_2[[#This Row],[ICG]],ICG[ICG],ICG[Contract])</f>
        <v>RC</v>
      </c>
      <c r="E24" s="2">
        <f t="shared" si="0"/>
        <v>45930</v>
      </c>
      <c r="F24">
        <v>23</v>
      </c>
      <c r="G24" s="2">
        <f>EOMONTH(DATE(YEAR(CF_Gen_2[[#This Row],[Valuation]])-1,12,31),CF_Gen_2[[#This Row],['#Incurred]]*3)</f>
        <v>47756</v>
      </c>
      <c r="H24" s="14">
        <f>SUMIFS(Expected_CF[Expected_Premium],Expected_CF[ICG],CF_Gen_2[[#This Row],[ICG]],Expected_CF[Incurred],CF_Gen_2[[#This Row],[Incurred]])</f>
        <v>0</v>
      </c>
      <c r="I24" s="14">
        <f>SUMIFS(Expected_CF[Expected_Commission],Expected_CF[ICG],CF_Gen_2[[#This Row],[ICG]],Expected_CF[Incurred],CF_Gen_2[[#This Row],[Incurred]])</f>
        <v>0</v>
      </c>
      <c r="J24" s="14">
        <f>IF(CF_Gen_2[[#This Row],[Contract]]="IC",SUMIFS(Expected_CF[Expected_Acquisition],Expected_CF[ICG],CF_Gen_2[[#This Row],[ICG]],Expected_CF[Incurred],CF_Gen_2[[#This Row],[Incurred]]),0)</f>
        <v>0</v>
      </c>
      <c r="K24" s="14">
        <f>SUMIFS(Earned[Earned_Premium],Earned[ICG],CF_Gen_2[[#This Row],[ICG]],Earned[Incurred],CF_Gen_2[[#This Row],[Incurred]])</f>
        <v>-976240014.0170604</v>
      </c>
      <c r="L24" s="14">
        <f>SUMIFS(Earned[Earned_Commission],Earned[ICG],CF_Gen_2[[#This Row],[ICG]],Earned[Incurred],CF_Gen_2[[#This Row],[Incurred]])</f>
        <v>321451715.22051483</v>
      </c>
      <c r="M24" s="18">
        <f>_xlfn.XLOOKUP(CF_Gen_2[[#This Row],[ICG]],Assumptions[ICG],Assumptions[Loss_Ratio])</f>
        <v>0.38</v>
      </c>
      <c r="N24" s="18">
        <f>_xlfn.XLOOKUP(CF_Gen_2[[#This Row],[ICG]],Assumptions[ICG],Assumptions[Risk_Adjustment_Ratio])</f>
        <v>0.13</v>
      </c>
      <c r="O24" s="18">
        <f>_xlfn.XLOOKUP(CF_Gen_2[[#This Row],[ICG]],Assumptions[ICG],Assumptions[PME_Ratio])</f>
        <v>0</v>
      </c>
      <c r="P24" s="18">
        <f>_xlfn.XLOOKUP(CF_Gen_2[[#This Row],[ICG]],Assumptions[ICG],Assumptions[ULAE_Ratio])</f>
        <v>0</v>
      </c>
      <c r="Q24" s="18">
        <f>_xlfn.XLOOKUP(CF_Gen_2[[#This Row],[ICG]],Assumptions[ICG],Assumptions[Cancellation_Ratio])</f>
        <v>7.0000000000000007E-2</v>
      </c>
      <c r="R24" s="18">
        <f>_xlfn.XLOOKUP(CF_Gen_2[[#This Row],[ICG]],Assumptions[ICG],Assumptions[Premium_Refund_Ratio])</f>
        <v>0.5</v>
      </c>
      <c r="S24" s="18">
        <f>IF(CF_Gen_2[[#This Row],[Contract]]="RC",_xlfn.XLOOKUP(CF_Gen_2[[#This Row],[ICG]],Assumptions[ICG],Assumptions[NPR_Ratio]),0)</f>
        <v>2.8000000000000001E-2</v>
      </c>
      <c r="T24" s="17">
        <f>T23*(1-CF_Gen_2[[#This Row],[Cancellation_Ratio]])</f>
        <v>0.20259320183077523</v>
      </c>
      <c r="U24" s="19">
        <f>IF(CF_Gen_2[[#This Row],[Incurred]]&lt;=CF_Gen_2[[#This Row],[Valuation]],CF_Gen_2[[#This Row],[Expected_Premium]],-CF_Gen_2[[#This Row],[Probability_of_Inforce]]*CF_Gen_2[[#This Row],[Premium_Refund_Ratio]]*CF_Gen_2[[#This Row],[Cancellation_Ratio]]*SUM(K24:K$105))</f>
        <v>250993364.54996085</v>
      </c>
      <c r="V2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Row],[Cancellation_Ratio]]*SUM(L24:L$105))</f>
        <v>-80432741.467320457</v>
      </c>
      <c r="W24" s="19">
        <f>CF_Gen_2[[#This Row],[Expected_Acquisition]]</f>
        <v>0</v>
      </c>
      <c r="X2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4" s="19">
        <f>-CF_Gen_2[[#This Row],[Probability_of_Inforce]]*CF_Gen_2[[#This Row],[Earned_Premium]]*(1-CF_Gen_2[[#This Row],[Cancellation_Ratio]])*CF_Gen_2[[#This Row],[Loss_Ratio]]</f>
        <v>69895307.174926132</v>
      </c>
      <c r="Z24" s="19">
        <f>CF_Gen_2[[#This Row],[Exp_Claim]]*CF_Gen_2[[#This Row],[Risk_Adjustment_Ratio]]</f>
        <v>9086389.9327403978</v>
      </c>
      <c r="AA24" s="19">
        <f>IF(CF_Gen_2[[#This Row],[Contract]]="RC",-CF_Gen_2[[#This Row],[NPR_Ratio]]*CF_Gen_2[[#This Row],[Exp_Claim]],0)</f>
        <v>-1957068.6008979317</v>
      </c>
      <c r="AB24" s="19">
        <f>SUMIFS(Actual_CF[Actual_Premium],Actual_CF[ICG],CF_Gen_2[[#This Row],[ICG]],Actual_CF[Incurred],CF_Gen_2[[#This Row],[Incurred]])</f>
        <v>0</v>
      </c>
      <c r="AC24" s="19">
        <f>SUMIFS(Actual_CF[Actual_Commission],Actual_CF[ICG],CF_Gen_2[[#This Row],[ICG]],Actual_CF[Incurred],CF_Gen_2[[#This Row],[Incurred]])</f>
        <v>0</v>
      </c>
      <c r="AD24" s="19">
        <f>SUMIFS(Actual_CF[Actual_Acquisition],Actual_CF[ICG],CF_Gen_2[[#This Row],[ICG]],Actual_CF[Incurred],CF_Gen_2[[#This Row],[Incurred]])</f>
        <v>0</v>
      </c>
    </row>
    <row r="25" spans="1:30">
      <c r="A25" t="str">
        <f t="shared" si="1"/>
        <v>#2024#RC-Property</v>
      </c>
      <c r="B25">
        <f>_xlfn.XLOOKUP(CF_Gen_2[[#This Row],[ICG]],ICG[ICG],ICG[Cohort])</f>
        <v>2024</v>
      </c>
      <c r="C25" t="str">
        <f>_xlfn.XLOOKUP(CF_Gen_2[[#This Row],[ICG]],ICG[ICG],ICG[Portfolio])</f>
        <v>RC-Property</v>
      </c>
      <c r="D25" t="str">
        <f>_xlfn.XLOOKUP(CF_Gen_2[[#This Row],[ICG]],ICG[ICG],ICG[Contract])</f>
        <v>RC</v>
      </c>
      <c r="E25" s="2">
        <f t="shared" si="0"/>
        <v>45930</v>
      </c>
      <c r="F25">
        <v>24</v>
      </c>
      <c r="G25" s="2">
        <f>EOMONTH(DATE(YEAR(CF_Gen_2[[#This Row],[Valuation]])-1,12,31),CF_Gen_2[[#This Row],['#Incurred]]*3)</f>
        <v>47848</v>
      </c>
      <c r="H25" s="14">
        <f>SUMIFS(Expected_CF[Expected_Premium],Expected_CF[ICG],CF_Gen_2[[#This Row],[ICG]],Expected_CF[Incurred],CF_Gen_2[[#This Row],[Incurred]])</f>
        <v>0</v>
      </c>
      <c r="I25" s="14">
        <f>SUMIFS(Expected_CF[Expected_Commission],Expected_CF[ICG],CF_Gen_2[[#This Row],[ICG]],Expected_CF[Incurred],CF_Gen_2[[#This Row],[Incurred]])</f>
        <v>0</v>
      </c>
      <c r="J25" s="14">
        <f>IF(CF_Gen_2[[#This Row],[Contract]]="IC",SUMIFS(Expected_CF[Expected_Acquisition],Expected_CF[ICG],CF_Gen_2[[#This Row],[ICG]],Expected_CF[Incurred],CF_Gen_2[[#This Row],[Incurred]]),0)</f>
        <v>0</v>
      </c>
      <c r="K25" s="14">
        <f>SUMIFS(Earned[Earned_Premium],Earned[ICG],CF_Gen_2[[#This Row],[ICG]],Earned[Incurred],CF_Gen_2[[#This Row],[Incurred]])</f>
        <v>-962586307.52731121</v>
      </c>
      <c r="L25" s="14">
        <f>SUMIFS(Earned[Earned_Commission],Earned[ICG],CF_Gen_2[[#This Row],[ICG]],Earned[Incurred],CF_Gen_2[[#This Row],[Incurred]])</f>
        <v>316826510.68496788</v>
      </c>
      <c r="M25" s="18">
        <f>_xlfn.XLOOKUP(CF_Gen_2[[#This Row],[ICG]],Assumptions[ICG],Assumptions[Loss_Ratio])</f>
        <v>0.38</v>
      </c>
      <c r="N25" s="18">
        <f>_xlfn.XLOOKUP(CF_Gen_2[[#This Row],[ICG]],Assumptions[ICG],Assumptions[Risk_Adjustment_Ratio])</f>
        <v>0.13</v>
      </c>
      <c r="O25" s="18">
        <f>_xlfn.XLOOKUP(CF_Gen_2[[#This Row],[ICG]],Assumptions[ICG],Assumptions[PME_Ratio])</f>
        <v>0</v>
      </c>
      <c r="P25" s="18">
        <f>_xlfn.XLOOKUP(CF_Gen_2[[#This Row],[ICG]],Assumptions[ICG],Assumptions[ULAE_Ratio])</f>
        <v>0</v>
      </c>
      <c r="Q25" s="18">
        <f>_xlfn.XLOOKUP(CF_Gen_2[[#This Row],[ICG]],Assumptions[ICG],Assumptions[Cancellation_Ratio])</f>
        <v>7.0000000000000007E-2</v>
      </c>
      <c r="R25" s="18">
        <f>_xlfn.XLOOKUP(CF_Gen_2[[#This Row],[ICG]],Assumptions[ICG],Assumptions[Premium_Refund_Ratio])</f>
        <v>0.5</v>
      </c>
      <c r="S25" s="18">
        <f>IF(CF_Gen_2[[#This Row],[Contract]]="RC",_xlfn.XLOOKUP(CF_Gen_2[[#This Row],[ICG]],Assumptions[ICG],Assumptions[NPR_Ratio]),0)</f>
        <v>2.8000000000000001E-2</v>
      </c>
      <c r="T25" s="17">
        <f>T24*(1-CF_Gen_2[[#This Row],[Cancellation_Ratio]])</f>
        <v>0.18841167770262096</v>
      </c>
      <c r="U25" s="19">
        <f>IF(CF_Gen_2[[#This Row],[Incurred]]&lt;=CF_Gen_2[[#This Row],[Valuation]],CF_Gen_2[[#This Row],[Expected_Premium]],-CF_Gen_2[[#This Row],[Probability_of_Inforce]]*CF_Gen_2[[#This Row],[Premium_Refund_Ratio]]*CF_Gen_2[[#This Row],[Cancellation_Ratio]]*SUM(K25:K$105))</f>
        <v>226986103.37061512</v>
      </c>
      <c r="V2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Row],[Cancellation_Ratio]]*SUM(L25:L$105))</f>
        <v>-72682665.570830151</v>
      </c>
      <c r="W25" s="19">
        <f>CF_Gen_2[[#This Row],[Expected_Acquisition]]</f>
        <v>0</v>
      </c>
      <c r="X2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5" s="19">
        <f>-CF_Gen_2[[#This Row],[Probability_of_Inforce]]*CF_Gen_2[[#This Row],[Earned_Premium]]*(1-CF_Gen_2[[#This Row],[Cancellation_Ratio]])*CF_Gen_2[[#This Row],[Loss_Ratio]]</f>
        <v>64093507.901035391</v>
      </c>
      <c r="Z25" s="19">
        <f>CF_Gen_2[[#This Row],[Exp_Claim]]*CF_Gen_2[[#This Row],[Risk_Adjustment_Ratio]]</f>
        <v>8332156.027134601</v>
      </c>
      <c r="AA25" s="19">
        <f>IF(CF_Gen_2[[#This Row],[Contract]]="RC",-CF_Gen_2[[#This Row],[NPR_Ratio]]*CF_Gen_2[[#This Row],[Exp_Claim]],0)</f>
        <v>-1794618.2212289909</v>
      </c>
      <c r="AB25" s="19">
        <f>SUMIFS(Actual_CF[Actual_Premium],Actual_CF[ICG],CF_Gen_2[[#This Row],[ICG]],Actual_CF[Incurred],CF_Gen_2[[#This Row],[Incurred]])</f>
        <v>0</v>
      </c>
      <c r="AC25" s="19">
        <f>SUMIFS(Actual_CF[Actual_Commission],Actual_CF[ICG],CF_Gen_2[[#This Row],[ICG]],Actual_CF[Incurred],CF_Gen_2[[#This Row],[Incurred]])</f>
        <v>0</v>
      </c>
      <c r="AD25" s="19">
        <f>SUMIFS(Actual_CF[Actual_Acquisition],Actual_CF[ICG],CF_Gen_2[[#This Row],[ICG]],Actual_CF[Incurred],CF_Gen_2[[#This Row],[Incurred]])</f>
        <v>0</v>
      </c>
    </row>
    <row r="26" spans="1:30">
      <c r="A26" t="str">
        <f t="shared" si="1"/>
        <v>#2024#RC-Property</v>
      </c>
      <c r="B26">
        <f>_xlfn.XLOOKUP(CF_Gen_2[[#This Row],[ICG]],ICG[ICG],ICG[Cohort])</f>
        <v>2024</v>
      </c>
      <c r="C26" t="str">
        <f>_xlfn.XLOOKUP(CF_Gen_2[[#This Row],[ICG]],ICG[ICG],ICG[Portfolio])</f>
        <v>RC-Property</v>
      </c>
      <c r="D26" t="str">
        <f>_xlfn.XLOOKUP(CF_Gen_2[[#This Row],[ICG]],ICG[ICG],ICG[Contract])</f>
        <v>RC</v>
      </c>
      <c r="E26" s="2">
        <f t="shared" si="0"/>
        <v>45930</v>
      </c>
      <c r="F26">
        <v>25</v>
      </c>
      <c r="G26" s="2">
        <f>EOMONTH(DATE(YEAR(CF_Gen_2[[#This Row],[Valuation]])-1,12,31),CF_Gen_2[[#This Row],['#Incurred]]*3)</f>
        <v>47938</v>
      </c>
      <c r="H26" s="14">
        <f>SUMIFS(Expected_CF[Expected_Premium],Expected_CF[ICG],CF_Gen_2[[#This Row],[ICG]],Expected_CF[Incurred],CF_Gen_2[[#This Row],[Incurred]])</f>
        <v>0</v>
      </c>
      <c r="I26" s="14">
        <f>SUMIFS(Expected_CF[Expected_Commission],Expected_CF[ICG],CF_Gen_2[[#This Row],[ICG]],Expected_CF[Incurred],CF_Gen_2[[#This Row],[Incurred]])</f>
        <v>0</v>
      </c>
      <c r="J26" s="14">
        <f>IF(CF_Gen_2[[#This Row],[Contract]]="IC",SUMIFS(Expected_CF[Expected_Acquisition],Expected_CF[ICG],CF_Gen_2[[#This Row],[ICG]],Expected_CF[Incurred],CF_Gen_2[[#This Row],[Incurred]]),0)</f>
        <v>0</v>
      </c>
      <c r="K26" s="14">
        <f>SUMIFS(Earned[Earned_Premium],Earned[ICG],CF_Gen_2[[#This Row],[ICG]],Earned[Incurred],CF_Gen_2[[#This Row],[Incurred]])</f>
        <v>-948932601.03756213</v>
      </c>
      <c r="L26" s="14">
        <f>SUMIFS(Earned[Earned_Commission],Earned[ICG],CF_Gen_2[[#This Row],[ICG]],Earned[Incurred],CF_Gen_2[[#This Row],[Incurred]])</f>
        <v>312201306.14942098</v>
      </c>
      <c r="M26" s="18">
        <f>_xlfn.XLOOKUP(CF_Gen_2[[#This Row],[ICG]],Assumptions[ICG],Assumptions[Loss_Ratio])</f>
        <v>0.38</v>
      </c>
      <c r="N26" s="18">
        <f>_xlfn.XLOOKUP(CF_Gen_2[[#This Row],[ICG]],Assumptions[ICG],Assumptions[Risk_Adjustment_Ratio])</f>
        <v>0.13</v>
      </c>
      <c r="O26" s="18">
        <f>_xlfn.XLOOKUP(CF_Gen_2[[#This Row],[ICG]],Assumptions[ICG],Assumptions[PME_Ratio])</f>
        <v>0</v>
      </c>
      <c r="P26" s="18">
        <f>_xlfn.XLOOKUP(CF_Gen_2[[#This Row],[ICG]],Assumptions[ICG],Assumptions[ULAE_Ratio])</f>
        <v>0</v>
      </c>
      <c r="Q26" s="18">
        <f>_xlfn.XLOOKUP(CF_Gen_2[[#This Row],[ICG]],Assumptions[ICG],Assumptions[Cancellation_Ratio])</f>
        <v>7.0000000000000007E-2</v>
      </c>
      <c r="R26" s="18">
        <f>_xlfn.XLOOKUP(CF_Gen_2[[#This Row],[ICG]],Assumptions[ICG],Assumptions[Premium_Refund_Ratio])</f>
        <v>0.5</v>
      </c>
      <c r="S26" s="18">
        <f>IF(CF_Gen_2[[#This Row],[Contract]]="RC",_xlfn.XLOOKUP(CF_Gen_2[[#This Row],[ICG]],Assumptions[ICG],Assumptions[NPR_Ratio]),0)</f>
        <v>2.8000000000000001E-2</v>
      </c>
      <c r="T26" s="17">
        <f>T25*(1-CF_Gen_2[[#This Row],[Cancellation_Ratio]])</f>
        <v>0.17522286026343747</v>
      </c>
      <c r="U26" s="19">
        <f>IF(CF_Gen_2[[#This Row],[Incurred]]&lt;=CF_Gen_2[[#This Row],[Valuation]],CF_Gen_2[[#This Row],[Expected_Premium]],-CF_Gen_2[[#This Row],[Probability_of_Inforce]]*CF_Gen_2[[#This Row],[Premium_Refund_Ratio]]*CF_Gen_2[[#This Row],[Cancellation_Ratio]]*SUM(K26:K$105))</f>
        <v>205193726.7227346</v>
      </c>
      <c r="V2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Row],[Cancellation_Ratio]]*SUM(L26:L$105))</f>
        <v>-65651845.321539357</v>
      </c>
      <c r="W26" s="19">
        <f>CF_Gen_2[[#This Row],[Expected_Acquisition]]</f>
        <v>0</v>
      </c>
      <c r="X2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6" s="19">
        <f>-CF_Gen_2[[#This Row],[Probability_of_Inforce]]*CF_Gen_2[[#This Row],[Earned_Premium]]*(1-CF_Gen_2[[#This Row],[Cancellation_Ratio]])*CF_Gen_2[[#This Row],[Loss_Ratio]]</f>
        <v>58761473.520332232</v>
      </c>
      <c r="Z26" s="19">
        <f>CF_Gen_2[[#This Row],[Exp_Claim]]*CF_Gen_2[[#This Row],[Risk_Adjustment_Ratio]]</f>
        <v>7638991.55764319</v>
      </c>
      <c r="AA26" s="19">
        <f>IF(CF_Gen_2[[#This Row],[Contract]]="RC",-CF_Gen_2[[#This Row],[NPR_Ratio]]*CF_Gen_2[[#This Row],[Exp_Claim]],0)</f>
        <v>-1645321.2585693025</v>
      </c>
      <c r="AB26" s="19">
        <f>SUMIFS(Actual_CF[Actual_Premium],Actual_CF[ICG],CF_Gen_2[[#This Row],[ICG]],Actual_CF[Incurred],CF_Gen_2[[#This Row],[Incurred]])</f>
        <v>0</v>
      </c>
      <c r="AC26" s="19">
        <f>SUMIFS(Actual_CF[Actual_Commission],Actual_CF[ICG],CF_Gen_2[[#This Row],[ICG]],Actual_CF[Incurred],CF_Gen_2[[#This Row],[Incurred]])</f>
        <v>0</v>
      </c>
      <c r="AD26" s="19">
        <f>SUMIFS(Actual_CF[Actual_Acquisition],Actual_CF[ICG],CF_Gen_2[[#This Row],[ICG]],Actual_CF[Incurred],CF_Gen_2[[#This Row],[Incurred]])</f>
        <v>0</v>
      </c>
    </row>
    <row r="27" spans="1:30">
      <c r="A27" t="str">
        <f t="shared" si="1"/>
        <v>#2024#RC-Property</v>
      </c>
      <c r="B27">
        <f>_xlfn.XLOOKUP(CF_Gen_2[[#This Row],[ICG]],ICG[ICG],ICG[Cohort])</f>
        <v>2024</v>
      </c>
      <c r="C27" t="str">
        <f>_xlfn.XLOOKUP(CF_Gen_2[[#This Row],[ICG]],ICG[ICG],ICG[Portfolio])</f>
        <v>RC-Property</v>
      </c>
      <c r="D27" t="str">
        <f>_xlfn.XLOOKUP(CF_Gen_2[[#This Row],[ICG]],ICG[ICG],ICG[Contract])</f>
        <v>RC</v>
      </c>
      <c r="E27" s="2">
        <f t="shared" si="0"/>
        <v>45930</v>
      </c>
      <c r="F27">
        <v>26</v>
      </c>
      <c r="G27" s="2">
        <f>EOMONTH(DATE(YEAR(CF_Gen_2[[#This Row],[Valuation]])-1,12,31),CF_Gen_2[[#This Row],['#Incurred]]*3)</f>
        <v>48029</v>
      </c>
      <c r="H27" s="14">
        <f>SUMIFS(Expected_CF[Expected_Premium],Expected_CF[ICG],CF_Gen_2[[#This Row],[ICG]],Expected_CF[Incurred],CF_Gen_2[[#This Row],[Incurred]])</f>
        <v>0</v>
      </c>
      <c r="I27" s="14">
        <f>SUMIFS(Expected_CF[Expected_Commission],Expected_CF[ICG],CF_Gen_2[[#This Row],[ICG]],Expected_CF[Incurred],CF_Gen_2[[#This Row],[Incurred]])</f>
        <v>0</v>
      </c>
      <c r="J27" s="14">
        <f>IF(CF_Gen_2[[#This Row],[Contract]]="IC",SUMIFS(Expected_CF[Expected_Acquisition],Expected_CF[ICG],CF_Gen_2[[#This Row],[ICG]],Expected_CF[Incurred],CF_Gen_2[[#This Row],[Incurred]]),0)</f>
        <v>0</v>
      </c>
      <c r="K27" s="14">
        <f>SUMIFS(Earned[Earned_Premium],Earned[ICG],CF_Gen_2[[#This Row],[ICG]],Earned[Incurred],CF_Gen_2[[#This Row],[Incurred]])</f>
        <v>-935278894.54781318</v>
      </c>
      <c r="L27" s="14">
        <f>SUMIFS(Earned[Earned_Commission],Earned[ICG],CF_Gen_2[[#This Row],[ICG]],Earned[Incurred],CF_Gen_2[[#This Row],[Incurred]])</f>
        <v>307576101.61387396</v>
      </c>
      <c r="M27" s="18">
        <f>_xlfn.XLOOKUP(CF_Gen_2[[#This Row],[ICG]],Assumptions[ICG],Assumptions[Loss_Ratio])</f>
        <v>0.38</v>
      </c>
      <c r="N27" s="18">
        <f>_xlfn.XLOOKUP(CF_Gen_2[[#This Row],[ICG]],Assumptions[ICG],Assumptions[Risk_Adjustment_Ratio])</f>
        <v>0.13</v>
      </c>
      <c r="O27" s="18">
        <f>_xlfn.XLOOKUP(CF_Gen_2[[#This Row],[ICG]],Assumptions[ICG],Assumptions[PME_Ratio])</f>
        <v>0</v>
      </c>
      <c r="P27" s="18">
        <f>_xlfn.XLOOKUP(CF_Gen_2[[#This Row],[ICG]],Assumptions[ICG],Assumptions[ULAE_Ratio])</f>
        <v>0</v>
      </c>
      <c r="Q27" s="18">
        <f>_xlfn.XLOOKUP(CF_Gen_2[[#This Row],[ICG]],Assumptions[ICG],Assumptions[Cancellation_Ratio])</f>
        <v>7.0000000000000007E-2</v>
      </c>
      <c r="R27" s="18">
        <f>_xlfn.XLOOKUP(CF_Gen_2[[#This Row],[ICG]],Assumptions[ICG],Assumptions[Premium_Refund_Ratio])</f>
        <v>0.5</v>
      </c>
      <c r="S27" s="18">
        <f>IF(CF_Gen_2[[#This Row],[Contract]]="RC",_xlfn.XLOOKUP(CF_Gen_2[[#This Row],[ICG]],Assumptions[ICG],Assumptions[NPR_Ratio]),0)</f>
        <v>2.8000000000000001E-2</v>
      </c>
      <c r="T27" s="17">
        <f>T26*(1-CF_Gen_2[[#This Row],[Cancellation_Ratio]])</f>
        <v>0.16295726004499683</v>
      </c>
      <c r="U27" s="19">
        <f>IF(CF_Gen_2[[#This Row],[Incurred]]&lt;=CF_Gen_2[[#This Row],[Valuation]],CF_Gen_2[[#This Row],[Expected_Premium]],-CF_Gen_2[[#This Row],[Probability_of_Inforce]]*CF_Gen_2[[#This Row],[Premium_Refund_Ratio]]*CF_Gen_2[[#This Row],[Cancellation_Ratio]]*SUM(K27:K$105))</f>
        <v>185417924.87000728</v>
      </c>
      <c r="V2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Row],[Cancellation_Ratio]]*SUM(L27:L$105))</f>
        <v>-59275574.71889133</v>
      </c>
      <c r="W27" s="19">
        <f>CF_Gen_2[[#This Row],[Expected_Acquisition]]</f>
        <v>0</v>
      </c>
      <c r="X2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7" s="19">
        <f>-CF_Gen_2[[#This Row],[Probability_of_Inforce]]*CF_Gen_2[[#This Row],[Earned_Premium]]*(1-CF_Gen_2[[#This Row],[Cancellation_Ratio]])*CF_Gen_2[[#This Row],[Loss_Ratio]]</f>
        <v>53861865.764212452</v>
      </c>
      <c r="Z27" s="19">
        <f>CF_Gen_2[[#This Row],[Exp_Claim]]*CF_Gen_2[[#This Row],[Risk_Adjustment_Ratio]]</f>
        <v>7002042.5493476186</v>
      </c>
      <c r="AA27" s="19">
        <f>IF(CF_Gen_2[[#This Row],[Contract]]="RC",-CF_Gen_2[[#This Row],[NPR_Ratio]]*CF_Gen_2[[#This Row],[Exp_Claim]],0)</f>
        <v>-1508132.2413979487</v>
      </c>
      <c r="AB27" s="19">
        <f>SUMIFS(Actual_CF[Actual_Premium],Actual_CF[ICG],CF_Gen_2[[#This Row],[ICG]],Actual_CF[Incurred],CF_Gen_2[[#This Row],[Incurred]])</f>
        <v>0</v>
      </c>
      <c r="AC27" s="19">
        <f>SUMIFS(Actual_CF[Actual_Commission],Actual_CF[ICG],CF_Gen_2[[#This Row],[ICG]],Actual_CF[Incurred],CF_Gen_2[[#This Row],[Incurred]])</f>
        <v>0</v>
      </c>
      <c r="AD27" s="19">
        <f>SUMIFS(Actual_CF[Actual_Acquisition],Actual_CF[ICG],CF_Gen_2[[#This Row],[ICG]],Actual_CF[Incurred],CF_Gen_2[[#This Row],[Incurred]])</f>
        <v>0</v>
      </c>
    </row>
    <row r="28" spans="1:30">
      <c r="A28" t="str">
        <f t="shared" si="1"/>
        <v>#2024#RC-Property</v>
      </c>
      <c r="B28">
        <f>_xlfn.XLOOKUP(CF_Gen_2[[#This Row],[ICG]],ICG[ICG],ICG[Cohort])</f>
        <v>2024</v>
      </c>
      <c r="C28" t="str">
        <f>_xlfn.XLOOKUP(CF_Gen_2[[#This Row],[ICG]],ICG[ICG],ICG[Portfolio])</f>
        <v>RC-Property</v>
      </c>
      <c r="D28" t="str">
        <f>_xlfn.XLOOKUP(CF_Gen_2[[#This Row],[ICG]],ICG[ICG],ICG[Contract])</f>
        <v>RC</v>
      </c>
      <c r="E28" s="2">
        <f t="shared" si="0"/>
        <v>45930</v>
      </c>
      <c r="F28">
        <v>27</v>
      </c>
      <c r="G28" s="2">
        <f>EOMONTH(DATE(YEAR(CF_Gen_2[[#This Row],[Valuation]])-1,12,31),CF_Gen_2[[#This Row],['#Incurred]]*3)</f>
        <v>48121</v>
      </c>
      <c r="H28" s="14">
        <f>SUMIFS(Expected_CF[Expected_Premium],Expected_CF[ICG],CF_Gen_2[[#This Row],[ICG]],Expected_CF[Incurred],CF_Gen_2[[#This Row],[Incurred]])</f>
        <v>0</v>
      </c>
      <c r="I28" s="14">
        <f>SUMIFS(Expected_CF[Expected_Commission],Expected_CF[ICG],CF_Gen_2[[#This Row],[ICG]],Expected_CF[Incurred],CF_Gen_2[[#This Row],[Incurred]])</f>
        <v>0</v>
      </c>
      <c r="J28" s="14">
        <f>IF(CF_Gen_2[[#This Row],[Contract]]="IC",SUMIFS(Expected_CF[Expected_Acquisition],Expected_CF[ICG],CF_Gen_2[[#This Row],[ICG]],Expected_CF[Incurred],CF_Gen_2[[#This Row],[Incurred]]),0)</f>
        <v>0</v>
      </c>
      <c r="K28" s="14">
        <f>SUMIFS(Earned[Earned_Premium],Earned[ICG],CF_Gen_2[[#This Row],[ICG]],Earned[Incurred],CF_Gen_2[[#This Row],[Incurred]])</f>
        <v>-921625188.05806398</v>
      </c>
      <c r="L28" s="14">
        <f>SUMIFS(Earned[Earned_Commission],Earned[ICG],CF_Gen_2[[#This Row],[ICG]],Earned[Incurred],CF_Gen_2[[#This Row],[Incurred]])</f>
        <v>302950897.07832694</v>
      </c>
      <c r="M28" s="18">
        <f>_xlfn.XLOOKUP(CF_Gen_2[[#This Row],[ICG]],Assumptions[ICG],Assumptions[Loss_Ratio])</f>
        <v>0.38</v>
      </c>
      <c r="N28" s="18">
        <f>_xlfn.XLOOKUP(CF_Gen_2[[#This Row],[ICG]],Assumptions[ICG],Assumptions[Risk_Adjustment_Ratio])</f>
        <v>0.13</v>
      </c>
      <c r="O28" s="18">
        <f>_xlfn.XLOOKUP(CF_Gen_2[[#This Row],[ICG]],Assumptions[ICG],Assumptions[PME_Ratio])</f>
        <v>0</v>
      </c>
      <c r="P28" s="18">
        <f>_xlfn.XLOOKUP(CF_Gen_2[[#This Row],[ICG]],Assumptions[ICG],Assumptions[ULAE_Ratio])</f>
        <v>0</v>
      </c>
      <c r="Q28" s="18">
        <f>_xlfn.XLOOKUP(CF_Gen_2[[#This Row],[ICG]],Assumptions[ICG],Assumptions[Cancellation_Ratio])</f>
        <v>7.0000000000000007E-2</v>
      </c>
      <c r="R28" s="18">
        <f>_xlfn.XLOOKUP(CF_Gen_2[[#This Row],[ICG]],Assumptions[ICG],Assumptions[Premium_Refund_Ratio])</f>
        <v>0.5</v>
      </c>
      <c r="S28" s="18">
        <f>IF(CF_Gen_2[[#This Row],[Contract]]="RC",_xlfn.XLOOKUP(CF_Gen_2[[#This Row],[ICG]],Assumptions[ICG],Assumptions[NPR_Ratio]),0)</f>
        <v>2.8000000000000001E-2</v>
      </c>
      <c r="T28" s="17">
        <f>T27*(1-CF_Gen_2[[#This Row],[Cancellation_Ratio]])</f>
        <v>0.15155025184184703</v>
      </c>
      <c r="U28" s="19">
        <f>IF(CF_Gen_2[[#This Row],[Incurred]]&lt;=CF_Gen_2[[#This Row],[Valuation]],CF_Gen_2[[#This Row],[Expected_Premium]],-CF_Gen_2[[#This Row],[Probability_of_Inforce]]*CF_Gen_2[[#This Row],[Premium_Refund_Ratio]]*CF_Gen_2[[#This Row],[Cancellation_Ratio]]*SUM(K28:K$105))</f>
        <v>167477708.80871877</v>
      </c>
      <c r="V2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Row],[Cancellation_Ratio]]*SUM(L28:L$105))</f>
        <v>-53494821.240464874</v>
      </c>
      <c r="W28" s="19">
        <f>CF_Gen_2[[#This Row],[Expected_Acquisition]]</f>
        <v>0</v>
      </c>
      <c r="X2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8" s="19">
        <f>-CF_Gen_2[[#This Row],[Probability_of_Inforce]]*CF_Gen_2[[#This Row],[Earned_Premium]]*(1-CF_Gen_2[[#This Row],[Cancellation_Ratio]])*CF_Gen_2[[#This Row],[Loss_Ratio]]</f>
        <v>49360271.873699792</v>
      </c>
      <c r="Z28" s="19">
        <f>CF_Gen_2[[#This Row],[Exp_Claim]]*CF_Gen_2[[#This Row],[Risk_Adjustment_Ratio]]</f>
        <v>6416835.3435809733</v>
      </c>
      <c r="AA28" s="19">
        <f>IF(CF_Gen_2[[#This Row],[Contract]]="RC",-CF_Gen_2[[#This Row],[NPR_Ratio]]*CF_Gen_2[[#This Row],[Exp_Claim]],0)</f>
        <v>-1382087.6124635942</v>
      </c>
      <c r="AB28" s="19">
        <f>SUMIFS(Actual_CF[Actual_Premium],Actual_CF[ICG],CF_Gen_2[[#This Row],[ICG]],Actual_CF[Incurred],CF_Gen_2[[#This Row],[Incurred]])</f>
        <v>0</v>
      </c>
      <c r="AC28" s="19">
        <f>SUMIFS(Actual_CF[Actual_Commission],Actual_CF[ICG],CF_Gen_2[[#This Row],[ICG]],Actual_CF[Incurred],CF_Gen_2[[#This Row],[Incurred]])</f>
        <v>0</v>
      </c>
      <c r="AD28" s="19">
        <f>SUMIFS(Actual_CF[Actual_Acquisition],Actual_CF[ICG],CF_Gen_2[[#This Row],[ICG]],Actual_CF[Incurred],CF_Gen_2[[#This Row],[Incurred]])</f>
        <v>0</v>
      </c>
    </row>
    <row r="29" spans="1:30">
      <c r="A29" t="str">
        <f t="shared" si="1"/>
        <v>#2024#RC-Property</v>
      </c>
      <c r="B29">
        <f>_xlfn.XLOOKUP(CF_Gen_2[[#This Row],[ICG]],ICG[ICG],ICG[Cohort])</f>
        <v>2024</v>
      </c>
      <c r="C29" t="str">
        <f>_xlfn.XLOOKUP(CF_Gen_2[[#This Row],[ICG]],ICG[ICG],ICG[Portfolio])</f>
        <v>RC-Property</v>
      </c>
      <c r="D29" t="str">
        <f>_xlfn.XLOOKUP(CF_Gen_2[[#This Row],[ICG]],ICG[ICG],ICG[Contract])</f>
        <v>RC</v>
      </c>
      <c r="E29" s="2">
        <f t="shared" si="0"/>
        <v>45930</v>
      </c>
      <c r="F29">
        <v>28</v>
      </c>
      <c r="G29" s="2">
        <f>EOMONTH(DATE(YEAR(CF_Gen_2[[#This Row],[Valuation]])-1,12,31),CF_Gen_2[[#This Row],['#Incurred]]*3)</f>
        <v>48213</v>
      </c>
      <c r="H29" s="14">
        <f>SUMIFS(Expected_CF[Expected_Premium],Expected_CF[ICG],CF_Gen_2[[#This Row],[ICG]],Expected_CF[Incurred],CF_Gen_2[[#This Row],[Incurred]])</f>
        <v>0</v>
      </c>
      <c r="I29" s="14">
        <f>SUMIFS(Expected_CF[Expected_Commission],Expected_CF[ICG],CF_Gen_2[[#This Row],[ICG]],Expected_CF[Incurred],CF_Gen_2[[#This Row],[Incurred]])</f>
        <v>0</v>
      </c>
      <c r="J29" s="14">
        <f>IF(CF_Gen_2[[#This Row],[Contract]]="IC",SUMIFS(Expected_CF[Expected_Acquisition],Expected_CF[ICG],CF_Gen_2[[#This Row],[ICG]],Expected_CF[Incurred],CF_Gen_2[[#This Row],[Incurred]]),0)</f>
        <v>0</v>
      </c>
      <c r="K29" s="14">
        <f>SUMIFS(Earned[Earned_Premium],Earned[ICG],CF_Gen_2[[#This Row],[ICG]],Earned[Incurred],CF_Gen_2[[#This Row],[Incurred]])</f>
        <v>-907971481.56831491</v>
      </c>
      <c r="L29" s="14">
        <f>SUMIFS(Earned[Earned_Commission],Earned[ICG],CF_Gen_2[[#This Row],[ICG]],Earned[Incurred],CF_Gen_2[[#This Row],[Incurred]])</f>
        <v>298325692.54277998</v>
      </c>
      <c r="M29" s="18">
        <f>_xlfn.XLOOKUP(CF_Gen_2[[#This Row],[ICG]],Assumptions[ICG],Assumptions[Loss_Ratio])</f>
        <v>0.38</v>
      </c>
      <c r="N29" s="18">
        <f>_xlfn.XLOOKUP(CF_Gen_2[[#This Row],[ICG]],Assumptions[ICG],Assumptions[Risk_Adjustment_Ratio])</f>
        <v>0.13</v>
      </c>
      <c r="O29" s="18">
        <f>_xlfn.XLOOKUP(CF_Gen_2[[#This Row],[ICG]],Assumptions[ICG],Assumptions[PME_Ratio])</f>
        <v>0</v>
      </c>
      <c r="P29" s="18">
        <f>_xlfn.XLOOKUP(CF_Gen_2[[#This Row],[ICG]],Assumptions[ICG],Assumptions[ULAE_Ratio])</f>
        <v>0</v>
      </c>
      <c r="Q29" s="18">
        <f>_xlfn.XLOOKUP(CF_Gen_2[[#This Row],[ICG]],Assumptions[ICG],Assumptions[Cancellation_Ratio])</f>
        <v>7.0000000000000007E-2</v>
      </c>
      <c r="R29" s="18">
        <f>_xlfn.XLOOKUP(CF_Gen_2[[#This Row],[ICG]],Assumptions[ICG],Assumptions[Premium_Refund_Ratio])</f>
        <v>0.5</v>
      </c>
      <c r="S29" s="18">
        <f>IF(CF_Gen_2[[#This Row],[Contract]]="RC",_xlfn.XLOOKUP(CF_Gen_2[[#This Row],[ICG]],Assumptions[ICG],Assumptions[NPR_Ratio]),0)</f>
        <v>2.8000000000000001E-2</v>
      </c>
      <c r="T29" s="17">
        <f>T28*(1-CF_Gen_2[[#This Row],[Cancellation_Ratio]])</f>
        <v>0.14094173421291772</v>
      </c>
      <c r="U29" s="19">
        <f>IF(CF_Gen_2[[#This Row],[Incurred]]&lt;=CF_Gen_2[[#This Row],[Valuation]],CF_Gen_2[[#This Row],[Expected_Premium]],-CF_Gen_2[[#This Row],[Probability_of_Inforce]]*CF_Gen_2[[#This Row],[Premium_Refund_Ratio]]*CF_Gen_2[[#This Row],[Cancellation_Ratio]]*SUM(K29:K$105))</f>
        <v>151207928.36163607</v>
      </c>
      <c r="V2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Row],[Cancellation_Ratio]]*SUM(L29:L$105))</f>
        <v>-48255738.885087073</v>
      </c>
      <c r="W29" s="19">
        <f>CF_Gen_2[[#This Row],[Expected_Acquisition]]</f>
        <v>0</v>
      </c>
      <c r="X2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29" s="19">
        <f>-CF_Gen_2[[#This Row],[Probability_of_Inforce]]*CF_Gen_2[[#This Row],[Earned_Premium]]*(1-CF_Gen_2[[#This Row],[Cancellation_Ratio]])*CF_Gen_2[[#This Row],[Loss_Ratio]]</f>
        <v>45224977.985614277</v>
      </c>
      <c r="Z29" s="19">
        <f>CF_Gen_2[[#This Row],[Exp_Claim]]*CF_Gen_2[[#This Row],[Risk_Adjustment_Ratio]]</f>
        <v>5879247.1381298564</v>
      </c>
      <c r="AA29" s="19">
        <f>IF(CF_Gen_2[[#This Row],[Contract]]="RC",-CF_Gen_2[[#This Row],[NPR_Ratio]]*CF_Gen_2[[#This Row],[Exp_Claim]],0)</f>
        <v>-1266299.3835971998</v>
      </c>
      <c r="AB29" s="19">
        <f>SUMIFS(Actual_CF[Actual_Premium],Actual_CF[ICG],CF_Gen_2[[#This Row],[ICG]],Actual_CF[Incurred],CF_Gen_2[[#This Row],[Incurred]])</f>
        <v>0</v>
      </c>
      <c r="AC29" s="19">
        <f>SUMIFS(Actual_CF[Actual_Commission],Actual_CF[ICG],CF_Gen_2[[#This Row],[ICG]],Actual_CF[Incurred],CF_Gen_2[[#This Row],[Incurred]])</f>
        <v>0</v>
      </c>
      <c r="AD29" s="19">
        <f>SUMIFS(Actual_CF[Actual_Acquisition],Actual_CF[ICG],CF_Gen_2[[#This Row],[ICG]],Actual_CF[Incurred],CF_Gen_2[[#This Row],[Incurred]])</f>
        <v>0</v>
      </c>
    </row>
    <row r="30" spans="1:30">
      <c r="A30" t="str">
        <f t="shared" si="1"/>
        <v>#2024#RC-Property</v>
      </c>
      <c r="B30">
        <f>_xlfn.XLOOKUP(CF_Gen_2[[#This Row],[ICG]],ICG[ICG],ICG[Cohort])</f>
        <v>2024</v>
      </c>
      <c r="C30" t="str">
        <f>_xlfn.XLOOKUP(CF_Gen_2[[#This Row],[ICG]],ICG[ICG],ICG[Portfolio])</f>
        <v>RC-Property</v>
      </c>
      <c r="D30" t="str">
        <f>_xlfn.XLOOKUP(CF_Gen_2[[#This Row],[ICG]],ICG[ICG],ICG[Contract])</f>
        <v>RC</v>
      </c>
      <c r="E30" s="2">
        <f t="shared" si="0"/>
        <v>45930</v>
      </c>
      <c r="F30">
        <v>29</v>
      </c>
      <c r="G30" s="2">
        <f>EOMONTH(DATE(YEAR(CF_Gen_2[[#This Row],[Valuation]])-1,12,31),CF_Gen_2[[#This Row],['#Incurred]]*3)</f>
        <v>48304</v>
      </c>
      <c r="H30" s="14">
        <f>SUMIFS(Expected_CF[Expected_Premium],Expected_CF[ICG],CF_Gen_2[[#This Row],[ICG]],Expected_CF[Incurred],CF_Gen_2[[#This Row],[Incurred]])</f>
        <v>0</v>
      </c>
      <c r="I30" s="14">
        <f>SUMIFS(Expected_CF[Expected_Commission],Expected_CF[ICG],CF_Gen_2[[#This Row],[ICG]],Expected_CF[Incurred],CF_Gen_2[[#This Row],[Incurred]])</f>
        <v>0</v>
      </c>
      <c r="J30" s="14">
        <f>IF(CF_Gen_2[[#This Row],[Contract]]="IC",SUMIFS(Expected_CF[Expected_Acquisition],Expected_CF[ICG],CF_Gen_2[[#This Row],[ICG]],Expected_CF[Incurred],CF_Gen_2[[#This Row],[Incurred]]),0)</f>
        <v>0</v>
      </c>
      <c r="K30" s="14">
        <f>SUMIFS(Earned[Earned_Premium],Earned[ICG],CF_Gen_2[[#This Row],[ICG]],Earned[Incurred],CF_Gen_2[[#This Row],[Incurred]])</f>
        <v>-894317775.07856584</v>
      </c>
      <c r="L30" s="14">
        <f>SUMIFS(Earned[Earned_Commission],Earned[ICG],CF_Gen_2[[#This Row],[ICG]],Earned[Incurred],CF_Gen_2[[#This Row],[Incurred]])</f>
        <v>293700488.00723302</v>
      </c>
      <c r="M30" s="18">
        <f>_xlfn.XLOOKUP(CF_Gen_2[[#This Row],[ICG]],Assumptions[ICG],Assumptions[Loss_Ratio])</f>
        <v>0.38</v>
      </c>
      <c r="N30" s="18">
        <f>_xlfn.XLOOKUP(CF_Gen_2[[#This Row],[ICG]],Assumptions[ICG],Assumptions[Risk_Adjustment_Ratio])</f>
        <v>0.13</v>
      </c>
      <c r="O30" s="18">
        <f>_xlfn.XLOOKUP(CF_Gen_2[[#This Row],[ICG]],Assumptions[ICG],Assumptions[PME_Ratio])</f>
        <v>0</v>
      </c>
      <c r="P30" s="18">
        <f>_xlfn.XLOOKUP(CF_Gen_2[[#This Row],[ICG]],Assumptions[ICG],Assumptions[ULAE_Ratio])</f>
        <v>0</v>
      </c>
      <c r="Q30" s="18">
        <f>_xlfn.XLOOKUP(CF_Gen_2[[#This Row],[ICG]],Assumptions[ICG],Assumptions[Cancellation_Ratio])</f>
        <v>7.0000000000000007E-2</v>
      </c>
      <c r="R30" s="18">
        <f>_xlfn.XLOOKUP(CF_Gen_2[[#This Row],[ICG]],Assumptions[ICG],Assumptions[Premium_Refund_Ratio])</f>
        <v>0.5</v>
      </c>
      <c r="S30" s="18">
        <f>IF(CF_Gen_2[[#This Row],[Contract]]="RC",_xlfn.XLOOKUP(CF_Gen_2[[#This Row],[ICG]],Assumptions[ICG],Assumptions[NPR_Ratio]),0)</f>
        <v>2.8000000000000001E-2</v>
      </c>
      <c r="T30" s="17">
        <f>T29*(1-CF_Gen_2[[#This Row],[Cancellation_Ratio]])</f>
        <v>0.13107581281801348</v>
      </c>
      <c r="U30" s="19">
        <f>IF(CF_Gen_2[[#This Row],[Incurred]]&lt;=CF_Gen_2[[#This Row],[Valuation]],CF_Gen_2[[#This Row],[Expected_Premium]],-CF_Gen_2[[#This Row],[Probability_of_Inforce]]*CF_Gen_2[[#This Row],[Premium_Refund_Ratio]]*CF_Gen_2[[#This Row],[Cancellation_Ratio]]*SUM(K30:K$105))</f>
        <v>136457914.87764654</v>
      </c>
      <c r="V3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Row],[Cancellation_Ratio]]*SUM(L30:L$105))</f>
        <v>-43509222.270922028</v>
      </c>
      <c r="W30" s="19">
        <f>CF_Gen_2[[#This Row],[Expected_Acquisition]]</f>
        <v>0</v>
      </c>
      <c r="X3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0" s="19">
        <f>-CF_Gen_2[[#This Row],[Probability_of_Inforce]]*CF_Gen_2[[#This Row],[Earned_Premium]]*(1-CF_Gen_2[[#This Row],[Cancellation_Ratio]])*CF_Gen_2[[#This Row],[Loss_Ratio]]</f>
        <v>41426759.909679592</v>
      </c>
      <c r="Z30" s="19">
        <f>CF_Gen_2[[#This Row],[Exp_Claim]]*CF_Gen_2[[#This Row],[Risk_Adjustment_Ratio]]</f>
        <v>5385478.7882583467</v>
      </c>
      <c r="AA30" s="19">
        <f>IF(CF_Gen_2[[#This Row],[Contract]]="RC",-CF_Gen_2[[#This Row],[NPR_Ratio]]*CF_Gen_2[[#This Row],[Exp_Claim]],0)</f>
        <v>-1159949.2774710285</v>
      </c>
      <c r="AB30" s="19">
        <f>SUMIFS(Actual_CF[Actual_Premium],Actual_CF[ICG],CF_Gen_2[[#This Row],[ICG]],Actual_CF[Incurred],CF_Gen_2[[#This Row],[Incurred]])</f>
        <v>0</v>
      </c>
      <c r="AC30" s="19">
        <f>SUMIFS(Actual_CF[Actual_Commission],Actual_CF[ICG],CF_Gen_2[[#This Row],[ICG]],Actual_CF[Incurred],CF_Gen_2[[#This Row],[Incurred]])</f>
        <v>0</v>
      </c>
      <c r="AD30" s="19">
        <f>SUMIFS(Actual_CF[Actual_Acquisition],Actual_CF[ICG],CF_Gen_2[[#This Row],[ICG]],Actual_CF[Incurred],CF_Gen_2[[#This Row],[Incurred]])</f>
        <v>0</v>
      </c>
    </row>
    <row r="31" spans="1:30">
      <c r="A31" t="str">
        <f t="shared" si="1"/>
        <v>#2024#RC-Property</v>
      </c>
      <c r="B31">
        <f>_xlfn.XLOOKUP(CF_Gen_2[[#This Row],[ICG]],ICG[ICG],ICG[Cohort])</f>
        <v>2024</v>
      </c>
      <c r="C31" t="str">
        <f>_xlfn.XLOOKUP(CF_Gen_2[[#This Row],[ICG]],ICG[ICG],ICG[Portfolio])</f>
        <v>RC-Property</v>
      </c>
      <c r="D31" t="str">
        <f>_xlfn.XLOOKUP(CF_Gen_2[[#This Row],[ICG]],ICG[ICG],ICG[Contract])</f>
        <v>RC</v>
      </c>
      <c r="E31" s="2">
        <f t="shared" si="0"/>
        <v>45930</v>
      </c>
      <c r="F31">
        <v>30</v>
      </c>
      <c r="G31" s="2">
        <f>EOMONTH(DATE(YEAR(CF_Gen_2[[#This Row],[Valuation]])-1,12,31),CF_Gen_2[[#This Row],['#Incurred]]*3)</f>
        <v>48395</v>
      </c>
      <c r="H31" s="14">
        <f>SUMIFS(Expected_CF[Expected_Premium],Expected_CF[ICG],CF_Gen_2[[#This Row],[ICG]],Expected_CF[Incurred],CF_Gen_2[[#This Row],[Incurred]])</f>
        <v>0</v>
      </c>
      <c r="I31" s="14">
        <f>SUMIFS(Expected_CF[Expected_Commission],Expected_CF[ICG],CF_Gen_2[[#This Row],[ICG]],Expected_CF[Incurred],CF_Gen_2[[#This Row],[Incurred]])</f>
        <v>0</v>
      </c>
      <c r="J31" s="14">
        <f>IF(CF_Gen_2[[#This Row],[Contract]]="IC",SUMIFS(Expected_CF[Expected_Acquisition],Expected_CF[ICG],CF_Gen_2[[#This Row],[ICG]],Expected_CF[Incurred],CF_Gen_2[[#This Row],[Incurred]]),0)</f>
        <v>0</v>
      </c>
      <c r="K31" s="14">
        <f>SUMIFS(Earned[Earned_Premium],Earned[ICG],CF_Gen_2[[#This Row],[ICG]],Earned[Incurred],CF_Gen_2[[#This Row],[Incurred]])</f>
        <v>-880664068.58881688</v>
      </c>
      <c r="L31" s="14">
        <f>SUMIFS(Earned[Earned_Commission],Earned[ICG],CF_Gen_2[[#This Row],[ICG]],Earned[Incurred],CF_Gen_2[[#This Row],[Incurred]])</f>
        <v>289075283.47168607</v>
      </c>
      <c r="M31" s="18">
        <f>_xlfn.XLOOKUP(CF_Gen_2[[#This Row],[ICG]],Assumptions[ICG],Assumptions[Loss_Ratio])</f>
        <v>0.38</v>
      </c>
      <c r="N31" s="18">
        <f>_xlfn.XLOOKUP(CF_Gen_2[[#This Row],[ICG]],Assumptions[ICG],Assumptions[Risk_Adjustment_Ratio])</f>
        <v>0.13</v>
      </c>
      <c r="O31" s="18">
        <f>_xlfn.XLOOKUP(CF_Gen_2[[#This Row],[ICG]],Assumptions[ICG],Assumptions[PME_Ratio])</f>
        <v>0</v>
      </c>
      <c r="P31" s="18">
        <f>_xlfn.XLOOKUP(CF_Gen_2[[#This Row],[ICG]],Assumptions[ICG],Assumptions[ULAE_Ratio])</f>
        <v>0</v>
      </c>
      <c r="Q31" s="18">
        <f>_xlfn.XLOOKUP(CF_Gen_2[[#This Row],[ICG]],Assumptions[ICG],Assumptions[Cancellation_Ratio])</f>
        <v>7.0000000000000007E-2</v>
      </c>
      <c r="R31" s="18">
        <f>_xlfn.XLOOKUP(CF_Gen_2[[#This Row],[ICG]],Assumptions[ICG],Assumptions[Premium_Refund_Ratio])</f>
        <v>0.5</v>
      </c>
      <c r="S31" s="18">
        <f>IF(CF_Gen_2[[#This Row],[Contract]]="RC",_xlfn.XLOOKUP(CF_Gen_2[[#This Row],[ICG]],Assumptions[ICG],Assumptions[NPR_Ratio]),0)</f>
        <v>2.8000000000000001E-2</v>
      </c>
      <c r="T31" s="17">
        <f>T30*(1-CF_Gen_2[[#This Row],[Cancellation_Ratio]])</f>
        <v>0.12190050592075252</v>
      </c>
      <c r="U31" s="19">
        <f>IF(CF_Gen_2[[#This Row],[Incurred]]&lt;=CF_Gen_2[[#This Row],[Valuation]],CF_Gen_2[[#This Row],[Expected_Premium]],-CF_Gen_2[[#This Row],[Probability_of_Inforce]]*CF_Gen_2[[#This Row],[Premium_Refund_Ratio]]*CF_Gen_2[[#This Row],[Cancellation_Ratio]]*SUM(K31:K$105))</f>
        <v>123090238.21295127</v>
      </c>
      <c r="V3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Row],[Cancellation_Ratio]]*SUM(L31:L$105))</f>
        <v>-39210498.379253596</v>
      </c>
      <c r="W31" s="19">
        <f>CF_Gen_2[[#This Row],[Expected_Acquisition]]</f>
        <v>0</v>
      </c>
      <c r="X3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1" s="19">
        <f>-CF_Gen_2[[#This Row],[Probability_of_Inforce]]*CF_Gen_2[[#This Row],[Earned_Premium]]*(1-CF_Gen_2[[#This Row],[Cancellation_Ratio]])*CF_Gen_2[[#This Row],[Loss_Ratio]]</f>
        <v>37938689.972246274</v>
      </c>
      <c r="Z31" s="19">
        <f>CF_Gen_2[[#This Row],[Exp_Claim]]*CF_Gen_2[[#This Row],[Risk_Adjustment_Ratio]]</f>
        <v>4932029.6963920156</v>
      </c>
      <c r="AA31" s="19">
        <f>IF(CF_Gen_2[[#This Row],[Contract]]="RC",-CF_Gen_2[[#This Row],[NPR_Ratio]]*CF_Gen_2[[#This Row],[Exp_Claim]],0)</f>
        <v>-1062283.3192228957</v>
      </c>
      <c r="AB31" s="19">
        <f>SUMIFS(Actual_CF[Actual_Premium],Actual_CF[ICG],CF_Gen_2[[#This Row],[ICG]],Actual_CF[Incurred],CF_Gen_2[[#This Row],[Incurred]])</f>
        <v>0</v>
      </c>
      <c r="AC31" s="19">
        <f>SUMIFS(Actual_CF[Actual_Commission],Actual_CF[ICG],CF_Gen_2[[#This Row],[ICG]],Actual_CF[Incurred],CF_Gen_2[[#This Row],[Incurred]])</f>
        <v>0</v>
      </c>
      <c r="AD31" s="19">
        <f>SUMIFS(Actual_CF[Actual_Acquisition],Actual_CF[ICG],CF_Gen_2[[#This Row],[ICG]],Actual_CF[Incurred],CF_Gen_2[[#This Row],[Incurred]])</f>
        <v>0</v>
      </c>
    </row>
    <row r="32" spans="1:30">
      <c r="A32" t="str">
        <f t="shared" si="1"/>
        <v>#2024#RC-Property</v>
      </c>
      <c r="B32">
        <f>_xlfn.XLOOKUP(CF_Gen_2[[#This Row],[ICG]],ICG[ICG],ICG[Cohort])</f>
        <v>2024</v>
      </c>
      <c r="C32" t="str">
        <f>_xlfn.XLOOKUP(CF_Gen_2[[#This Row],[ICG]],ICG[ICG],ICG[Portfolio])</f>
        <v>RC-Property</v>
      </c>
      <c r="D32" t="str">
        <f>_xlfn.XLOOKUP(CF_Gen_2[[#This Row],[ICG]],ICG[ICG],ICG[Contract])</f>
        <v>RC</v>
      </c>
      <c r="E32" s="2">
        <f t="shared" si="0"/>
        <v>45930</v>
      </c>
      <c r="F32">
        <v>31</v>
      </c>
      <c r="G32" s="2">
        <f>EOMONTH(DATE(YEAR(CF_Gen_2[[#This Row],[Valuation]])-1,12,31),CF_Gen_2[[#This Row],['#Incurred]]*3)</f>
        <v>48487</v>
      </c>
      <c r="H32" s="14">
        <f>SUMIFS(Expected_CF[Expected_Premium],Expected_CF[ICG],CF_Gen_2[[#This Row],[ICG]],Expected_CF[Incurred],CF_Gen_2[[#This Row],[Incurred]])</f>
        <v>0</v>
      </c>
      <c r="I32" s="14">
        <f>SUMIFS(Expected_CF[Expected_Commission],Expected_CF[ICG],CF_Gen_2[[#This Row],[ICG]],Expected_CF[Incurred],CF_Gen_2[[#This Row],[Incurred]])</f>
        <v>0</v>
      </c>
      <c r="J32" s="14">
        <f>IF(CF_Gen_2[[#This Row],[Contract]]="IC",SUMIFS(Expected_CF[Expected_Acquisition],Expected_CF[ICG],CF_Gen_2[[#This Row],[ICG]],Expected_CF[Incurred],CF_Gen_2[[#This Row],[Incurred]]),0)</f>
        <v>0</v>
      </c>
      <c r="K32" s="14">
        <f>SUMIFS(Earned[Earned_Premium],Earned[ICG],CF_Gen_2[[#This Row],[ICG]],Earned[Incurred],CF_Gen_2[[#This Row],[Incurred]])</f>
        <v>-867010362.09906781</v>
      </c>
      <c r="L32" s="14">
        <f>SUMIFS(Earned[Earned_Commission],Earned[ICG],CF_Gen_2[[#This Row],[ICG]],Earned[Incurred],CF_Gen_2[[#This Row],[Incurred]])</f>
        <v>284450078.93613905</v>
      </c>
      <c r="M32" s="18">
        <f>_xlfn.XLOOKUP(CF_Gen_2[[#This Row],[ICG]],Assumptions[ICG],Assumptions[Loss_Ratio])</f>
        <v>0.38</v>
      </c>
      <c r="N32" s="18">
        <f>_xlfn.XLOOKUP(CF_Gen_2[[#This Row],[ICG]],Assumptions[ICG],Assumptions[Risk_Adjustment_Ratio])</f>
        <v>0.13</v>
      </c>
      <c r="O32" s="18">
        <f>_xlfn.XLOOKUP(CF_Gen_2[[#This Row],[ICG]],Assumptions[ICG],Assumptions[PME_Ratio])</f>
        <v>0</v>
      </c>
      <c r="P32" s="18">
        <f>_xlfn.XLOOKUP(CF_Gen_2[[#This Row],[ICG]],Assumptions[ICG],Assumptions[ULAE_Ratio])</f>
        <v>0</v>
      </c>
      <c r="Q32" s="18">
        <f>_xlfn.XLOOKUP(CF_Gen_2[[#This Row],[ICG]],Assumptions[ICG],Assumptions[Cancellation_Ratio])</f>
        <v>7.0000000000000007E-2</v>
      </c>
      <c r="R32" s="18">
        <f>_xlfn.XLOOKUP(CF_Gen_2[[#This Row],[ICG]],Assumptions[ICG],Assumptions[Premium_Refund_Ratio])</f>
        <v>0.5</v>
      </c>
      <c r="S32" s="18">
        <f>IF(CF_Gen_2[[#This Row],[Contract]]="RC",_xlfn.XLOOKUP(CF_Gen_2[[#This Row],[ICG]],Assumptions[ICG],Assumptions[NPR_Ratio]),0)</f>
        <v>2.8000000000000001E-2</v>
      </c>
      <c r="T32" s="17">
        <f>T31*(1-CF_Gen_2[[#This Row],[Cancellation_Ratio]])</f>
        <v>0.11336747050629983</v>
      </c>
      <c r="U32" s="19">
        <f>IF(CF_Gen_2[[#This Row],[Incurred]]&lt;=CF_Gen_2[[#This Row],[Valuation]],CF_Gen_2[[#This Row],[Expected_Premium]],-CF_Gen_2[[#This Row],[Probability_of_Inforce]]*CF_Gen_2[[#This Row],[Premium_Refund_Ratio]]*CF_Gen_2[[#This Row],[Cancellation_Ratio]]*SUM(K32:K$105))</f>
        <v>110979568.51428518</v>
      </c>
      <c r="V3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Row],[Cancellation_Ratio]]*SUM(L32:L$105))</f>
        <v>-35318752.814148158</v>
      </c>
      <c r="W32" s="19">
        <f>CF_Gen_2[[#This Row],[Expected_Acquisition]]</f>
        <v>0</v>
      </c>
      <c r="X3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2" s="19">
        <f>-CF_Gen_2[[#This Row],[Probability_of_Inforce]]*CF_Gen_2[[#This Row],[Earned_Premium]]*(1-CF_Gen_2[[#This Row],[Cancellation_Ratio]])*CF_Gen_2[[#This Row],[Loss_Ratio]]</f>
        <v>34735958.702496178</v>
      </c>
      <c r="Z32" s="19">
        <f>CF_Gen_2[[#This Row],[Exp_Claim]]*CF_Gen_2[[#This Row],[Risk_Adjustment_Ratio]]</f>
        <v>4515674.6313245036</v>
      </c>
      <c r="AA32" s="19">
        <f>IF(CF_Gen_2[[#This Row],[Contract]]="RC",-CF_Gen_2[[#This Row],[NPR_Ratio]]*CF_Gen_2[[#This Row],[Exp_Claim]],0)</f>
        <v>-972606.84366989299</v>
      </c>
      <c r="AB32" s="19">
        <f>SUMIFS(Actual_CF[Actual_Premium],Actual_CF[ICG],CF_Gen_2[[#This Row],[ICG]],Actual_CF[Incurred],CF_Gen_2[[#This Row],[Incurred]])</f>
        <v>0</v>
      </c>
      <c r="AC32" s="19">
        <f>SUMIFS(Actual_CF[Actual_Commission],Actual_CF[ICG],CF_Gen_2[[#This Row],[ICG]],Actual_CF[Incurred],CF_Gen_2[[#This Row],[Incurred]])</f>
        <v>0</v>
      </c>
      <c r="AD32" s="19">
        <f>SUMIFS(Actual_CF[Actual_Acquisition],Actual_CF[ICG],CF_Gen_2[[#This Row],[ICG]],Actual_CF[Incurred],CF_Gen_2[[#This Row],[Incurred]])</f>
        <v>0</v>
      </c>
    </row>
    <row r="33" spans="1:30">
      <c r="A33" t="str">
        <f t="shared" si="1"/>
        <v>#2024#RC-Property</v>
      </c>
      <c r="B33">
        <f>_xlfn.XLOOKUP(CF_Gen_2[[#This Row],[ICG]],ICG[ICG],ICG[Cohort])</f>
        <v>2024</v>
      </c>
      <c r="C33" t="str">
        <f>_xlfn.XLOOKUP(CF_Gen_2[[#This Row],[ICG]],ICG[ICG],ICG[Portfolio])</f>
        <v>RC-Property</v>
      </c>
      <c r="D33" t="str">
        <f>_xlfn.XLOOKUP(CF_Gen_2[[#This Row],[ICG]],ICG[ICG],ICG[Contract])</f>
        <v>RC</v>
      </c>
      <c r="E33" s="2">
        <f t="shared" si="0"/>
        <v>45930</v>
      </c>
      <c r="F33">
        <v>32</v>
      </c>
      <c r="G33" s="2">
        <f>EOMONTH(DATE(YEAR(CF_Gen_2[[#This Row],[Valuation]])-1,12,31),CF_Gen_2[[#This Row],['#Incurred]]*3)</f>
        <v>48579</v>
      </c>
      <c r="H33" s="14">
        <f>SUMIFS(Expected_CF[Expected_Premium],Expected_CF[ICG],CF_Gen_2[[#This Row],[ICG]],Expected_CF[Incurred],CF_Gen_2[[#This Row],[Incurred]])</f>
        <v>0</v>
      </c>
      <c r="I33" s="14">
        <f>SUMIFS(Expected_CF[Expected_Commission],Expected_CF[ICG],CF_Gen_2[[#This Row],[ICG]],Expected_CF[Incurred],CF_Gen_2[[#This Row],[Incurred]])</f>
        <v>0</v>
      </c>
      <c r="J33" s="14">
        <f>IF(CF_Gen_2[[#This Row],[Contract]]="IC",SUMIFS(Expected_CF[Expected_Acquisition],Expected_CF[ICG],CF_Gen_2[[#This Row],[ICG]],Expected_CF[Incurred],CF_Gen_2[[#This Row],[Incurred]]),0)</f>
        <v>0</v>
      </c>
      <c r="K33" s="14">
        <f>SUMIFS(Earned[Earned_Premium],Earned[ICG],CF_Gen_2[[#This Row],[ICG]],Earned[Incurred],CF_Gen_2[[#This Row],[Incurred]])</f>
        <v>-853356655.60931873</v>
      </c>
      <c r="L33" s="14">
        <f>SUMIFS(Earned[Earned_Commission],Earned[ICG],CF_Gen_2[[#This Row],[ICG]],Earned[Incurred],CF_Gen_2[[#This Row],[Incurred]])</f>
        <v>279824874.40059209</v>
      </c>
      <c r="M33" s="18">
        <f>_xlfn.XLOOKUP(CF_Gen_2[[#This Row],[ICG]],Assumptions[ICG],Assumptions[Loss_Ratio])</f>
        <v>0.38</v>
      </c>
      <c r="N33" s="18">
        <f>_xlfn.XLOOKUP(CF_Gen_2[[#This Row],[ICG]],Assumptions[ICG],Assumptions[Risk_Adjustment_Ratio])</f>
        <v>0.13</v>
      </c>
      <c r="O33" s="18">
        <f>_xlfn.XLOOKUP(CF_Gen_2[[#This Row],[ICG]],Assumptions[ICG],Assumptions[PME_Ratio])</f>
        <v>0</v>
      </c>
      <c r="P33" s="18">
        <f>_xlfn.XLOOKUP(CF_Gen_2[[#This Row],[ICG]],Assumptions[ICG],Assumptions[ULAE_Ratio])</f>
        <v>0</v>
      </c>
      <c r="Q33" s="18">
        <f>_xlfn.XLOOKUP(CF_Gen_2[[#This Row],[ICG]],Assumptions[ICG],Assumptions[Cancellation_Ratio])</f>
        <v>7.0000000000000007E-2</v>
      </c>
      <c r="R33" s="18">
        <f>_xlfn.XLOOKUP(CF_Gen_2[[#This Row],[ICG]],Assumptions[ICG],Assumptions[Premium_Refund_Ratio])</f>
        <v>0.5</v>
      </c>
      <c r="S33" s="18">
        <f>IF(CF_Gen_2[[#This Row],[Contract]]="RC",_xlfn.XLOOKUP(CF_Gen_2[[#This Row],[ICG]],Assumptions[ICG],Assumptions[NPR_Ratio]),0)</f>
        <v>2.8000000000000001E-2</v>
      </c>
      <c r="T33" s="17">
        <f>T32*(1-CF_Gen_2[[#This Row],[Cancellation_Ratio]])</f>
        <v>0.10543174757085884</v>
      </c>
      <c r="U33" s="19">
        <f>IF(CF_Gen_2[[#This Row],[Incurred]]&lt;=CF_Gen_2[[#This Row],[Valuation]],CF_Gen_2[[#This Row],[Expected_Premium]],-CF_Gen_2[[#This Row],[Probability_of_Inforce]]*CF_Gen_2[[#This Row],[Premium_Refund_Ratio]]*CF_Gen_2[[#This Row],[Cancellation_Ratio]]*SUM(K33:K$105))</f>
        <v>100011634.10095003</v>
      </c>
      <c r="V3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Row],[Cancellation_Ratio]]*SUM(L33:L$105))</f>
        <v>-31796787.704996075</v>
      </c>
      <c r="W33" s="19">
        <f>CF_Gen_2[[#This Row],[Expected_Acquisition]]</f>
        <v>0</v>
      </c>
      <c r="X3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3" s="19">
        <f>-CF_Gen_2[[#This Row],[Probability_of_Inforce]]*CF_Gen_2[[#This Row],[Earned_Premium]]*(1-CF_Gen_2[[#This Row],[Cancellation_Ratio]])*CF_Gen_2[[#This Row],[Loss_Ratio]]</f>
        <v>31795710.229647093</v>
      </c>
      <c r="Z33" s="19">
        <f>CF_Gen_2[[#This Row],[Exp_Claim]]*CF_Gen_2[[#This Row],[Risk_Adjustment_Ratio]]</f>
        <v>4133442.3298541224</v>
      </c>
      <c r="AA33" s="19">
        <f>IF(CF_Gen_2[[#This Row],[Contract]]="RC",-CF_Gen_2[[#This Row],[NPR_Ratio]]*CF_Gen_2[[#This Row],[Exp_Claim]],0)</f>
        <v>-890279.88643011858</v>
      </c>
      <c r="AB33" s="19">
        <f>SUMIFS(Actual_CF[Actual_Premium],Actual_CF[ICG],CF_Gen_2[[#This Row],[ICG]],Actual_CF[Incurred],CF_Gen_2[[#This Row],[Incurred]])</f>
        <v>0</v>
      </c>
      <c r="AC33" s="19">
        <f>SUMIFS(Actual_CF[Actual_Commission],Actual_CF[ICG],CF_Gen_2[[#This Row],[ICG]],Actual_CF[Incurred],CF_Gen_2[[#This Row],[Incurred]])</f>
        <v>0</v>
      </c>
      <c r="AD33" s="19">
        <f>SUMIFS(Actual_CF[Actual_Acquisition],Actual_CF[ICG],CF_Gen_2[[#This Row],[ICG]],Actual_CF[Incurred],CF_Gen_2[[#This Row],[Incurred]])</f>
        <v>0</v>
      </c>
    </row>
    <row r="34" spans="1:30">
      <c r="A34" t="str">
        <f t="shared" si="1"/>
        <v>#2024#RC-Property</v>
      </c>
      <c r="B34">
        <f>_xlfn.XLOOKUP(CF_Gen_2[[#This Row],[ICG]],ICG[ICG],ICG[Cohort])</f>
        <v>2024</v>
      </c>
      <c r="C34" t="str">
        <f>_xlfn.XLOOKUP(CF_Gen_2[[#This Row],[ICG]],ICG[ICG],ICG[Portfolio])</f>
        <v>RC-Property</v>
      </c>
      <c r="D34" t="str">
        <f>_xlfn.XLOOKUP(CF_Gen_2[[#This Row],[ICG]],ICG[ICG],ICG[Contract])</f>
        <v>RC</v>
      </c>
      <c r="E34" s="2">
        <f t="shared" si="0"/>
        <v>45930</v>
      </c>
      <c r="F34">
        <v>33</v>
      </c>
      <c r="G34" s="2">
        <f>EOMONTH(DATE(YEAR(CF_Gen_2[[#This Row],[Valuation]])-1,12,31),CF_Gen_2[[#This Row],['#Incurred]]*3)</f>
        <v>48669</v>
      </c>
      <c r="H34" s="14">
        <f>SUMIFS(Expected_CF[Expected_Premium],Expected_CF[ICG],CF_Gen_2[[#This Row],[ICG]],Expected_CF[Incurred],CF_Gen_2[[#This Row],[Incurred]])</f>
        <v>0</v>
      </c>
      <c r="I34" s="14">
        <f>SUMIFS(Expected_CF[Expected_Commission],Expected_CF[ICG],CF_Gen_2[[#This Row],[ICG]],Expected_CF[Incurred],CF_Gen_2[[#This Row],[Incurred]])</f>
        <v>0</v>
      </c>
      <c r="J34" s="14">
        <f>IF(CF_Gen_2[[#This Row],[Contract]]="IC",SUMIFS(Expected_CF[Expected_Acquisition],Expected_CF[ICG],CF_Gen_2[[#This Row],[ICG]],Expected_CF[Incurred],CF_Gen_2[[#This Row],[Incurred]]),0)</f>
        <v>0</v>
      </c>
      <c r="K34" s="14">
        <f>SUMIFS(Earned[Earned_Premium],Earned[ICG],CF_Gen_2[[#This Row],[ICG]],Earned[Incurred],CF_Gen_2[[#This Row],[Incurred]])</f>
        <v>-839702949.11956954</v>
      </c>
      <c r="L34" s="14">
        <f>SUMIFS(Earned[Earned_Commission],Earned[ICG],CF_Gen_2[[#This Row],[ICG]],Earned[Incurred],CF_Gen_2[[#This Row],[Incurred]])</f>
        <v>275199669.86504513</v>
      </c>
      <c r="M34" s="18">
        <f>_xlfn.XLOOKUP(CF_Gen_2[[#This Row],[ICG]],Assumptions[ICG],Assumptions[Loss_Ratio])</f>
        <v>0.38</v>
      </c>
      <c r="N34" s="18">
        <f>_xlfn.XLOOKUP(CF_Gen_2[[#This Row],[ICG]],Assumptions[ICG],Assumptions[Risk_Adjustment_Ratio])</f>
        <v>0.13</v>
      </c>
      <c r="O34" s="18">
        <f>_xlfn.XLOOKUP(CF_Gen_2[[#This Row],[ICG]],Assumptions[ICG],Assumptions[PME_Ratio])</f>
        <v>0</v>
      </c>
      <c r="P34" s="18">
        <f>_xlfn.XLOOKUP(CF_Gen_2[[#This Row],[ICG]],Assumptions[ICG],Assumptions[ULAE_Ratio])</f>
        <v>0</v>
      </c>
      <c r="Q34" s="18">
        <f>_xlfn.XLOOKUP(CF_Gen_2[[#This Row],[ICG]],Assumptions[ICG],Assumptions[Cancellation_Ratio])</f>
        <v>7.0000000000000007E-2</v>
      </c>
      <c r="R34" s="18">
        <f>_xlfn.XLOOKUP(CF_Gen_2[[#This Row],[ICG]],Assumptions[ICG],Assumptions[Premium_Refund_Ratio])</f>
        <v>0.5</v>
      </c>
      <c r="S34" s="18">
        <f>IF(CF_Gen_2[[#This Row],[Contract]]="RC",_xlfn.XLOOKUP(CF_Gen_2[[#This Row],[ICG]],Assumptions[ICG],Assumptions[NPR_Ratio]),0)</f>
        <v>2.8000000000000001E-2</v>
      </c>
      <c r="T34" s="17">
        <f>T33*(1-CF_Gen_2[[#This Row],[Cancellation_Ratio]])</f>
        <v>9.8051525240898718E-2</v>
      </c>
      <c r="U34" s="19">
        <f>IF(CF_Gen_2[[#This Row],[Incurred]]&lt;=CF_Gen_2[[#This Row],[Valuation]],CF_Gen_2[[#This Row],[Expected_Premium]],-CF_Gen_2[[#This Row],[Probability_of_Inforce]]*CF_Gen_2[[#This Row],[Premium_Refund_Ratio]]*CF_Gen_2[[#This Row],[Cancellation_Ratio]]*SUM(K34:K$105))</f>
        <v>90082267.455889702</v>
      </c>
      <c r="V3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Row],[Cancellation_Ratio]]*SUM(L34:L$105))</f>
        <v>-28610708.614910107</v>
      </c>
      <c r="W34" s="19">
        <f>CF_Gen_2[[#This Row],[Expected_Acquisition]]</f>
        <v>0</v>
      </c>
      <c r="X3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4" s="19">
        <f>-CF_Gen_2[[#This Row],[Probability_of_Inforce]]*CF_Gen_2[[#This Row],[Earned_Premium]]*(1-CF_Gen_2[[#This Row],[Cancellation_Ratio]])*CF_Gen_2[[#This Row],[Loss_Ratio]]</f>
        <v>29096890.345354646</v>
      </c>
      <c r="Z34" s="19">
        <f>CF_Gen_2[[#This Row],[Exp_Claim]]*CF_Gen_2[[#This Row],[Risk_Adjustment_Ratio]]</f>
        <v>3782595.7448961041</v>
      </c>
      <c r="AA34" s="19">
        <f>IF(CF_Gen_2[[#This Row],[Contract]]="RC",-CF_Gen_2[[#This Row],[NPR_Ratio]]*CF_Gen_2[[#This Row],[Exp_Claim]],0)</f>
        <v>-814712.92966993013</v>
      </c>
      <c r="AB34" s="19">
        <f>SUMIFS(Actual_CF[Actual_Premium],Actual_CF[ICG],CF_Gen_2[[#This Row],[ICG]],Actual_CF[Incurred],CF_Gen_2[[#This Row],[Incurred]])</f>
        <v>0</v>
      </c>
      <c r="AC34" s="19">
        <f>SUMIFS(Actual_CF[Actual_Commission],Actual_CF[ICG],CF_Gen_2[[#This Row],[ICG]],Actual_CF[Incurred],CF_Gen_2[[#This Row],[Incurred]])</f>
        <v>0</v>
      </c>
      <c r="AD34" s="19">
        <f>SUMIFS(Actual_CF[Actual_Acquisition],Actual_CF[ICG],CF_Gen_2[[#This Row],[ICG]],Actual_CF[Incurred],CF_Gen_2[[#This Row],[Incurred]])</f>
        <v>0</v>
      </c>
    </row>
    <row r="35" spans="1:30">
      <c r="A35" t="str">
        <f t="shared" ref="A35:A66" si="2">A34</f>
        <v>#2024#RC-Property</v>
      </c>
      <c r="B35">
        <f>_xlfn.XLOOKUP(CF_Gen_2[[#This Row],[ICG]],ICG[ICG],ICG[Cohort])</f>
        <v>2024</v>
      </c>
      <c r="C35" t="str">
        <f>_xlfn.XLOOKUP(CF_Gen_2[[#This Row],[ICG]],ICG[ICG],ICG[Portfolio])</f>
        <v>RC-Property</v>
      </c>
      <c r="D35" t="str">
        <f>_xlfn.XLOOKUP(CF_Gen_2[[#This Row],[ICG]],ICG[ICG],ICG[Contract])</f>
        <v>RC</v>
      </c>
      <c r="E35" s="2">
        <f t="shared" si="0"/>
        <v>45930</v>
      </c>
      <c r="F35">
        <v>34</v>
      </c>
      <c r="G35" s="2">
        <f>EOMONTH(DATE(YEAR(CF_Gen_2[[#This Row],[Valuation]])-1,12,31),CF_Gen_2[[#This Row],['#Incurred]]*3)</f>
        <v>48760</v>
      </c>
      <c r="H35" s="14">
        <f>SUMIFS(Expected_CF[Expected_Premium],Expected_CF[ICG],CF_Gen_2[[#This Row],[ICG]],Expected_CF[Incurred],CF_Gen_2[[#This Row],[Incurred]])</f>
        <v>0</v>
      </c>
      <c r="I35" s="14">
        <f>SUMIFS(Expected_CF[Expected_Commission],Expected_CF[ICG],CF_Gen_2[[#This Row],[ICG]],Expected_CF[Incurred],CF_Gen_2[[#This Row],[Incurred]])</f>
        <v>0</v>
      </c>
      <c r="J35" s="14">
        <f>IF(CF_Gen_2[[#This Row],[Contract]]="IC",SUMIFS(Expected_CF[Expected_Acquisition],Expected_CF[ICG],CF_Gen_2[[#This Row],[ICG]],Expected_CF[Incurred],CF_Gen_2[[#This Row],[Incurred]]),0)</f>
        <v>0</v>
      </c>
      <c r="K35" s="14">
        <f>SUMIFS(Earned[Earned_Premium],Earned[ICG],CF_Gen_2[[#This Row],[ICG]],Earned[Incurred],CF_Gen_2[[#This Row],[Incurred]])</f>
        <v>-826049242.62982047</v>
      </c>
      <c r="L35" s="14">
        <f>SUMIFS(Earned[Earned_Commission],Earned[ICG],CF_Gen_2[[#This Row],[ICG]],Earned[Incurred],CF_Gen_2[[#This Row],[Incurred]])</f>
        <v>270574465.32949811</v>
      </c>
      <c r="M35" s="18">
        <f>_xlfn.XLOOKUP(CF_Gen_2[[#This Row],[ICG]],Assumptions[ICG],Assumptions[Loss_Ratio])</f>
        <v>0.38</v>
      </c>
      <c r="N35" s="18">
        <f>_xlfn.XLOOKUP(CF_Gen_2[[#This Row],[ICG]],Assumptions[ICG],Assumptions[Risk_Adjustment_Ratio])</f>
        <v>0.13</v>
      </c>
      <c r="O35" s="18">
        <f>_xlfn.XLOOKUP(CF_Gen_2[[#This Row],[ICG]],Assumptions[ICG],Assumptions[PME_Ratio])</f>
        <v>0</v>
      </c>
      <c r="P35" s="18">
        <f>_xlfn.XLOOKUP(CF_Gen_2[[#This Row],[ICG]],Assumptions[ICG],Assumptions[ULAE_Ratio])</f>
        <v>0</v>
      </c>
      <c r="Q35" s="18">
        <f>_xlfn.XLOOKUP(CF_Gen_2[[#This Row],[ICG]],Assumptions[ICG],Assumptions[Cancellation_Ratio])</f>
        <v>7.0000000000000007E-2</v>
      </c>
      <c r="R35" s="18">
        <f>_xlfn.XLOOKUP(CF_Gen_2[[#This Row],[ICG]],Assumptions[ICG],Assumptions[Premium_Refund_Ratio])</f>
        <v>0.5</v>
      </c>
      <c r="S35" s="18">
        <f>IF(CF_Gen_2[[#This Row],[Contract]]="RC",_xlfn.XLOOKUP(CF_Gen_2[[#This Row],[ICG]],Assumptions[ICG],Assumptions[NPR_Ratio]),0)</f>
        <v>2.8000000000000001E-2</v>
      </c>
      <c r="T35" s="17">
        <f>T34*(1-CF_Gen_2[[#This Row],[Cancellation_Ratio]])</f>
        <v>9.1187918474035803E-2</v>
      </c>
      <c r="U35" s="19">
        <f>IF(CF_Gen_2[[#This Row],[Incurred]]&lt;=CF_Gen_2[[#This Row],[Valuation]],CF_Gen_2[[#This Row],[Expected_Premium]],-CF_Gen_2[[#This Row],[Probability_of_Inforce]]*CF_Gen_2[[#This Row],[Premium_Refund_Ratio]]*CF_Gen_2[[#This Row],[Cancellation_Ratio]]*SUM(K35:K$105))</f>
        <v>81096531.991642147</v>
      </c>
      <c r="V3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Row],[Cancellation_Ratio]]*SUM(L35:L$105))</f>
        <v>-25729638.034775667</v>
      </c>
      <c r="W35" s="19">
        <f>CF_Gen_2[[#This Row],[Expected_Acquisition]]</f>
        <v>0</v>
      </c>
      <c r="X3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5" s="19">
        <f>-CF_Gen_2[[#This Row],[Probability_of_Inforce]]*CF_Gen_2[[#This Row],[Earned_Premium]]*(1-CF_Gen_2[[#This Row],[Cancellation_Ratio]])*CF_Gen_2[[#This Row],[Loss_Ratio]]</f>
        <v>26620106.264737867</v>
      </c>
      <c r="Z35" s="19">
        <f>CF_Gen_2[[#This Row],[Exp_Claim]]*CF_Gen_2[[#This Row],[Risk_Adjustment_Ratio]]</f>
        <v>3460613.8144159229</v>
      </c>
      <c r="AA35" s="19">
        <f>IF(CF_Gen_2[[#This Row],[Contract]]="RC",-CF_Gen_2[[#This Row],[NPR_Ratio]]*CF_Gen_2[[#This Row],[Exp_Claim]],0)</f>
        <v>-745362.97541266028</v>
      </c>
      <c r="AB35" s="19">
        <f>SUMIFS(Actual_CF[Actual_Premium],Actual_CF[ICG],CF_Gen_2[[#This Row],[ICG]],Actual_CF[Incurred],CF_Gen_2[[#This Row],[Incurred]])</f>
        <v>0</v>
      </c>
      <c r="AC35" s="19">
        <f>SUMIFS(Actual_CF[Actual_Commission],Actual_CF[ICG],CF_Gen_2[[#This Row],[ICG]],Actual_CF[Incurred],CF_Gen_2[[#This Row],[Incurred]])</f>
        <v>0</v>
      </c>
      <c r="AD35" s="19">
        <f>SUMIFS(Actual_CF[Actual_Acquisition],Actual_CF[ICG],CF_Gen_2[[#This Row],[ICG]],Actual_CF[Incurred],CF_Gen_2[[#This Row],[Incurred]])</f>
        <v>0</v>
      </c>
    </row>
    <row r="36" spans="1:30">
      <c r="A36" t="str">
        <f t="shared" si="2"/>
        <v>#2024#RC-Property</v>
      </c>
      <c r="B36">
        <f>_xlfn.XLOOKUP(CF_Gen_2[[#This Row],[ICG]],ICG[ICG],ICG[Cohort])</f>
        <v>2024</v>
      </c>
      <c r="C36" t="str">
        <f>_xlfn.XLOOKUP(CF_Gen_2[[#This Row],[ICG]],ICG[ICG],ICG[Portfolio])</f>
        <v>RC-Property</v>
      </c>
      <c r="D36" t="str">
        <f>_xlfn.XLOOKUP(CF_Gen_2[[#This Row],[ICG]],ICG[ICG],ICG[Contract])</f>
        <v>RC</v>
      </c>
      <c r="E36" s="2">
        <f t="shared" si="0"/>
        <v>45930</v>
      </c>
      <c r="F36">
        <v>35</v>
      </c>
      <c r="G36" s="2">
        <f>EOMONTH(DATE(YEAR(CF_Gen_2[[#This Row],[Valuation]])-1,12,31),CF_Gen_2[[#This Row],['#Incurred]]*3)</f>
        <v>48852</v>
      </c>
      <c r="H36" s="14">
        <f>SUMIFS(Expected_CF[Expected_Premium],Expected_CF[ICG],CF_Gen_2[[#This Row],[ICG]],Expected_CF[Incurred],CF_Gen_2[[#This Row],[Incurred]])</f>
        <v>0</v>
      </c>
      <c r="I36" s="14">
        <f>SUMIFS(Expected_CF[Expected_Commission],Expected_CF[ICG],CF_Gen_2[[#This Row],[ICG]],Expected_CF[Incurred],CF_Gen_2[[#This Row],[Incurred]])</f>
        <v>0</v>
      </c>
      <c r="J36" s="14">
        <f>IF(CF_Gen_2[[#This Row],[Contract]]="IC",SUMIFS(Expected_CF[Expected_Acquisition],Expected_CF[ICG],CF_Gen_2[[#This Row],[ICG]],Expected_CF[Incurred],CF_Gen_2[[#This Row],[Incurred]]),0)</f>
        <v>0</v>
      </c>
      <c r="K36" s="14">
        <f>SUMIFS(Earned[Earned_Premium],Earned[ICG],CF_Gen_2[[#This Row],[ICG]],Earned[Incurred],CF_Gen_2[[#This Row],[Incurred]])</f>
        <v>-812395536.14007151</v>
      </c>
      <c r="L36" s="14">
        <f>SUMIFS(Earned[Earned_Commission],Earned[ICG],CF_Gen_2[[#This Row],[ICG]],Earned[Incurred],CF_Gen_2[[#This Row],[Incurred]])</f>
        <v>265949260.79395112</v>
      </c>
      <c r="M36" s="18">
        <f>_xlfn.XLOOKUP(CF_Gen_2[[#This Row],[ICG]],Assumptions[ICG],Assumptions[Loss_Ratio])</f>
        <v>0.38</v>
      </c>
      <c r="N36" s="18">
        <f>_xlfn.XLOOKUP(CF_Gen_2[[#This Row],[ICG]],Assumptions[ICG],Assumptions[Risk_Adjustment_Ratio])</f>
        <v>0.13</v>
      </c>
      <c r="O36" s="18">
        <f>_xlfn.XLOOKUP(CF_Gen_2[[#This Row],[ICG]],Assumptions[ICG],Assumptions[PME_Ratio])</f>
        <v>0</v>
      </c>
      <c r="P36" s="18">
        <f>_xlfn.XLOOKUP(CF_Gen_2[[#This Row],[ICG]],Assumptions[ICG],Assumptions[ULAE_Ratio])</f>
        <v>0</v>
      </c>
      <c r="Q36" s="18">
        <f>_xlfn.XLOOKUP(CF_Gen_2[[#This Row],[ICG]],Assumptions[ICG],Assumptions[Cancellation_Ratio])</f>
        <v>7.0000000000000007E-2</v>
      </c>
      <c r="R36" s="18">
        <f>_xlfn.XLOOKUP(CF_Gen_2[[#This Row],[ICG]],Assumptions[ICG],Assumptions[Premium_Refund_Ratio])</f>
        <v>0.5</v>
      </c>
      <c r="S36" s="18">
        <f>IF(CF_Gen_2[[#This Row],[Contract]]="RC",_xlfn.XLOOKUP(CF_Gen_2[[#This Row],[ICG]],Assumptions[ICG],Assumptions[NPR_Ratio]),0)</f>
        <v>2.8000000000000001E-2</v>
      </c>
      <c r="T36" s="17">
        <f>T35*(1-CF_Gen_2[[#This Row],[Cancellation_Ratio]])</f>
        <v>8.4804764180853295E-2</v>
      </c>
      <c r="U36" s="19">
        <f>IF(CF_Gen_2[[#This Row],[Incurred]]&lt;=CF_Gen_2[[#This Row],[Valuation]],CF_Gen_2[[#This Row],[Expected_Premium]],-CF_Gen_2[[#This Row],[Probability_of_Inforce]]*CF_Gen_2[[#This Row],[Premium_Refund_Ratio]]*CF_Gen_2[[#This Row],[Cancellation_Ratio]]*SUM(K36:K$105))</f>
        <v>72967922.859422371</v>
      </c>
      <c r="V3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Row],[Cancellation_Ratio]]*SUM(L36:L$105))</f>
        <v>-23125453.241944369</v>
      </c>
      <c r="W36" s="19">
        <f>CF_Gen_2[[#This Row],[Expected_Acquisition]]</f>
        <v>0</v>
      </c>
      <c r="X3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6" s="19">
        <f>-CF_Gen_2[[#This Row],[Probability_of_Inforce]]*CF_Gen_2[[#This Row],[Earned_Premium]]*(1-CF_Gen_2[[#This Row],[Cancellation_Ratio]])*CF_Gen_2[[#This Row],[Loss_Ratio]]</f>
        <v>24347497.192715209</v>
      </c>
      <c r="Z36" s="19">
        <f>CF_Gen_2[[#This Row],[Exp_Claim]]*CF_Gen_2[[#This Row],[Risk_Adjustment_Ratio]]</f>
        <v>3165174.6350529771</v>
      </c>
      <c r="AA36" s="19">
        <f>IF(CF_Gen_2[[#This Row],[Contract]]="RC",-CF_Gen_2[[#This Row],[NPR_Ratio]]*CF_Gen_2[[#This Row],[Exp_Claim]],0)</f>
        <v>-681729.92139602592</v>
      </c>
      <c r="AB36" s="19">
        <f>SUMIFS(Actual_CF[Actual_Premium],Actual_CF[ICG],CF_Gen_2[[#This Row],[ICG]],Actual_CF[Incurred],CF_Gen_2[[#This Row],[Incurred]])</f>
        <v>0</v>
      </c>
      <c r="AC36" s="19">
        <f>SUMIFS(Actual_CF[Actual_Commission],Actual_CF[ICG],CF_Gen_2[[#This Row],[ICG]],Actual_CF[Incurred],CF_Gen_2[[#This Row],[Incurred]])</f>
        <v>0</v>
      </c>
      <c r="AD36" s="19">
        <f>SUMIFS(Actual_CF[Actual_Acquisition],Actual_CF[ICG],CF_Gen_2[[#This Row],[ICG]],Actual_CF[Incurred],CF_Gen_2[[#This Row],[Incurred]])</f>
        <v>0</v>
      </c>
    </row>
    <row r="37" spans="1:30">
      <c r="A37" t="str">
        <f t="shared" si="2"/>
        <v>#2024#RC-Property</v>
      </c>
      <c r="B37">
        <f>_xlfn.XLOOKUP(CF_Gen_2[[#This Row],[ICG]],ICG[ICG],ICG[Cohort])</f>
        <v>2024</v>
      </c>
      <c r="C37" t="str">
        <f>_xlfn.XLOOKUP(CF_Gen_2[[#This Row],[ICG]],ICG[ICG],ICG[Portfolio])</f>
        <v>RC-Property</v>
      </c>
      <c r="D37" t="str">
        <f>_xlfn.XLOOKUP(CF_Gen_2[[#This Row],[ICG]],ICG[ICG],ICG[Contract])</f>
        <v>RC</v>
      </c>
      <c r="E37" s="2">
        <f t="shared" si="0"/>
        <v>45930</v>
      </c>
      <c r="F37">
        <v>36</v>
      </c>
      <c r="G37" s="2">
        <f>EOMONTH(DATE(YEAR(CF_Gen_2[[#This Row],[Valuation]])-1,12,31),CF_Gen_2[[#This Row],['#Incurred]]*3)</f>
        <v>48944</v>
      </c>
      <c r="H37" s="14">
        <f>SUMIFS(Expected_CF[Expected_Premium],Expected_CF[ICG],CF_Gen_2[[#This Row],[ICG]],Expected_CF[Incurred],CF_Gen_2[[#This Row],[Incurred]])</f>
        <v>0</v>
      </c>
      <c r="I37" s="14">
        <f>SUMIFS(Expected_CF[Expected_Commission],Expected_CF[ICG],CF_Gen_2[[#This Row],[ICG]],Expected_CF[Incurred],CF_Gen_2[[#This Row],[Incurred]])</f>
        <v>0</v>
      </c>
      <c r="J37" s="14">
        <f>IF(CF_Gen_2[[#This Row],[Contract]]="IC",SUMIFS(Expected_CF[Expected_Acquisition],Expected_CF[ICG],CF_Gen_2[[#This Row],[ICG]],Expected_CF[Incurred],CF_Gen_2[[#This Row],[Incurred]]),0)</f>
        <v>0</v>
      </c>
      <c r="K37" s="14">
        <f>SUMIFS(Earned[Earned_Premium],Earned[ICG],CF_Gen_2[[#This Row],[ICG]],Earned[Incurred],CF_Gen_2[[#This Row],[Incurred]])</f>
        <v>-798741829.65032244</v>
      </c>
      <c r="L37" s="14">
        <f>SUMIFS(Earned[Earned_Commission],Earned[ICG],CF_Gen_2[[#This Row],[ICG]],Earned[Incurred],CF_Gen_2[[#This Row],[Incurred]])</f>
        <v>261324056.25840414</v>
      </c>
      <c r="M37" s="18">
        <f>_xlfn.XLOOKUP(CF_Gen_2[[#This Row],[ICG]],Assumptions[ICG],Assumptions[Loss_Ratio])</f>
        <v>0.38</v>
      </c>
      <c r="N37" s="18">
        <f>_xlfn.XLOOKUP(CF_Gen_2[[#This Row],[ICG]],Assumptions[ICG],Assumptions[Risk_Adjustment_Ratio])</f>
        <v>0.13</v>
      </c>
      <c r="O37" s="18">
        <f>_xlfn.XLOOKUP(CF_Gen_2[[#This Row],[ICG]],Assumptions[ICG],Assumptions[PME_Ratio])</f>
        <v>0</v>
      </c>
      <c r="P37" s="18">
        <f>_xlfn.XLOOKUP(CF_Gen_2[[#This Row],[ICG]],Assumptions[ICG],Assumptions[ULAE_Ratio])</f>
        <v>0</v>
      </c>
      <c r="Q37" s="18">
        <f>_xlfn.XLOOKUP(CF_Gen_2[[#This Row],[ICG]],Assumptions[ICG],Assumptions[Cancellation_Ratio])</f>
        <v>7.0000000000000007E-2</v>
      </c>
      <c r="R37" s="18">
        <f>_xlfn.XLOOKUP(CF_Gen_2[[#This Row],[ICG]],Assumptions[ICG],Assumptions[Premium_Refund_Ratio])</f>
        <v>0.5</v>
      </c>
      <c r="S37" s="18">
        <f>IF(CF_Gen_2[[#This Row],[Contract]]="RC",_xlfn.XLOOKUP(CF_Gen_2[[#This Row],[ICG]],Assumptions[ICG],Assumptions[NPR_Ratio]),0)</f>
        <v>2.8000000000000001E-2</v>
      </c>
      <c r="T37" s="17">
        <f>T36*(1-CF_Gen_2[[#This Row],[Cancellation_Ratio]])</f>
        <v>7.8868430688193561E-2</v>
      </c>
      <c r="U37" s="19">
        <f>IF(CF_Gen_2[[#This Row],[Incurred]]&lt;=CF_Gen_2[[#This Row],[Valuation]],CF_Gen_2[[#This Row],[Expected_Premium]],-CF_Gen_2[[#This Row],[Probability_of_Inforce]]*CF_Gen_2[[#This Row],[Premium_Refund_Ratio]]*CF_Gen_2[[#This Row],[Cancellation_Ratio]]*SUM(K37:K$105))</f>
        <v>65617635.623091668</v>
      </c>
      <c r="V3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Row],[Cancellation_Ratio]]*SUM(L37:L$105))</f>
        <v>-20772546.485555623</v>
      </c>
      <c r="W37" s="19">
        <f>CF_Gen_2[[#This Row],[Expected_Acquisition]]</f>
        <v>0</v>
      </c>
      <c r="X3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7" s="19">
        <f>-CF_Gen_2[[#This Row],[Probability_of_Inforce]]*CF_Gen_2[[#This Row],[Earned_Premium]]*(1-CF_Gen_2[[#This Row],[Cancellation_Ratio]])*CF_Gen_2[[#This Row],[Loss_Ratio]]</f>
        <v>22262614.870078504</v>
      </c>
      <c r="Z37" s="19">
        <f>CF_Gen_2[[#This Row],[Exp_Claim]]*CF_Gen_2[[#This Row],[Risk_Adjustment_Ratio]]</f>
        <v>2894139.9331102055</v>
      </c>
      <c r="AA37" s="19">
        <f>IF(CF_Gen_2[[#This Row],[Contract]]="RC",-CF_Gen_2[[#This Row],[NPR_Ratio]]*CF_Gen_2[[#This Row],[Exp_Claim]],0)</f>
        <v>-623353.21636219812</v>
      </c>
      <c r="AB37" s="19">
        <f>SUMIFS(Actual_CF[Actual_Premium],Actual_CF[ICG],CF_Gen_2[[#This Row],[ICG]],Actual_CF[Incurred],CF_Gen_2[[#This Row],[Incurred]])</f>
        <v>0</v>
      </c>
      <c r="AC37" s="19">
        <f>SUMIFS(Actual_CF[Actual_Commission],Actual_CF[ICG],CF_Gen_2[[#This Row],[ICG]],Actual_CF[Incurred],CF_Gen_2[[#This Row],[Incurred]])</f>
        <v>0</v>
      </c>
      <c r="AD37" s="19">
        <f>SUMIFS(Actual_CF[Actual_Acquisition],Actual_CF[ICG],CF_Gen_2[[#This Row],[ICG]],Actual_CF[Incurred],CF_Gen_2[[#This Row],[Incurred]])</f>
        <v>0</v>
      </c>
    </row>
    <row r="38" spans="1:30">
      <c r="A38" t="str">
        <f t="shared" si="2"/>
        <v>#2024#RC-Property</v>
      </c>
      <c r="B38">
        <f>_xlfn.XLOOKUP(CF_Gen_2[[#This Row],[ICG]],ICG[ICG],ICG[Cohort])</f>
        <v>2024</v>
      </c>
      <c r="C38" t="str">
        <f>_xlfn.XLOOKUP(CF_Gen_2[[#This Row],[ICG]],ICG[ICG],ICG[Portfolio])</f>
        <v>RC-Property</v>
      </c>
      <c r="D38" t="str">
        <f>_xlfn.XLOOKUP(CF_Gen_2[[#This Row],[ICG]],ICG[ICG],ICG[Contract])</f>
        <v>RC</v>
      </c>
      <c r="E38" s="2">
        <f t="shared" si="0"/>
        <v>45930</v>
      </c>
      <c r="F38">
        <v>37</v>
      </c>
      <c r="G38" s="2">
        <f>EOMONTH(DATE(YEAR(CF_Gen_2[[#This Row],[Valuation]])-1,12,31),CF_Gen_2[[#This Row],['#Incurred]]*3)</f>
        <v>49034</v>
      </c>
      <c r="H38" s="14">
        <f>SUMIFS(Expected_CF[Expected_Premium],Expected_CF[ICG],CF_Gen_2[[#This Row],[ICG]],Expected_CF[Incurred],CF_Gen_2[[#This Row],[Incurred]])</f>
        <v>0</v>
      </c>
      <c r="I38" s="14">
        <f>SUMIFS(Expected_CF[Expected_Commission],Expected_CF[ICG],CF_Gen_2[[#This Row],[ICG]],Expected_CF[Incurred],CF_Gen_2[[#This Row],[Incurred]])</f>
        <v>0</v>
      </c>
      <c r="J38" s="14">
        <f>IF(CF_Gen_2[[#This Row],[Contract]]="IC",SUMIFS(Expected_CF[Expected_Acquisition],Expected_CF[ICG],CF_Gen_2[[#This Row],[ICG]],Expected_CF[Incurred],CF_Gen_2[[#This Row],[Incurred]]),0)</f>
        <v>0</v>
      </c>
      <c r="K38" s="14">
        <f>SUMIFS(Earned[Earned_Premium],Earned[ICG],CF_Gen_2[[#This Row],[ICG]],Earned[Incurred],CF_Gen_2[[#This Row],[Incurred]])</f>
        <v>-785088123.16057336</v>
      </c>
      <c r="L38" s="14">
        <f>SUMIFS(Earned[Earned_Commission],Earned[ICG],CF_Gen_2[[#This Row],[ICG]],Earned[Incurred],CF_Gen_2[[#This Row],[Incurred]])</f>
        <v>256698851.72285721</v>
      </c>
      <c r="M38" s="18">
        <f>_xlfn.XLOOKUP(CF_Gen_2[[#This Row],[ICG]],Assumptions[ICG],Assumptions[Loss_Ratio])</f>
        <v>0.38</v>
      </c>
      <c r="N38" s="18">
        <f>_xlfn.XLOOKUP(CF_Gen_2[[#This Row],[ICG]],Assumptions[ICG],Assumptions[Risk_Adjustment_Ratio])</f>
        <v>0.13</v>
      </c>
      <c r="O38" s="18">
        <f>_xlfn.XLOOKUP(CF_Gen_2[[#This Row],[ICG]],Assumptions[ICG],Assumptions[PME_Ratio])</f>
        <v>0</v>
      </c>
      <c r="P38" s="18">
        <f>_xlfn.XLOOKUP(CF_Gen_2[[#This Row],[ICG]],Assumptions[ICG],Assumptions[ULAE_Ratio])</f>
        <v>0</v>
      </c>
      <c r="Q38" s="18">
        <f>_xlfn.XLOOKUP(CF_Gen_2[[#This Row],[ICG]],Assumptions[ICG],Assumptions[Cancellation_Ratio])</f>
        <v>7.0000000000000007E-2</v>
      </c>
      <c r="R38" s="18">
        <f>_xlfn.XLOOKUP(CF_Gen_2[[#This Row],[ICG]],Assumptions[ICG],Assumptions[Premium_Refund_Ratio])</f>
        <v>0.5</v>
      </c>
      <c r="S38" s="18">
        <f>IF(CF_Gen_2[[#This Row],[Contract]]="RC",_xlfn.XLOOKUP(CF_Gen_2[[#This Row],[ICG]],Assumptions[ICG],Assumptions[NPR_Ratio]),0)</f>
        <v>2.8000000000000001E-2</v>
      </c>
      <c r="T38" s="17">
        <f>T37*(1-CF_Gen_2[[#This Row],[Cancellation_Ratio]])</f>
        <v>7.3347640540020007E-2</v>
      </c>
      <c r="U38" s="19">
        <f>IF(CF_Gen_2[[#This Row],[Incurred]]&lt;=CF_Gen_2[[#This Row],[Valuation]],CF_Gen_2[[#This Row],[Expected_Premium]],-CF_Gen_2[[#This Row],[Probability_of_Inforce]]*CF_Gen_2[[#This Row],[Premium_Refund_Ratio]]*CF_Gen_2[[#This Row],[Cancellation_Ratio]]*SUM(K38:K$105))</f>
        <v>58973897.128283806</v>
      </c>
      <c r="V3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Row],[Cancellation_Ratio]]*SUM(L38:L$105))</f>
        <v>-18647605.628565177</v>
      </c>
      <c r="W38" s="19">
        <f>CF_Gen_2[[#This Row],[Expected_Acquisition]]</f>
        <v>0</v>
      </c>
      <c r="X3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8" s="19">
        <f>-CF_Gen_2[[#This Row],[Probability_of_Inforce]]*CF_Gen_2[[#This Row],[Earned_Premium]]*(1-CF_Gen_2[[#This Row],[Cancellation_Ratio]])*CF_Gen_2[[#This Row],[Loss_Ratio]]</f>
        <v>20350313.336366631</v>
      </c>
      <c r="Z38" s="19">
        <f>CF_Gen_2[[#This Row],[Exp_Claim]]*CF_Gen_2[[#This Row],[Risk_Adjustment_Ratio]]</f>
        <v>2645540.7337276624</v>
      </c>
      <c r="AA38" s="19">
        <f>IF(CF_Gen_2[[#This Row],[Contract]]="RC",-CF_Gen_2[[#This Row],[NPR_Ratio]]*CF_Gen_2[[#This Row],[Exp_Claim]],0)</f>
        <v>-569808.77341826563</v>
      </c>
      <c r="AB38" s="19">
        <f>SUMIFS(Actual_CF[Actual_Premium],Actual_CF[ICG],CF_Gen_2[[#This Row],[ICG]],Actual_CF[Incurred],CF_Gen_2[[#This Row],[Incurred]])</f>
        <v>0</v>
      </c>
      <c r="AC38" s="19">
        <f>SUMIFS(Actual_CF[Actual_Commission],Actual_CF[ICG],CF_Gen_2[[#This Row],[ICG]],Actual_CF[Incurred],CF_Gen_2[[#This Row],[Incurred]])</f>
        <v>0</v>
      </c>
      <c r="AD38" s="19">
        <f>SUMIFS(Actual_CF[Actual_Acquisition],Actual_CF[ICG],CF_Gen_2[[#This Row],[ICG]],Actual_CF[Incurred],CF_Gen_2[[#This Row],[Incurred]])</f>
        <v>0</v>
      </c>
    </row>
    <row r="39" spans="1:30">
      <c r="A39" t="str">
        <f t="shared" si="2"/>
        <v>#2024#RC-Property</v>
      </c>
      <c r="B39">
        <f>_xlfn.XLOOKUP(CF_Gen_2[[#This Row],[ICG]],ICG[ICG],ICG[Cohort])</f>
        <v>2024</v>
      </c>
      <c r="C39" t="str">
        <f>_xlfn.XLOOKUP(CF_Gen_2[[#This Row],[ICG]],ICG[ICG],ICG[Portfolio])</f>
        <v>RC-Property</v>
      </c>
      <c r="D39" t="str">
        <f>_xlfn.XLOOKUP(CF_Gen_2[[#This Row],[ICG]],ICG[ICG],ICG[Contract])</f>
        <v>RC</v>
      </c>
      <c r="E39" s="2">
        <f t="shared" si="0"/>
        <v>45930</v>
      </c>
      <c r="F39">
        <v>38</v>
      </c>
      <c r="G39" s="2">
        <f>EOMONTH(DATE(YEAR(CF_Gen_2[[#This Row],[Valuation]])-1,12,31),CF_Gen_2[[#This Row],['#Incurred]]*3)</f>
        <v>49125</v>
      </c>
      <c r="H39" s="14">
        <f>SUMIFS(Expected_CF[Expected_Premium],Expected_CF[ICG],CF_Gen_2[[#This Row],[ICG]],Expected_CF[Incurred],CF_Gen_2[[#This Row],[Incurred]])</f>
        <v>0</v>
      </c>
      <c r="I39" s="14">
        <f>SUMIFS(Expected_CF[Expected_Commission],Expected_CF[ICG],CF_Gen_2[[#This Row],[ICG]],Expected_CF[Incurred],CF_Gen_2[[#This Row],[Incurred]])</f>
        <v>0</v>
      </c>
      <c r="J39" s="14">
        <f>IF(CF_Gen_2[[#This Row],[Contract]]="IC",SUMIFS(Expected_CF[Expected_Acquisition],Expected_CF[ICG],CF_Gen_2[[#This Row],[ICG]],Expected_CF[Incurred],CF_Gen_2[[#This Row],[Incurred]]),0)</f>
        <v>0</v>
      </c>
      <c r="K39" s="14">
        <f>SUMIFS(Earned[Earned_Premium],Earned[ICG],CF_Gen_2[[#This Row],[ICG]],Earned[Incurred],CF_Gen_2[[#This Row],[Incurred]])</f>
        <v>-771434416.67082417</v>
      </c>
      <c r="L39" s="14">
        <f>SUMIFS(Earned[Earned_Commission],Earned[ICG],CF_Gen_2[[#This Row],[ICG]],Earned[Incurred],CF_Gen_2[[#This Row],[Incurred]])</f>
        <v>252073647.18731022</v>
      </c>
      <c r="M39" s="18">
        <f>_xlfn.XLOOKUP(CF_Gen_2[[#This Row],[ICG]],Assumptions[ICG],Assumptions[Loss_Ratio])</f>
        <v>0.38</v>
      </c>
      <c r="N39" s="18">
        <f>_xlfn.XLOOKUP(CF_Gen_2[[#This Row],[ICG]],Assumptions[ICG],Assumptions[Risk_Adjustment_Ratio])</f>
        <v>0.13</v>
      </c>
      <c r="O39" s="18">
        <f>_xlfn.XLOOKUP(CF_Gen_2[[#This Row],[ICG]],Assumptions[ICG],Assumptions[PME_Ratio])</f>
        <v>0</v>
      </c>
      <c r="P39" s="18">
        <f>_xlfn.XLOOKUP(CF_Gen_2[[#This Row],[ICG]],Assumptions[ICG],Assumptions[ULAE_Ratio])</f>
        <v>0</v>
      </c>
      <c r="Q39" s="18">
        <f>_xlfn.XLOOKUP(CF_Gen_2[[#This Row],[ICG]],Assumptions[ICG],Assumptions[Cancellation_Ratio])</f>
        <v>7.0000000000000007E-2</v>
      </c>
      <c r="R39" s="18">
        <f>_xlfn.XLOOKUP(CF_Gen_2[[#This Row],[ICG]],Assumptions[ICG],Assumptions[Premium_Refund_Ratio])</f>
        <v>0.5</v>
      </c>
      <c r="S39" s="18">
        <f>IF(CF_Gen_2[[#This Row],[Contract]]="RC",_xlfn.XLOOKUP(CF_Gen_2[[#This Row],[ICG]],Assumptions[ICG],Assumptions[NPR_Ratio]),0)</f>
        <v>2.8000000000000001E-2</v>
      </c>
      <c r="T39" s="17">
        <f>T38*(1-CF_Gen_2[[#This Row],[Cancellation_Ratio]])</f>
        <v>6.8213305702218605E-2</v>
      </c>
      <c r="U39" s="19">
        <f>IF(CF_Gen_2[[#This Row],[Incurred]]&lt;=CF_Gen_2[[#This Row],[Valuation]],CF_Gen_2[[#This Row],[Expected_Premium]],-CF_Gen_2[[#This Row],[Probability_of_Inforce]]*CF_Gen_2[[#This Row],[Premium_Refund_Ratio]]*CF_Gen_2[[#This Row],[Cancellation_Ratio]]*SUM(K39:K$105))</f>
        <v>52971353.364112265</v>
      </c>
      <c r="V3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Row],[Cancellation_Ratio]]*SUM(L39:L$105))</f>
        <v>-16729413.530956322</v>
      </c>
      <c r="W39" s="19">
        <f>CF_Gen_2[[#This Row],[Expected_Acquisition]]</f>
        <v>0</v>
      </c>
      <c r="X3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39" s="19">
        <f>-CF_Gen_2[[#This Row],[Probability_of_Inforce]]*CF_Gen_2[[#This Row],[Earned_Premium]]*(1-CF_Gen_2[[#This Row],[Cancellation_Ratio]])*CF_Gen_2[[#This Row],[Loss_Ratio]]</f>
        <v>18596647.204511035</v>
      </c>
      <c r="Z39" s="19">
        <f>CF_Gen_2[[#This Row],[Exp_Claim]]*CF_Gen_2[[#This Row],[Risk_Adjustment_Ratio]]</f>
        <v>2417564.1365864347</v>
      </c>
      <c r="AA39" s="19">
        <f>IF(CF_Gen_2[[#This Row],[Contract]]="RC",-CF_Gen_2[[#This Row],[NPR_Ratio]]*CF_Gen_2[[#This Row],[Exp_Claim]],0)</f>
        <v>-520706.12172630901</v>
      </c>
      <c r="AB39" s="19">
        <f>SUMIFS(Actual_CF[Actual_Premium],Actual_CF[ICG],CF_Gen_2[[#This Row],[ICG]],Actual_CF[Incurred],CF_Gen_2[[#This Row],[Incurred]])</f>
        <v>0</v>
      </c>
      <c r="AC39" s="19">
        <f>SUMIFS(Actual_CF[Actual_Commission],Actual_CF[ICG],CF_Gen_2[[#This Row],[ICG]],Actual_CF[Incurred],CF_Gen_2[[#This Row],[Incurred]])</f>
        <v>0</v>
      </c>
      <c r="AD39" s="19">
        <f>SUMIFS(Actual_CF[Actual_Acquisition],Actual_CF[ICG],CF_Gen_2[[#This Row],[ICG]],Actual_CF[Incurred],CF_Gen_2[[#This Row],[Incurred]])</f>
        <v>0</v>
      </c>
    </row>
    <row r="40" spans="1:30">
      <c r="A40" t="str">
        <f t="shared" si="2"/>
        <v>#2024#RC-Property</v>
      </c>
      <c r="B40">
        <f>_xlfn.XLOOKUP(CF_Gen_2[[#This Row],[ICG]],ICG[ICG],ICG[Cohort])</f>
        <v>2024</v>
      </c>
      <c r="C40" t="str">
        <f>_xlfn.XLOOKUP(CF_Gen_2[[#This Row],[ICG]],ICG[ICG],ICG[Portfolio])</f>
        <v>RC-Property</v>
      </c>
      <c r="D40" t="str">
        <f>_xlfn.XLOOKUP(CF_Gen_2[[#This Row],[ICG]],ICG[ICG],ICG[Contract])</f>
        <v>RC</v>
      </c>
      <c r="E40" s="2">
        <f t="shared" si="0"/>
        <v>45930</v>
      </c>
      <c r="F40">
        <v>39</v>
      </c>
      <c r="G40" s="2">
        <f>EOMONTH(DATE(YEAR(CF_Gen_2[[#This Row],[Valuation]])-1,12,31),CF_Gen_2[[#This Row],['#Incurred]]*3)</f>
        <v>49217</v>
      </c>
      <c r="H40" s="14">
        <f>SUMIFS(Expected_CF[Expected_Premium],Expected_CF[ICG],CF_Gen_2[[#This Row],[ICG]],Expected_CF[Incurred],CF_Gen_2[[#This Row],[Incurred]])</f>
        <v>0</v>
      </c>
      <c r="I40" s="14">
        <f>SUMIFS(Expected_CF[Expected_Commission],Expected_CF[ICG],CF_Gen_2[[#This Row],[ICG]],Expected_CF[Incurred],CF_Gen_2[[#This Row],[Incurred]])</f>
        <v>0</v>
      </c>
      <c r="J40" s="14">
        <f>IF(CF_Gen_2[[#This Row],[Contract]]="IC",SUMIFS(Expected_CF[Expected_Acquisition],Expected_CF[ICG],CF_Gen_2[[#This Row],[ICG]],Expected_CF[Incurred],CF_Gen_2[[#This Row],[Incurred]]),0)</f>
        <v>0</v>
      </c>
      <c r="K40" s="14">
        <f>SUMIFS(Earned[Earned_Premium],Earned[ICG],CF_Gen_2[[#This Row],[ICG]],Earned[Incurred],CF_Gen_2[[#This Row],[Incurred]])</f>
        <v>-757780710.18107522</v>
      </c>
      <c r="L40" s="14">
        <f>SUMIFS(Earned[Earned_Commission],Earned[ICG],CF_Gen_2[[#This Row],[ICG]],Earned[Incurred],CF_Gen_2[[#This Row],[Incurred]])</f>
        <v>247448442.65176323</v>
      </c>
      <c r="M40" s="18">
        <f>_xlfn.XLOOKUP(CF_Gen_2[[#This Row],[ICG]],Assumptions[ICG],Assumptions[Loss_Ratio])</f>
        <v>0.38</v>
      </c>
      <c r="N40" s="18">
        <f>_xlfn.XLOOKUP(CF_Gen_2[[#This Row],[ICG]],Assumptions[ICG],Assumptions[Risk_Adjustment_Ratio])</f>
        <v>0.13</v>
      </c>
      <c r="O40" s="18">
        <f>_xlfn.XLOOKUP(CF_Gen_2[[#This Row],[ICG]],Assumptions[ICG],Assumptions[PME_Ratio])</f>
        <v>0</v>
      </c>
      <c r="P40" s="18">
        <f>_xlfn.XLOOKUP(CF_Gen_2[[#This Row],[ICG]],Assumptions[ICG],Assumptions[ULAE_Ratio])</f>
        <v>0</v>
      </c>
      <c r="Q40" s="18">
        <f>_xlfn.XLOOKUP(CF_Gen_2[[#This Row],[ICG]],Assumptions[ICG],Assumptions[Cancellation_Ratio])</f>
        <v>7.0000000000000007E-2</v>
      </c>
      <c r="R40" s="18">
        <f>_xlfn.XLOOKUP(CF_Gen_2[[#This Row],[ICG]],Assumptions[ICG],Assumptions[Premium_Refund_Ratio])</f>
        <v>0.5</v>
      </c>
      <c r="S40" s="18">
        <f>IF(CF_Gen_2[[#This Row],[Contract]]="RC",_xlfn.XLOOKUP(CF_Gen_2[[#This Row],[ICG]],Assumptions[ICG],Assumptions[NPR_Ratio]),0)</f>
        <v>2.8000000000000001E-2</v>
      </c>
      <c r="T40" s="17">
        <f>T39*(1-CF_Gen_2[[#This Row],[Cancellation_Ratio]])</f>
        <v>6.3438374303063302E-2</v>
      </c>
      <c r="U40" s="19">
        <f>IF(CF_Gen_2[[#This Row],[Incurred]]&lt;=CF_Gen_2[[#This Row],[Valuation]],CF_Gen_2[[#This Row],[Expected_Premium]],-CF_Gen_2[[#This Row],[Probability_of_Inforce]]*CF_Gen_2[[#This Row],[Premium_Refund_Ratio]]*CF_Gen_2[[#This Row],[Cancellation_Ratio]]*SUM(K40:K$105))</f>
        <v>47550509.54399839</v>
      </c>
      <c r="V4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Row],[Cancellation_Ratio]]*SUM(L40:L$105))</f>
        <v>-14998664.600412138</v>
      </c>
      <c r="W40" s="19">
        <f>CF_Gen_2[[#This Row],[Expected_Acquisition]]</f>
        <v>0</v>
      </c>
      <c r="X4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0" s="19">
        <f>-CF_Gen_2[[#This Row],[Probability_of_Inforce]]*CF_Gen_2[[#This Row],[Earned_Premium]]*(1-CF_Gen_2[[#This Row],[Cancellation_Ratio]])*CF_Gen_2[[#This Row],[Loss_Ratio]]</f>
        <v>16988777.795767032</v>
      </c>
      <c r="Z40" s="19">
        <f>CF_Gen_2[[#This Row],[Exp_Claim]]*CF_Gen_2[[#This Row],[Risk_Adjustment_Ratio]]</f>
        <v>2208541.1134497141</v>
      </c>
      <c r="AA40" s="19">
        <f>IF(CF_Gen_2[[#This Row],[Contract]]="RC",-CF_Gen_2[[#This Row],[NPR_Ratio]]*CF_Gen_2[[#This Row],[Exp_Claim]],0)</f>
        <v>-475685.77828147687</v>
      </c>
      <c r="AB40" s="19">
        <f>SUMIFS(Actual_CF[Actual_Premium],Actual_CF[ICG],CF_Gen_2[[#This Row],[ICG]],Actual_CF[Incurred],CF_Gen_2[[#This Row],[Incurred]])</f>
        <v>0</v>
      </c>
      <c r="AC40" s="19">
        <f>SUMIFS(Actual_CF[Actual_Commission],Actual_CF[ICG],CF_Gen_2[[#This Row],[ICG]],Actual_CF[Incurred],CF_Gen_2[[#This Row],[Incurred]])</f>
        <v>0</v>
      </c>
      <c r="AD40" s="19">
        <f>SUMIFS(Actual_CF[Actual_Acquisition],Actual_CF[ICG],CF_Gen_2[[#This Row],[ICG]],Actual_CF[Incurred],CF_Gen_2[[#This Row],[Incurred]])</f>
        <v>0</v>
      </c>
    </row>
    <row r="41" spans="1:30">
      <c r="A41" t="str">
        <f t="shared" si="2"/>
        <v>#2024#RC-Property</v>
      </c>
      <c r="B41">
        <f>_xlfn.XLOOKUP(CF_Gen_2[[#This Row],[ICG]],ICG[ICG],ICG[Cohort])</f>
        <v>2024</v>
      </c>
      <c r="C41" t="str">
        <f>_xlfn.XLOOKUP(CF_Gen_2[[#This Row],[ICG]],ICG[ICG],ICG[Portfolio])</f>
        <v>RC-Property</v>
      </c>
      <c r="D41" t="str">
        <f>_xlfn.XLOOKUP(CF_Gen_2[[#This Row],[ICG]],ICG[ICG],ICG[Contract])</f>
        <v>RC</v>
      </c>
      <c r="E41" s="2">
        <f t="shared" si="0"/>
        <v>45930</v>
      </c>
      <c r="F41">
        <v>40</v>
      </c>
      <c r="G41" s="2">
        <f>EOMONTH(DATE(YEAR(CF_Gen_2[[#This Row],[Valuation]])-1,12,31),CF_Gen_2[[#This Row],['#Incurred]]*3)</f>
        <v>49309</v>
      </c>
      <c r="H41" s="14">
        <f>SUMIFS(Expected_CF[Expected_Premium],Expected_CF[ICG],CF_Gen_2[[#This Row],[ICG]],Expected_CF[Incurred],CF_Gen_2[[#This Row],[Incurred]])</f>
        <v>0</v>
      </c>
      <c r="I41" s="14">
        <f>SUMIFS(Expected_CF[Expected_Commission],Expected_CF[ICG],CF_Gen_2[[#This Row],[ICG]],Expected_CF[Incurred],CF_Gen_2[[#This Row],[Incurred]])</f>
        <v>0</v>
      </c>
      <c r="J41" s="14">
        <f>IF(CF_Gen_2[[#This Row],[Contract]]="IC",SUMIFS(Expected_CF[Expected_Acquisition],Expected_CF[ICG],CF_Gen_2[[#This Row],[ICG]],Expected_CF[Incurred],CF_Gen_2[[#This Row],[Incurred]]),0)</f>
        <v>0</v>
      </c>
      <c r="K41" s="14">
        <f>SUMIFS(Earned[Earned_Premium],Earned[ICG],CF_Gen_2[[#This Row],[ICG]],Earned[Incurred],CF_Gen_2[[#This Row],[Incurred]])</f>
        <v>-744127003.69132614</v>
      </c>
      <c r="L41" s="14">
        <f>SUMIFS(Earned[Earned_Commission],Earned[ICG],CF_Gen_2[[#This Row],[ICG]],Earned[Incurred],CF_Gen_2[[#This Row],[Incurred]])</f>
        <v>242823238.11621624</v>
      </c>
      <c r="M41" s="18">
        <f>_xlfn.XLOOKUP(CF_Gen_2[[#This Row],[ICG]],Assumptions[ICG],Assumptions[Loss_Ratio])</f>
        <v>0.38</v>
      </c>
      <c r="N41" s="18">
        <f>_xlfn.XLOOKUP(CF_Gen_2[[#This Row],[ICG]],Assumptions[ICG],Assumptions[Risk_Adjustment_Ratio])</f>
        <v>0.13</v>
      </c>
      <c r="O41" s="18">
        <f>_xlfn.XLOOKUP(CF_Gen_2[[#This Row],[ICG]],Assumptions[ICG],Assumptions[PME_Ratio])</f>
        <v>0</v>
      </c>
      <c r="P41" s="18">
        <f>_xlfn.XLOOKUP(CF_Gen_2[[#This Row],[ICG]],Assumptions[ICG],Assumptions[ULAE_Ratio])</f>
        <v>0</v>
      </c>
      <c r="Q41" s="18">
        <f>_xlfn.XLOOKUP(CF_Gen_2[[#This Row],[ICG]],Assumptions[ICG],Assumptions[Cancellation_Ratio])</f>
        <v>7.0000000000000007E-2</v>
      </c>
      <c r="R41" s="18">
        <f>_xlfn.XLOOKUP(CF_Gen_2[[#This Row],[ICG]],Assumptions[ICG],Assumptions[Premium_Refund_Ratio])</f>
        <v>0.5</v>
      </c>
      <c r="S41" s="18">
        <f>IF(CF_Gen_2[[#This Row],[Contract]]="RC",_xlfn.XLOOKUP(CF_Gen_2[[#This Row],[ICG]],Assumptions[ICG],Assumptions[NPR_Ratio]),0)</f>
        <v>2.8000000000000001E-2</v>
      </c>
      <c r="T41" s="17">
        <f>T40*(1-CF_Gen_2[[#This Row],[Cancellation_Ratio]])</f>
        <v>5.8997688101848869E-2</v>
      </c>
      <c r="U41" s="19">
        <f>IF(CF_Gen_2[[#This Row],[Incurred]]&lt;=CF_Gen_2[[#This Row],[Valuation]],CF_Gen_2[[#This Row],[Expected_Premium]],-CF_Gen_2[[#This Row],[Probability_of_Inforce]]*CF_Gen_2[[#This Row],[Premium_Refund_Ratio]]*CF_Gen_2[[#This Row],[Cancellation_Ratio]]*SUM(K41:K$105))</f>
        <v>42657218.026308388</v>
      </c>
      <c r="V4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Row],[Cancellation_Ratio]]*SUM(L41:L$105))</f>
        <v>-13437797.066953292</v>
      </c>
      <c r="W41" s="19">
        <f>CF_Gen_2[[#This Row],[Expected_Acquisition]]</f>
        <v>0</v>
      </c>
      <c r="X4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1" s="19">
        <f>-CF_Gen_2[[#This Row],[Probability_of_Inforce]]*CF_Gen_2[[#This Row],[Earned_Premium]]*(1-CF_Gen_2[[#This Row],[Cancellation_Ratio]])*CF_Gen_2[[#This Row],[Loss_Ratio]]</f>
        <v>15514886.532945082</v>
      </c>
      <c r="Z41" s="19">
        <f>CF_Gen_2[[#This Row],[Exp_Claim]]*CF_Gen_2[[#This Row],[Risk_Adjustment_Ratio]]</f>
        <v>2016935.2492828607</v>
      </c>
      <c r="AA41" s="19">
        <f>IF(CF_Gen_2[[#This Row],[Contract]]="RC",-CF_Gen_2[[#This Row],[NPR_Ratio]]*CF_Gen_2[[#This Row],[Exp_Claim]],0)</f>
        <v>-434416.82292246231</v>
      </c>
      <c r="AB41" s="19">
        <f>SUMIFS(Actual_CF[Actual_Premium],Actual_CF[ICG],CF_Gen_2[[#This Row],[ICG]],Actual_CF[Incurred],CF_Gen_2[[#This Row],[Incurred]])</f>
        <v>0</v>
      </c>
      <c r="AC41" s="19">
        <f>SUMIFS(Actual_CF[Actual_Commission],Actual_CF[ICG],CF_Gen_2[[#This Row],[ICG]],Actual_CF[Incurred],CF_Gen_2[[#This Row],[Incurred]])</f>
        <v>0</v>
      </c>
      <c r="AD41" s="19">
        <f>SUMIFS(Actual_CF[Actual_Acquisition],Actual_CF[ICG],CF_Gen_2[[#This Row],[ICG]],Actual_CF[Incurred],CF_Gen_2[[#This Row],[Incurred]])</f>
        <v>0</v>
      </c>
    </row>
    <row r="42" spans="1:30">
      <c r="A42" t="str">
        <f t="shared" si="2"/>
        <v>#2024#RC-Property</v>
      </c>
      <c r="B42">
        <f>_xlfn.XLOOKUP(CF_Gen_2[[#This Row],[ICG]],ICG[ICG],ICG[Cohort])</f>
        <v>2024</v>
      </c>
      <c r="C42" t="str">
        <f>_xlfn.XLOOKUP(CF_Gen_2[[#This Row],[ICG]],ICG[ICG],ICG[Portfolio])</f>
        <v>RC-Property</v>
      </c>
      <c r="D42" t="str">
        <f>_xlfn.XLOOKUP(CF_Gen_2[[#This Row],[ICG]],ICG[ICG],ICG[Contract])</f>
        <v>RC</v>
      </c>
      <c r="E42" s="2">
        <f t="shared" si="0"/>
        <v>45930</v>
      </c>
      <c r="F42">
        <v>41</v>
      </c>
      <c r="G42" s="2">
        <f>EOMONTH(DATE(YEAR(CF_Gen_2[[#This Row],[Valuation]])-1,12,31),CF_Gen_2[[#This Row],['#Incurred]]*3)</f>
        <v>49399</v>
      </c>
      <c r="H42" s="14">
        <f>SUMIFS(Expected_CF[Expected_Premium],Expected_CF[ICG],CF_Gen_2[[#This Row],[ICG]],Expected_CF[Incurred],CF_Gen_2[[#This Row],[Incurred]])</f>
        <v>0</v>
      </c>
      <c r="I42" s="14">
        <f>SUMIFS(Expected_CF[Expected_Commission],Expected_CF[ICG],CF_Gen_2[[#This Row],[ICG]],Expected_CF[Incurred],CF_Gen_2[[#This Row],[Incurred]])</f>
        <v>0</v>
      </c>
      <c r="J42" s="14">
        <f>IF(CF_Gen_2[[#This Row],[Contract]]="IC",SUMIFS(Expected_CF[Expected_Acquisition],Expected_CF[ICG],CF_Gen_2[[#This Row],[ICG]],Expected_CF[Incurred],CF_Gen_2[[#This Row],[Incurred]]),0)</f>
        <v>0</v>
      </c>
      <c r="K42" s="14">
        <f>SUMIFS(Earned[Earned_Premium],Earned[ICG],CF_Gen_2[[#This Row],[ICG]],Earned[Incurred],CF_Gen_2[[#This Row],[Incurred]])</f>
        <v>-730473297.20157707</v>
      </c>
      <c r="L42" s="14">
        <f>SUMIFS(Earned[Earned_Commission],Earned[ICG],CF_Gen_2[[#This Row],[ICG]],Earned[Incurred],CF_Gen_2[[#This Row],[Incurred]])</f>
        <v>238198033.58066931</v>
      </c>
      <c r="M42" s="18">
        <f>_xlfn.XLOOKUP(CF_Gen_2[[#This Row],[ICG]],Assumptions[ICG],Assumptions[Loss_Ratio])</f>
        <v>0.38</v>
      </c>
      <c r="N42" s="18">
        <f>_xlfn.XLOOKUP(CF_Gen_2[[#This Row],[ICG]],Assumptions[ICG],Assumptions[Risk_Adjustment_Ratio])</f>
        <v>0.13</v>
      </c>
      <c r="O42" s="18">
        <f>_xlfn.XLOOKUP(CF_Gen_2[[#This Row],[ICG]],Assumptions[ICG],Assumptions[PME_Ratio])</f>
        <v>0</v>
      </c>
      <c r="P42" s="18">
        <f>_xlfn.XLOOKUP(CF_Gen_2[[#This Row],[ICG]],Assumptions[ICG],Assumptions[ULAE_Ratio])</f>
        <v>0</v>
      </c>
      <c r="Q42" s="18">
        <f>_xlfn.XLOOKUP(CF_Gen_2[[#This Row],[ICG]],Assumptions[ICG],Assumptions[Cancellation_Ratio])</f>
        <v>7.0000000000000007E-2</v>
      </c>
      <c r="R42" s="18">
        <f>_xlfn.XLOOKUP(CF_Gen_2[[#This Row],[ICG]],Assumptions[ICG],Assumptions[Premium_Refund_Ratio])</f>
        <v>0.5</v>
      </c>
      <c r="S42" s="18">
        <f>IF(CF_Gen_2[[#This Row],[Contract]]="RC",_xlfn.XLOOKUP(CF_Gen_2[[#This Row],[ICG]],Assumptions[ICG],Assumptions[NPR_Ratio]),0)</f>
        <v>2.8000000000000001E-2</v>
      </c>
      <c r="T42" s="17">
        <f>T41*(1-CF_Gen_2[[#This Row],[Cancellation_Ratio]])</f>
        <v>5.4867849934719444E-2</v>
      </c>
      <c r="U42" s="19">
        <f>IF(CF_Gen_2[[#This Row],[Incurred]]&lt;=CF_Gen_2[[#This Row],[Valuation]],CF_Gen_2[[#This Row],[Expected_Premium]],-CF_Gen_2[[#This Row],[Probability_of_Inforce]]*CF_Gen_2[[#This Row],[Premium_Refund_Ratio]]*CF_Gen_2[[#This Row],[Cancellation_Ratio]]*SUM(K42:K$105))</f>
        <v>38242210.057485014</v>
      </c>
      <c r="V4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Row],[Cancellation_Ratio]]*SUM(L42:L$105))</f>
        <v>-12030839.657629749</v>
      </c>
      <c r="W42" s="19">
        <f>CF_Gen_2[[#This Row],[Expected_Acquisition]]</f>
        <v>0</v>
      </c>
      <c r="X4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2" s="19">
        <f>-CF_Gen_2[[#This Row],[Probability_of_Inforce]]*CF_Gen_2[[#This Row],[Earned_Premium]]*(1-CF_Gen_2[[#This Row],[Cancellation_Ratio]])*CF_Gen_2[[#This Row],[Loss_Ratio]]</f>
        <v>14164095.035718944</v>
      </c>
      <c r="Z42" s="19">
        <f>CF_Gen_2[[#This Row],[Exp_Claim]]*CF_Gen_2[[#This Row],[Risk_Adjustment_Ratio]]</f>
        <v>1841332.3546434627</v>
      </c>
      <c r="AA42" s="19">
        <f>IF(CF_Gen_2[[#This Row],[Contract]]="RC",-CF_Gen_2[[#This Row],[NPR_Ratio]]*CF_Gen_2[[#This Row],[Exp_Claim]],0)</f>
        <v>-396594.66100013047</v>
      </c>
      <c r="AB42" s="19">
        <f>SUMIFS(Actual_CF[Actual_Premium],Actual_CF[ICG],CF_Gen_2[[#This Row],[ICG]],Actual_CF[Incurred],CF_Gen_2[[#This Row],[Incurred]])</f>
        <v>0</v>
      </c>
      <c r="AC42" s="19">
        <f>SUMIFS(Actual_CF[Actual_Commission],Actual_CF[ICG],CF_Gen_2[[#This Row],[ICG]],Actual_CF[Incurred],CF_Gen_2[[#This Row],[Incurred]])</f>
        <v>0</v>
      </c>
      <c r="AD42" s="19">
        <f>SUMIFS(Actual_CF[Actual_Acquisition],Actual_CF[ICG],CF_Gen_2[[#This Row],[ICG]],Actual_CF[Incurred],CF_Gen_2[[#This Row],[Incurred]])</f>
        <v>0</v>
      </c>
    </row>
    <row r="43" spans="1:30">
      <c r="A43" t="str">
        <f t="shared" si="2"/>
        <v>#2024#RC-Property</v>
      </c>
      <c r="B43">
        <f>_xlfn.XLOOKUP(CF_Gen_2[[#This Row],[ICG]],ICG[ICG],ICG[Cohort])</f>
        <v>2024</v>
      </c>
      <c r="C43" t="str">
        <f>_xlfn.XLOOKUP(CF_Gen_2[[#This Row],[ICG]],ICG[ICG],ICG[Portfolio])</f>
        <v>RC-Property</v>
      </c>
      <c r="D43" t="str">
        <f>_xlfn.XLOOKUP(CF_Gen_2[[#This Row],[ICG]],ICG[ICG],ICG[Contract])</f>
        <v>RC</v>
      </c>
      <c r="E43" s="2">
        <f t="shared" si="0"/>
        <v>45930</v>
      </c>
      <c r="F43">
        <v>42</v>
      </c>
      <c r="G43" s="2">
        <f>EOMONTH(DATE(YEAR(CF_Gen_2[[#This Row],[Valuation]])-1,12,31),CF_Gen_2[[#This Row],['#Incurred]]*3)</f>
        <v>49490</v>
      </c>
      <c r="H43" s="14">
        <f>SUMIFS(Expected_CF[Expected_Premium],Expected_CF[ICG],CF_Gen_2[[#This Row],[ICG]],Expected_CF[Incurred],CF_Gen_2[[#This Row],[Incurred]])</f>
        <v>0</v>
      </c>
      <c r="I43" s="14">
        <f>SUMIFS(Expected_CF[Expected_Commission],Expected_CF[ICG],CF_Gen_2[[#This Row],[ICG]],Expected_CF[Incurred],CF_Gen_2[[#This Row],[Incurred]])</f>
        <v>0</v>
      </c>
      <c r="J43" s="14">
        <f>IF(CF_Gen_2[[#This Row],[Contract]]="IC",SUMIFS(Expected_CF[Expected_Acquisition],Expected_CF[ICG],CF_Gen_2[[#This Row],[ICG]],Expected_CF[Incurred],CF_Gen_2[[#This Row],[Incurred]]),0)</f>
        <v>0</v>
      </c>
      <c r="K43" s="14">
        <f>SUMIFS(Earned[Earned_Premium],Earned[ICG],CF_Gen_2[[#This Row],[ICG]],Earned[Incurred],CF_Gen_2[[#This Row],[Incurred]])</f>
        <v>-716819590.71182799</v>
      </c>
      <c r="L43" s="14">
        <f>SUMIFS(Earned[Earned_Commission],Earned[ICG],CF_Gen_2[[#This Row],[ICG]],Earned[Incurred],CF_Gen_2[[#This Row],[Incurred]])</f>
        <v>233572829.0451223</v>
      </c>
      <c r="M43" s="18">
        <f>_xlfn.XLOOKUP(CF_Gen_2[[#This Row],[ICG]],Assumptions[ICG],Assumptions[Loss_Ratio])</f>
        <v>0.38</v>
      </c>
      <c r="N43" s="18">
        <f>_xlfn.XLOOKUP(CF_Gen_2[[#This Row],[ICG]],Assumptions[ICG],Assumptions[Risk_Adjustment_Ratio])</f>
        <v>0.13</v>
      </c>
      <c r="O43" s="18">
        <f>_xlfn.XLOOKUP(CF_Gen_2[[#This Row],[ICG]],Assumptions[ICG],Assumptions[PME_Ratio])</f>
        <v>0</v>
      </c>
      <c r="P43" s="18">
        <f>_xlfn.XLOOKUP(CF_Gen_2[[#This Row],[ICG]],Assumptions[ICG],Assumptions[ULAE_Ratio])</f>
        <v>0</v>
      </c>
      <c r="Q43" s="18">
        <f>_xlfn.XLOOKUP(CF_Gen_2[[#This Row],[ICG]],Assumptions[ICG],Assumptions[Cancellation_Ratio])</f>
        <v>7.0000000000000007E-2</v>
      </c>
      <c r="R43" s="18">
        <f>_xlfn.XLOOKUP(CF_Gen_2[[#This Row],[ICG]],Assumptions[ICG],Assumptions[Premium_Refund_Ratio])</f>
        <v>0.5</v>
      </c>
      <c r="S43" s="18">
        <f>IF(CF_Gen_2[[#This Row],[Contract]]="RC",_xlfn.XLOOKUP(CF_Gen_2[[#This Row],[ICG]],Assumptions[ICG],Assumptions[NPR_Ratio]),0)</f>
        <v>2.8000000000000001E-2</v>
      </c>
      <c r="T43" s="17">
        <f>T42*(1-CF_Gen_2[[#This Row],[Cancellation_Ratio]])</f>
        <v>5.1027100439289076E-2</v>
      </c>
      <c r="U43" s="19">
        <f>IF(CF_Gen_2[[#This Row],[Incurred]]&lt;=CF_Gen_2[[#This Row],[Valuation]],CF_Gen_2[[#This Row],[Expected_Premium]],-CF_Gen_2[[#This Row],[Probability_of_Inforce]]*CF_Gen_2[[#This Row],[Premium_Refund_Ratio]]*CF_Gen_2[[#This Row],[Cancellation_Ratio]]*SUM(K43:K$105))</f>
        <v>34260667.652802736</v>
      </c>
      <c r="V4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Row],[Cancellation_Ratio]]*SUM(L43:L$105))</f>
        <v>-10763271.457156997</v>
      </c>
      <c r="W43" s="19">
        <f>CF_Gen_2[[#This Row],[Expected_Acquisition]]</f>
        <v>0</v>
      </c>
      <c r="X4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3" s="19">
        <f>-CF_Gen_2[[#This Row],[Probability_of_Inforce]]*CF_Gen_2[[#This Row],[Earned_Premium]]*(1-CF_Gen_2[[#This Row],[Cancellation_Ratio]])*CF_Gen_2[[#This Row],[Loss_Ratio]]</f>
        <v>12926391.404093035</v>
      </c>
      <c r="Z43" s="19">
        <f>CF_Gen_2[[#This Row],[Exp_Claim]]*CF_Gen_2[[#This Row],[Risk_Adjustment_Ratio]]</f>
        <v>1680430.8825320946</v>
      </c>
      <c r="AA43" s="19">
        <f>IF(CF_Gen_2[[#This Row],[Contract]]="RC",-CF_Gen_2[[#This Row],[NPR_Ratio]]*CF_Gen_2[[#This Row],[Exp_Claim]],0)</f>
        <v>-361938.95931460499</v>
      </c>
      <c r="AB43" s="19">
        <f>SUMIFS(Actual_CF[Actual_Premium],Actual_CF[ICG],CF_Gen_2[[#This Row],[ICG]],Actual_CF[Incurred],CF_Gen_2[[#This Row],[Incurred]])</f>
        <v>0</v>
      </c>
      <c r="AC43" s="19">
        <f>SUMIFS(Actual_CF[Actual_Commission],Actual_CF[ICG],CF_Gen_2[[#This Row],[ICG]],Actual_CF[Incurred],CF_Gen_2[[#This Row],[Incurred]])</f>
        <v>0</v>
      </c>
      <c r="AD43" s="19">
        <f>SUMIFS(Actual_CF[Actual_Acquisition],Actual_CF[ICG],CF_Gen_2[[#This Row],[ICG]],Actual_CF[Incurred],CF_Gen_2[[#This Row],[Incurred]])</f>
        <v>0</v>
      </c>
    </row>
    <row r="44" spans="1:30">
      <c r="A44" t="str">
        <f t="shared" si="2"/>
        <v>#2024#RC-Property</v>
      </c>
      <c r="B44">
        <f>_xlfn.XLOOKUP(CF_Gen_2[[#This Row],[ICG]],ICG[ICG],ICG[Cohort])</f>
        <v>2024</v>
      </c>
      <c r="C44" t="str">
        <f>_xlfn.XLOOKUP(CF_Gen_2[[#This Row],[ICG]],ICG[ICG],ICG[Portfolio])</f>
        <v>RC-Property</v>
      </c>
      <c r="D44" t="str">
        <f>_xlfn.XLOOKUP(CF_Gen_2[[#This Row],[ICG]],ICG[ICG],ICG[Contract])</f>
        <v>RC</v>
      </c>
      <c r="E44" s="2">
        <f t="shared" si="0"/>
        <v>45930</v>
      </c>
      <c r="F44">
        <v>43</v>
      </c>
      <c r="G44" s="2">
        <f>EOMONTH(DATE(YEAR(CF_Gen_2[[#This Row],[Valuation]])-1,12,31),CF_Gen_2[[#This Row],['#Incurred]]*3)</f>
        <v>49582</v>
      </c>
      <c r="H44" s="14">
        <f>SUMIFS(Expected_CF[Expected_Premium],Expected_CF[ICG],CF_Gen_2[[#This Row],[ICG]],Expected_CF[Incurred],CF_Gen_2[[#This Row],[Incurred]])</f>
        <v>0</v>
      </c>
      <c r="I44" s="14">
        <f>SUMIFS(Expected_CF[Expected_Commission],Expected_CF[ICG],CF_Gen_2[[#This Row],[ICG]],Expected_CF[Incurred],CF_Gen_2[[#This Row],[Incurred]])</f>
        <v>0</v>
      </c>
      <c r="J44" s="14">
        <f>IF(CF_Gen_2[[#This Row],[Contract]]="IC",SUMIFS(Expected_CF[Expected_Acquisition],Expected_CF[ICG],CF_Gen_2[[#This Row],[ICG]],Expected_CF[Incurred],CF_Gen_2[[#This Row],[Incurred]]),0)</f>
        <v>0</v>
      </c>
      <c r="K44" s="14">
        <f>SUMIFS(Earned[Earned_Premium],Earned[ICG],CF_Gen_2[[#This Row],[ICG]],Earned[Incurred],CF_Gen_2[[#This Row],[Incurred]])</f>
        <v>-703165884.22207892</v>
      </c>
      <c r="L44" s="14">
        <f>SUMIFS(Earned[Earned_Commission],Earned[ICG],CF_Gen_2[[#This Row],[ICG]],Earned[Incurred],CF_Gen_2[[#This Row],[Incurred]])</f>
        <v>228947624.50957531</v>
      </c>
      <c r="M44" s="18">
        <f>_xlfn.XLOOKUP(CF_Gen_2[[#This Row],[ICG]],Assumptions[ICG],Assumptions[Loss_Ratio])</f>
        <v>0.38</v>
      </c>
      <c r="N44" s="18">
        <f>_xlfn.XLOOKUP(CF_Gen_2[[#This Row],[ICG]],Assumptions[ICG],Assumptions[Risk_Adjustment_Ratio])</f>
        <v>0.13</v>
      </c>
      <c r="O44" s="18">
        <f>_xlfn.XLOOKUP(CF_Gen_2[[#This Row],[ICG]],Assumptions[ICG],Assumptions[PME_Ratio])</f>
        <v>0</v>
      </c>
      <c r="P44" s="18">
        <f>_xlfn.XLOOKUP(CF_Gen_2[[#This Row],[ICG]],Assumptions[ICG],Assumptions[ULAE_Ratio])</f>
        <v>0</v>
      </c>
      <c r="Q44" s="18">
        <f>_xlfn.XLOOKUP(CF_Gen_2[[#This Row],[ICG]],Assumptions[ICG],Assumptions[Cancellation_Ratio])</f>
        <v>7.0000000000000007E-2</v>
      </c>
      <c r="R44" s="18">
        <f>_xlfn.XLOOKUP(CF_Gen_2[[#This Row],[ICG]],Assumptions[ICG],Assumptions[Premium_Refund_Ratio])</f>
        <v>0.5</v>
      </c>
      <c r="S44" s="18">
        <f>IF(CF_Gen_2[[#This Row],[Contract]]="RC",_xlfn.XLOOKUP(CF_Gen_2[[#This Row],[ICG]],Assumptions[ICG],Assumptions[NPR_Ratio]),0)</f>
        <v>2.8000000000000001E-2</v>
      </c>
      <c r="T44" s="17">
        <f>T43*(1-CF_Gen_2[[#This Row],[Cancellation_Ratio]])</f>
        <v>4.7455203408538836E-2</v>
      </c>
      <c r="U44" s="19">
        <f>IF(CF_Gen_2[[#This Row],[Incurred]]&lt;=CF_Gen_2[[#This Row],[Valuation]],CF_Gen_2[[#This Row],[Expected_Premium]],-CF_Gen_2[[#This Row],[Probability_of_Inforce]]*CF_Gen_2[[#This Row],[Premium_Refund_Ratio]]*CF_Gen_2[[#This Row],[Cancellation_Ratio]]*SUM(K44:K$105))</f>
        <v>30671832.235150605</v>
      </c>
      <c r="V4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Row],[Cancellation_Ratio]]*SUM(L44:L$105))</f>
        <v>-9621893.8411994595</v>
      </c>
      <c r="W44" s="19">
        <f>CF_Gen_2[[#This Row],[Expected_Acquisition]]</f>
        <v>0</v>
      </c>
      <c r="X4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4" s="19">
        <f>-CF_Gen_2[[#This Row],[Probability_of_Inforce]]*CF_Gen_2[[#This Row],[Earned_Premium]]*(1-CF_Gen_2[[#This Row],[Cancellation_Ratio]])*CF_Gen_2[[#This Row],[Loss_Ratio]]</f>
        <v>11792562.215219731</v>
      </c>
      <c r="Z44" s="19">
        <f>CF_Gen_2[[#This Row],[Exp_Claim]]*CF_Gen_2[[#This Row],[Risk_Adjustment_Ratio]]</f>
        <v>1533033.0879785651</v>
      </c>
      <c r="AA44" s="19">
        <f>IF(CF_Gen_2[[#This Row],[Contract]]="RC",-CF_Gen_2[[#This Row],[NPR_Ratio]]*CF_Gen_2[[#This Row],[Exp_Claim]],0)</f>
        <v>-330191.74202615244</v>
      </c>
      <c r="AB44" s="19">
        <f>SUMIFS(Actual_CF[Actual_Premium],Actual_CF[ICG],CF_Gen_2[[#This Row],[ICG]],Actual_CF[Incurred],CF_Gen_2[[#This Row],[Incurred]])</f>
        <v>0</v>
      </c>
      <c r="AC44" s="19">
        <f>SUMIFS(Actual_CF[Actual_Commission],Actual_CF[ICG],CF_Gen_2[[#This Row],[ICG]],Actual_CF[Incurred],CF_Gen_2[[#This Row],[Incurred]])</f>
        <v>0</v>
      </c>
      <c r="AD44" s="19">
        <f>SUMIFS(Actual_CF[Actual_Acquisition],Actual_CF[ICG],CF_Gen_2[[#This Row],[ICG]],Actual_CF[Incurred],CF_Gen_2[[#This Row],[Incurred]])</f>
        <v>0</v>
      </c>
    </row>
    <row r="45" spans="1:30">
      <c r="A45" t="str">
        <f t="shared" si="2"/>
        <v>#2024#RC-Property</v>
      </c>
      <c r="B45">
        <f>_xlfn.XLOOKUP(CF_Gen_2[[#This Row],[ICG]],ICG[ICG],ICG[Cohort])</f>
        <v>2024</v>
      </c>
      <c r="C45" t="str">
        <f>_xlfn.XLOOKUP(CF_Gen_2[[#This Row],[ICG]],ICG[ICG],ICG[Portfolio])</f>
        <v>RC-Property</v>
      </c>
      <c r="D45" t="str">
        <f>_xlfn.XLOOKUP(CF_Gen_2[[#This Row],[ICG]],ICG[ICG],ICG[Contract])</f>
        <v>RC</v>
      </c>
      <c r="E45" s="2">
        <f t="shared" si="0"/>
        <v>45930</v>
      </c>
      <c r="F45">
        <v>44</v>
      </c>
      <c r="G45" s="2">
        <f>EOMONTH(DATE(YEAR(CF_Gen_2[[#This Row],[Valuation]])-1,12,31),CF_Gen_2[[#This Row],['#Incurred]]*3)</f>
        <v>49674</v>
      </c>
      <c r="H45" s="14">
        <f>SUMIFS(Expected_CF[Expected_Premium],Expected_CF[ICG],CF_Gen_2[[#This Row],[ICG]],Expected_CF[Incurred],CF_Gen_2[[#This Row],[Incurred]])</f>
        <v>0</v>
      </c>
      <c r="I45" s="14">
        <f>SUMIFS(Expected_CF[Expected_Commission],Expected_CF[ICG],CF_Gen_2[[#This Row],[ICG]],Expected_CF[Incurred],CF_Gen_2[[#This Row],[Incurred]])</f>
        <v>0</v>
      </c>
      <c r="J45" s="14">
        <f>IF(CF_Gen_2[[#This Row],[Contract]]="IC",SUMIFS(Expected_CF[Expected_Acquisition],Expected_CF[ICG],CF_Gen_2[[#This Row],[ICG]],Expected_CF[Incurred],CF_Gen_2[[#This Row],[Incurred]]),0)</f>
        <v>0</v>
      </c>
      <c r="K45" s="14">
        <f>SUMIFS(Earned[Earned_Premium],Earned[ICG],CF_Gen_2[[#This Row],[ICG]],Earned[Incurred],CF_Gen_2[[#This Row],[Incurred]])</f>
        <v>-689512177.73232985</v>
      </c>
      <c r="L45" s="14">
        <f>SUMIFS(Earned[Earned_Commission],Earned[ICG],CF_Gen_2[[#This Row],[ICG]],Earned[Incurred],CF_Gen_2[[#This Row],[Incurred]])</f>
        <v>224322419.97402832</v>
      </c>
      <c r="M45" s="18">
        <f>_xlfn.XLOOKUP(CF_Gen_2[[#This Row],[ICG]],Assumptions[ICG],Assumptions[Loss_Ratio])</f>
        <v>0.38</v>
      </c>
      <c r="N45" s="18">
        <f>_xlfn.XLOOKUP(CF_Gen_2[[#This Row],[ICG]],Assumptions[ICG],Assumptions[Risk_Adjustment_Ratio])</f>
        <v>0.13</v>
      </c>
      <c r="O45" s="18">
        <f>_xlfn.XLOOKUP(CF_Gen_2[[#This Row],[ICG]],Assumptions[ICG],Assumptions[PME_Ratio])</f>
        <v>0</v>
      </c>
      <c r="P45" s="18">
        <f>_xlfn.XLOOKUP(CF_Gen_2[[#This Row],[ICG]],Assumptions[ICG],Assumptions[ULAE_Ratio])</f>
        <v>0</v>
      </c>
      <c r="Q45" s="18">
        <f>_xlfn.XLOOKUP(CF_Gen_2[[#This Row],[ICG]],Assumptions[ICG],Assumptions[Cancellation_Ratio])</f>
        <v>7.0000000000000007E-2</v>
      </c>
      <c r="R45" s="18">
        <f>_xlfn.XLOOKUP(CF_Gen_2[[#This Row],[ICG]],Assumptions[ICG],Assumptions[Premium_Refund_Ratio])</f>
        <v>0.5</v>
      </c>
      <c r="S45" s="18">
        <f>IF(CF_Gen_2[[#This Row],[Contract]]="RC",_xlfn.XLOOKUP(CF_Gen_2[[#This Row],[ICG]],Assumptions[ICG],Assumptions[NPR_Ratio]),0)</f>
        <v>2.8000000000000001E-2</v>
      </c>
      <c r="T45" s="17">
        <f>T44*(1-CF_Gen_2[[#This Row],[Cancellation_Ratio]])</f>
        <v>4.4133339169941117E-2</v>
      </c>
      <c r="U45" s="19">
        <f>IF(CF_Gen_2[[#This Row],[Incurred]]&lt;=CF_Gen_2[[#This Row],[Valuation]],CF_Gen_2[[#This Row],[Expected_Premium]],-CF_Gen_2[[#This Row],[Probability_of_Inforce]]*CF_Gen_2[[#This Row],[Premium_Refund_Ratio]]*CF_Gen_2[[#This Row],[Cancellation_Ratio]]*SUM(K45:K$105))</f>
        <v>27438646.93255141</v>
      </c>
      <c r="V4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Row],[Cancellation_Ratio]]*SUM(L45:L$105))</f>
        <v>-8594713.4615533296</v>
      </c>
      <c r="W45" s="19">
        <f>CF_Gen_2[[#This Row],[Expected_Acquisition]]</f>
        <v>0</v>
      </c>
      <c r="X4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5" s="19">
        <f>-CF_Gen_2[[#This Row],[Probability_of_Inforce]]*CF_Gen_2[[#This Row],[Earned_Premium]]*(1-CF_Gen_2[[#This Row],[Cancellation_Ratio]])*CF_Gen_2[[#This Row],[Loss_Ratio]]</f>
        <v>10754129.794908635</v>
      </c>
      <c r="Z45" s="19">
        <f>CF_Gen_2[[#This Row],[Exp_Claim]]*CF_Gen_2[[#This Row],[Risk_Adjustment_Ratio]]</f>
        <v>1398036.8733381226</v>
      </c>
      <c r="AA45" s="19">
        <f>IF(CF_Gen_2[[#This Row],[Contract]]="RC",-CF_Gen_2[[#This Row],[NPR_Ratio]]*CF_Gen_2[[#This Row],[Exp_Claim]],0)</f>
        <v>-301115.63425744179</v>
      </c>
      <c r="AB45" s="19">
        <f>SUMIFS(Actual_CF[Actual_Premium],Actual_CF[ICG],CF_Gen_2[[#This Row],[ICG]],Actual_CF[Incurred],CF_Gen_2[[#This Row],[Incurred]])</f>
        <v>0</v>
      </c>
      <c r="AC45" s="19">
        <f>SUMIFS(Actual_CF[Actual_Commission],Actual_CF[ICG],CF_Gen_2[[#This Row],[ICG]],Actual_CF[Incurred],CF_Gen_2[[#This Row],[Incurred]])</f>
        <v>0</v>
      </c>
      <c r="AD45" s="19">
        <f>SUMIFS(Actual_CF[Actual_Acquisition],Actual_CF[ICG],CF_Gen_2[[#This Row],[ICG]],Actual_CF[Incurred],CF_Gen_2[[#This Row],[Incurred]])</f>
        <v>0</v>
      </c>
    </row>
    <row r="46" spans="1:30">
      <c r="A46" t="str">
        <f t="shared" si="2"/>
        <v>#2024#RC-Property</v>
      </c>
      <c r="B46">
        <f>_xlfn.XLOOKUP(CF_Gen_2[[#This Row],[ICG]],ICG[ICG],ICG[Cohort])</f>
        <v>2024</v>
      </c>
      <c r="C46" t="str">
        <f>_xlfn.XLOOKUP(CF_Gen_2[[#This Row],[ICG]],ICG[ICG],ICG[Portfolio])</f>
        <v>RC-Property</v>
      </c>
      <c r="D46" t="str">
        <f>_xlfn.XLOOKUP(CF_Gen_2[[#This Row],[ICG]],ICG[ICG],ICG[Contract])</f>
        <v>RC</v>
      </c>
      <c r="E46" s="2">
        <f t="shared" si="0"/>
        <v>45930</v>
      </c>
      <c r="F46">
        <v>45</v>
      </c>
      <c r="G46" s="2">
        <f>EOMONTH(DATE(YEAR(CF_Gen_2[[#This Row],[Valuation]])-1,12,31),CF_Gen_2[[#This Row],['#Incurred]]*3)</f>
        <v>49765</v>
      </c>
      <c r="H46" s="14">
        <f>SUMIFS(Expected_CF[Expected_Premium],Expected_CF[ICG],CF_Gen_2[[#This Row],[ICG]],Expected_CF[Incurred],CF_Gen_2[[#This Row],[Incurred]])</f>
        <v>0</v>
      </c>
      <c r="I46" s="14">
        <f>SUMIFS(Expected_CF[Expected_Commission],Expected_CF[ICG],CF_Gen_2[[#This Row],[ICG]],Expected_CF[Incurred],CF_Gen_2[[#This Row],[Incurred]])</f>
        <v>0</v>
      </c>
      <c r="J46" s="14">
        <f>IF(CF_Gen_2[[#This Row],[Contract]]="IC",SUMIFS(Expected_CF[Expected_Acquisition],Expected_CF[ICG],CF_Gen_2[[#This Row],[ICG]],Expected_CF[Incurred],CF_Gen_2[[#This Row],[Incurred]]),0)</f>
        <v>0</v>
      </c>
      <c r="K46" s="14">
        <f>SUMIFS(Earned[Earned_Premium],Earned[ICG],CF_Gen_2[[#This Row],[ICG]],Earned[Incurred],CF_Gen_2[[#This Row],[Incurred]])</f>
        <v>-675858471.24258077</v>
      </c>
      <c r="L46" s="14">
        <f>SUMIFS(Earned[Earned_Commission],Earned[ICG],CF_Gen_2[[#This Row],[ICG]],Earned[Incurred],CF_Gen_2[[#This Row],[Incurred]])</f>
        <v>219697215.43848139</v>
      </c>
      <c r="M46" s="18">
        <f>_xlfn.XLOOKUP(CF_Gen_2[[#This Row],[ICG]],Assumptions[ICG],Assumptions[Loss_Ratio])</f>
        <v>0.38</v>
      </c>
      <c r="N46" s="18">
        <f>_xlfn.XLOOKUP(CF_Gen_2[[#This Row],[ICG]],Assumptions[ICG],Assumptions[Risk_Adjustment_Ratio])</f>
        <v>0.13</v>
      </c>
      <c r="O46" s="18">
        <f>_xlfn.XLOOKUP(CF_Gen_2[[#This Row],[ICG]],Assumptions[ICG],Assumptions[PME_Ratio])</f>
        <v>0</v>
      </c>
      <c r="P46" s="18">
        <f>_xlfn.XLOOKUP(CF_Gen_2[[#This Row],[ICG]],Assumptions[ICG],Assumptions[ULAE_Ratio])</f>
        <v>0</v>
      </c>
      <c r="Q46" s="18">
        <f>_xlfn.XLOOKUP(CF_Gen_2[[#This Row],[ICG]],Assumptions[ICG],Assumptions[Cancellation_Ratio])</f>
        <v>7.0000000000000007E-2</v>
      </c>
      <c r="R46" s="18">
        <f>_xlfn.XLOOKUP(CF_Gen_2[[#This Row],[ICG]],Assumptions[ICG],Assumptions[Premium_Refund_Ratio])</f>
        <v>0.5</v>
      </c>
      <c r="S46" s="18">
        <f>IF(CF_Gen_2[[#This Row],[Contract]]="RC",_xlfn.XLOOKUP(CF_Gen_2[[#This Row],[ICG]],Assumptions[ICG],Assumptions[NPR_Ratio]),0)</f>
        <v>2.8000000000000001E-2</v>
      </c>
      <c r="T46" s="17">
        <f>T45*(1-CF_Gen_2[[#This Row],[Cancellation_Ratio]])</f>
        <v>4.104400542804524E-2</v>
      </c>
      <c r="U46" s="19">
        <f>IF(CF_Gen_2[[#This Row],[Incurred]]&lt;=CF_Gen_2[[#This Row],[Valuation]],CF_Gen_2[[#This Row],[Expected_Premium]],-CF_Gen_2[[#This Row],[Probability_of_Inforce]]*CF_Gen_2[[#This Row],[Premium_Refund_Ratio]]*CF_Gen_2[[#This Row],[Cancellation_Ratio]]*SUM(K46:K$105))</f>
        <v>24527429.692478586</v>
      </c>
      <c r="V4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Row],[Cancellation_Ratio]]*SUM(L46:L$105))</f>
        <v>-7670835.3474379778</v>
      </c>
      <c r="W46" s="19">
        <f>CF_Gen_2[[#This Row],[Expected_Acquisition]]</f>
        <v>0</v>
      </c>
      <c r="X4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6" s="19">
        <f>-CF_Gen_2[[#This Row],[Probability_of_Inforce]]*CF_Gen_2[[#This Row],[Earned_Premium]]*(1-CF_Gen_2[[#This Row],[Cancellation_Ratio]])*CF_Gen_2[[#This Row],[Loss_Ratio]]</f>
        <v>9803294.3585865144</v>
      </c>
      <c r="Z46" s="19">
        <f>CF_Gen_2[[#This Row],[Exp_Claim]]*CF_Gen_2[[#This Row],[Risk_Adjustment_Ratio]]</f>
        <v>1274428.2666162469</v>
      </c>
      <c r="AA46" s="19">
        <f>IF(CF_Gen_2[[#This Row],[Contract]]="RC",-CF_Gen_2[[#This Row],[NPR_Ratio]]*CF_Gen_2[[#This Row],[Exp_Claim]],0)</f>
        <v>-274492.2420404224</v>
      </c>
      <c r="AB46" s="19">
        <f>SUMIFS(Actual_CF[Actual_Premium],Actual_CF[ICG],CF_Gen_2[[#This Row],[ICG]],Actual_CF[Incurred],CF_Gen_2[[#This Row],[Incurred]])</f>
        <v>0</v>
      </c>
      <c r="AC46" s="19">
        <f>SUMIFS(Actual_CF[Actual_Commission],Actual_CF[ICG],CF_Gen_2[[#This Row],[ICG]],Actual_CF[Incurred],CF_Gen_2[[#This Row],[Incurred]])</f>
        <v>0</v>
      </c>
      <c r="AD46" s="19">
        <f>SUMIFS(Actual_CF[Actual_Acquisition],Actual_CF[ICG],CF_Gen_2[[#This Row],[ICG]],Actual_CF[Incurred],CF_Gen_2[[#This Row],[Incurred]])</f>
        <v>0</v>
      </c>
    </row>
    <row r="47" spans="1:30">
      <c r="A47" t="str">
        <f t="shared" si="2"/>
        <v>#2024#RC-Property</v>
      </c>
      <c r="B47">
        <f>_xlfn.XLOOKUP(CF_Gen_2[[#This Row],[ICG]],ICG[ICG],ICG[Cohort])</f>
        <v>2024</v>
      </c>
      <c r="C47" t="str">
        <f>_xlfn.XLOOKUP(CF_Gen_2[[#This Row],[ICG]],ICG[ICG],ICG[Portfolio])</f>
        <v>RC-Property</v>
      </c>
      <c r="D47" t="str">
        <f>_xlfn.XLOOKUP(CF_Gen_2[[#This Row],[ICG]],ICG[ICG],ICG[Contract])</f>
        <v>RC</v>
      </c>
      <c r="E47" s="2">
        <f t="shared" si="0"/>
        <v>45930</v>
      </c>
      <c r="F47">
        <v>46</v>
      </c>
      <c r="G47" s="2">
        <f>EOMONTH(DATE(YEAR(CF_Gen_2[[#This Row],[Valuation]])-1,12,31),CF_Gen_2[[#This Row],['#Incurred]]*3)</f>
        <v>49856</v>
      </c>
      <c r="H47" s="14">
        <f>SUMIFS(Expected_CF[Expected_Premium],Expected_CF[ICG],CF_Gen_2[[#This Row],[ICG]],Expected_CF[Incurred],CF_Gen_2[[#This Row],[Incurred]])</f>
        <v>0</v>
      </c>
      <c r="I47" s="14">
        <f>SUMIFS(Expected_CF[Expected_Commission],Expected_CF[ICG],CF_Gen_2[[#This Row],[ICG]],Expected_CF[Incurred],CF_Gen_2[[#This Row],[Incurred]])</f>
        <v>0</v>
      </c>
      <c r="J47" s="14">
        <f>IF(CF_Gen_2[[#This Row],[Contract]]="IC",SUMIFS(Expected_CF[Expected_Acquisition],Expected_CF[ICG],CF_Gen_2[[#This Row],[ICG]],Expected_CF[Incurred],CF_Gen_2[[#This Row],[Incurred]]),0)</f>
        <v>0</v>
      </c>
      <c r="K47" s="14">
        <f>SUMIFS(Earned[Earned_Premium],Earned[ICG],CF_Gen_2[[#This Row],[ICG]],Earned[Incurred],CF_Gen_2[[#This Row],[Incurred]])</f>
        <v>-662204764.7528317</v>
      </c>
      <c r="L47" s="14">
        <f>SUMIFS(Earned[Earned_Commission],Earned[ICG],CF_Gen_2[[#This Row],[ICG]],Earned[Incurred],CF_Gen_2[[#This Row],[Incurred]])</f>
        <v>215072010.90293437</v>
      </c>
      <c r="M47" s="18">
        <f>_xlfn.XLOOKUP(CF_Gen_2[[#This Row],[ICG]],Assumptions[ICG],Assumptions[Loss_Ratio])</f>
        <v>0.38</v>
      </c>
      <c r="N47" s="18">
        <f>_xlfn.XLOOKUP(CF_Gen_2[[#This Row],[ICG]],Assumptions[ICG],Assumptions[Risk_Adjustment_Ratio])</f>
        <v>0.13</v>
      </c>
      <c r="O47" s="18">
        <f>_xlfn.XLOOKUP(CF_Gen_2[[#This Row],[ICG]],Assumptions[ICG],Assumptions[PME_Ratio])</f>
        <v>0</v>
      </c>
      <c r="P47" s="18">
        <f>_xlfn.XLOOKUP(CF_Gen_2[[#This Row],[ICG]],Assumptions[ICG],Assumptions[ULAE_Ratio])</f>
        <v>0</v>
      </c>
      <c r="Q47" s="18">
        <f>_xlfn.XLOOKUP(CF_Gen_2[[#This Row],[ICG]],Assumptions[ICG],Assumptions[Cancellation_Ratio])</f>
        <v>7.0000000000000007E-2</v>
      </c>
      <c r="R47" s="18">
        <f>_xlfn.XLOOKUP(CF_Gen_2[[#This Row],[ICG]],Assumptions[ICG],Assumptions[Premium_Refund_Ratio])</f>
        <v>0.5</v>
      </c>
      <c r="S47" s="18">
        <f>IF(CF_Gen_2[[#This Row],[Contract]]="RC",_xlfn.XLOOKUP(CF_Gen_2[[#This Row],[ICG]],Assumptions[ICG],Assumptions[NPR_Ratio]),0)</f>
        <v>2.8000000000000001E-2</v>
      </c>
      <c r="T47" s="17">
        <f>T46*(1-CF_Gen_2[[#This Row],[Cancellation_Ratio]])</f>
        <v>3.8170925048082067E-2</v>
      </c>
      <c r="U47" s="19">
        <f>IF(CF_Gen_2[[#This Row],[Incurred]]&lt;=CF_Gen_2[[#This Row],[Valuation]],CF_Gen_2[[#This Row],[Expected_Premium]],-CF_Gen_2[[#This Row],[Probability_of_Inforce]]*CF_Gen_2[[#This Row],[Premium_Refund_Ratio]]*CF_Gen_2[[#This Row],[Cancellation_Ratio]]*SUM(K47:K$105))</f>
        <v>21907574.607293162</v>
      </c>
      <c r="V4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Row],[Cancellation_Ratio]]*SUM(L47:L$105))</f>
        <v>-6840365.2650852064</v>
      </c>
      <c r="W47" s="19">
        <f>CF_Gen_2[[#This Row],[Expected_Acquisition]]</f>
        <v>0</v>
      </c>
      <c r="X4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7" s="19">
        <f>-CF_Gen_2[[#This Row],[Probability_of_Inforce]]*CF_Gen_2[[#This Row],[Earned_Premium]]*(1-CF_Gen_2[[#This Row],[Cancellation_Ratio]])*CF_Gen_2[[#This Row],[Loss_Ratio]]</f>
        <v>8932880.6473544389</v>
      </c>
      <c r="Z47" s="19">
        <f>CF_Gen_2[[#This Row],[Exp_Claim]]*CF_Gen_2[[#This Row],[Risk_Adjustment_Ratio]]</f>
        <v>1161274.484156077</v>
      </c>
      <c r="AA47" s="19">
        <f>IF(CF_Gen_2[[#This Row],[Contract]]="RC",-CF_Gen_2[[#This Row],[NPR_Ratio]]*CF_Gen_2[[#This Row],[Exp_Claim]],0)</f>
        <v>-250120.6581259243</v>
      </c>
      <c r="AB47" s="19">
        <f>SUMIFS(Actual_CF[Actual_Premium],Actual_CF[ICG],CF_Gen_2[[#This Row],[ICG]],Actual_CF[Incurred],CF_Gen_2[[#This Row],[Incurred]])</f>
        <v>0</v>
      </c>
      <c r="AC47" s="19">
        <f>SUMIFS(Actual_CF[Actual_Commission],Actual_CF[ICG],CF_Gen_2[[#This Row],[ICG]],Actual_CF[Incurred],CF_Gen_2[[#This Row],[Incurred]])</f>
        <v>0</v>
      </c>
      <c r="AD47" s="19">
        <f>SUMIFS(Actual_CF[Actual_Acquisition],Actual_CF[ICG],CF_Gen_2[[#This Row],[ICG]],Actual_CF[Incurred],CF_Gen_2[[#This Row],[Incurred]])</f>
        <v>0</v>
      </c>
    </row>
    <row r="48" spans="1:30">
      <c r="A48" t="str">
        <f t="shared" si="2"/>
        <v>#2024#RC-Property</v>
      </c>
      <c r="B48">
        <f>_xlfn.XLOOKUP(CF_Gen_2[[#This Row],[ICG]],ICG[ICG],ICG[Cohort])</f>
        <v>2024</v>
      </c>
      <c r="C48" t="str">
        <f>_xlfn.XLOOKUP(CF_Gen_2[[#This Row],[ICG]],ICG[ICG],ICG[Portfolio])</f>
        <v>RC-Property</v>
      </c>
      <c r="D48" t="str">
        <f>_xlfn.XLOOKUP(CF_Gen_2[[#This Row],[ICG]],ICG[ICG],ICG[Contract])</f>
        <v>RC</v>
      </c>
      <c r="E48" s="2">
        <f t="shared" si="0"/>
        <v>45930</v>
      </c>
      <c r="F48">
        <v>47</v>
      </c>
      <c r="G48" s="2">
        <f>EOMONTH(DATE(YEAR(CF_Gen_2[[#This Row],[Valuation]])-1,12,31),CF_Gen_2[[#This Row],['#Incurred]]*3)</f>
        <v>49948</v>
      </c>
      <c r="H48" s="14">
        <f>SUMIFS(Expected_CF[Expected_Premium],Expected_CF[ICG],CF_Gen_2[[#This Row],[ICG]],Expected_CF[Incurred],CF_Gen_2[[#This Row],[Incurred]])</f>
        <v>0</v>
      </c>
      <c r="I48" s="14">
        <f>SUMIFS(Expected_CF[Expected_Commission],Expected_CF[ICG],CF_Gen_2[[#This Row],[ICG]],Expected_CF[Incurred],CF_Gen_2[[#This Row],[Incurred]])</f>
        <v>0</v>
      </c>
      <c r="J48" s="14">
        <f>IF(CF_Gen_2[[#This Row],[Contract]]="IC",SUMIFS(Expected_CF[Expected_Acquisition],Expected_CF[ICG],CF_Gen_2[[#This Row],[ICG]],Expected_CF[Incurred],CF_Gen_2[[#This Row],[Incurred]]),0)</f>
        <v>0</v>
      </c>
      <c r="K48" s="14">
        <f>SUMIFS(Earned[Earned_Premium],Earned[ICG],CF_Gen_2[[#This Row],[ICG]],Earned[Incurred],CF_Gen_2[[#This Row],[Incurred]])</f>
        <v>-648551058.26308262</v>
      </c>
      <c r="L48" s="14">
        <f>SUMIFS(Earned[Earned_Commission],Earned[ICG],CF_Gen_2[[#This Row],[ICG]],Earned[Incurred],CF_Gen_2[[#This Row],[Incurred]])</f>
        <v>210446806.36738738</v>
      </c>
      <c r="M48" s="18">
        <f>_xlfn.XLOOKUP(CF_Gen_2[[#This Row],[ICG]],Assumptions[ICG],Assumptions[Loss_Ratio])</f>
        <v>0.38</v>
      </c>
      <c r="N48" s="18">
        <f>_xlfn.XLOOKUP(CF_Gen_2[[#This Row],[ICG]],Assumptions[ICG],Assumptions[Risk_Adjustment_Ratio])</f>
        <v>0.13</v>
      </c>
      <c r="O48" s="18">
        <f>_xlfn.XLOOKUP(CF_Gen_2[[#This Row],[ICG]],Assumptions[ICG],Assumptions[PME_Ratio])</f>
        <v>0</v>
      </c>
      <c r="P48" s="18">
        <f>_xlfn.XLOOKUP(CF_Gen_2[[#This Row],[ICG]],Assumptions[ICG],Assumptions[ULAE_Ratio])</f>
        <v>0</v>
      </c>
      <c r="Q48" s="18">
        <f>_xlfn.XLOOKUP(CF_Gen_2[[#This Row],[ICG]],Assumptions[ICG],Assumptions[Cancellation_Ratio])</f>
        <v>7.0000000000000007E-2</v>
      </c>
      <c r="R48" s="18">
        <f>_xlfn.XLOOKUP(CF_Gen_2[[#This Row],[ICG]],Assumptions[ICG],Assumptions[Premium_Refund_Ratio])</f>
        <v>0.5</v>
      </c>
      <c r="S48" s="18">
        <f>IF(CF_Gen_2[[#This Row],[Contract]]="RC",_xlfn.XLOOKUP(CF_Gen_2[[#This Row],[ICG]],Assumptions[ICG],Assumptions[NPR_Ratio]),0)</f>
        <v>2.8000000000000001E-2</v>
      </c>
      <c r="T48" s="17">
        <f>T47*(1-CF_Gen_2[[#This Row],[Cancellation_Ratio]])</f>
        <v>3.5498960294716324E-2</v>
      </c>
      <c r="U48" s="19">
        <f>IF(CF_Gen_2[[#This Row],[Incurred]]&lt;=CF_Gen_2[[#This Row],[Valuation]],CF_Gen_2[[#This Row],[Expected_Premium]],-CF_Gen_2[[#This Row],[Probability_of_Inforce]]*CF_Gen_2[[#This Row],[Premium_Refund_Ratio]]*CF_Gen_2[[#This Row],[Cancellation_Ratio]]*SUM(K48:K$105))</f>
        <v>19551279.061999999</v>
      </c>
      <c r="V4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Row],[Cancellation_Ratio]]*SUM(L48:L$105))</f>
        <v>-6094320.5493850596</v>
      </c>
      <c r="W48" s="19">
        <f>CF_Gen_2[[#This Row],[Expected_Acquisition]]</f>
        <v>0</v>
      </c>
      <c r="X4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8" s="19">
        <f>-CF_Gen_2[[#This Row],[Probability_of_Inforce]]*CF_Gen_2[[#This Row],[Earned_Premium]]*(1-CF_Gen_2[[#This Row],[Cancellation_Ratio]])*CF_Gen_2[[#This Row],[Loss_Ratio]]</f>
        <v>8136288.7133377818</v>
      </c>
      <c r="Z48" s="19">
        <f>CF_Gen_2[[#This Row],[Exp_Claim]]*CF_Gen_2[[#This Row],[Risk_Adjustment_Ratio]]</f>
        <v>1057717.5327339116</v>
      </c>
      <c r="AA48" s="19">
        <f>IF(CF_Gen_2[[#This Row],[Contract]]="RC",-CF_Gen_2[[#This Row],[NPR_Ratio]]*CF_Gen_2[[#This Row],[Exp_Claim]],0)</f>
        <v>-227816.08397345789</v>
      </c>
      <c r="AB48" s="19">
        <f>SUMIFS(Actual_CF[Actual_Premium],Actual_CF[ICG],CF_Gen_2[[#This Row],[ICG]],Actual_CF[Incurred],CF_Gen_2[[#This Row],[Incurred]])</f>
        <v>0</v>
      </c>
      <c r="AC48" s="19">
        <f>SUMIFS(Actual_CF[Actual_Commission],Actual_CF[ICG],CF_Gen_2[[#This Row],[ICG]],Actual_CF[Incurred],CF_Gen_2[[#This Row],[Incurred]])</f>
        <v>0</v>
      </c>
      <c r="AD48" s="19">
        <f>SUMIFS(Actual_CF[Actual_Acquisition],Actual_CF[ICG],CF_Gen_2[[#This Row],[ICG]],Actual_CF[Incurred],CF_Gen_2[[#This Row],[Incurred]])</f>
        <v>0</v>
      </c>
    </row>
    <row r="49" spans="1:30">
      <c r="A49" t="str">
        <f t="shared" si="2"/>
        <v>#2024#RC-Property</v>
      </c>
      <c r="B49">
        <f>_xlfn.XLOOKUP(CF_Gen_2[[#This Row],[ICG]],ICG[ICG],ICG[Cohort])</f>
        <v>2024</v>
      </c>
      <c r="C49" t="str">
        <f>_xlfn.XLOOKUP(CF_Gen_2[[#This Row],[ICG]],ICG[ICG],ICG[Portfolio])</f>
        <v>RC-Property</v>
      </c>
      <c r="D49" t="str">
        <f>_xlfn.XLOOKUP(CF_Gen_2[[#This Row],[ICG]],ICG[ICG],ICG[Contract])</f>
        <v>RC</v>
      </c>
      <c r="E49" s="2">
        <f t="shared" si="0"/>
        <v>45930</v>
      </c>
      <c r="F49">
        <v>48</v>
      </c>
      <c r="G49" s="2">
        <f>EOMONTH(DATE(YEAR(CF_Gen_2[[#This Row],[Valuation]])-1,12,31),CF_Gen_2[[#This Row],['#Incurred]]*3)</f>
        <v>50040</v>
      </c>
      <c r="H49" s="14">
        <f>SUMIFS(Expected_CF[Expected_Premium],Expected_CF[ICG],CF_Gen_2[[#This Row],[ICG]],Expected_CF[Incurred],CF_Gen_2[[#This Row],[Incurred]])</f>
        <v>0</v>
      </c>
      <c r="I49" s="14">
        <f>SUMIFS(Expected_CF[Expected_Commission],Expected_CF[ICG],CF_Gen_2[[#This Row],[ICG]],Expected_CF[Incurred],CF_Gen_2[[#This Row],[Incurred]])</f>
        <v>0</v>
      </c>
      <c r="J49" s="14">
        <f>IF(CF_Gen_2[[#This Row],[Contract]]="IC",SUMIFS(Expected_CF[Expected_Acquisition],Expected_CF[ICG],CF_Gen_2[[#This Row],[ICG]],Expected_CF[Incurred],CF_Gen_2[[#This Row],[Incurred]]),0)</f>
        <v>0</v>
      </c>
      <c r="K49" s="14">
        <f>SUMIFS(Earned[Earned_Premium],Earned[ICG],CF_Gen_2[[#This Row],[ICG]],Earned[Incurred],CF_Gen_2[[#This Row],[Incurred]])</f>
        <v>-634897351.77333367</v>
      </c>
      <c r="L49" s="14">
        <f>SUMIFS(Earned[Earned_Commission],Earned[ICG],CF_Gen_2[[#This Row],[ICG]],Earned[Incurred],CF_Gen_2[[#This Row],[Incurred]])</f>
        <v>205821601.83184043</v>
      </c>
      <c r="M49" s="18">
        <f>_xlfn.XLOOKUP(CF_Gen_2[[#This Row],[ICG]],Assumptions[ICG],Assumptions[Loss_Ratio])</f>
        <v>0.38</v>
      </c>
      <c r="N49" s="18">
        <f>_xlfn.XLOOKUP(CF_Gen_2[[#This Row],[ICG]],Assumptions[ICG],Assumptions[Risk_Adjustment_Ratio])</f>
        <v>0.13</v>
      </c>
      <c r="O49" s="18">
        <f>_xlfn.XLOOKUP(CF_Gen_2[[#This Row],[ICG]],Assumptions[ICG],Assumptions[PME_Ratio])</f>
        <v>0</v>
      </c>
      <c r="P49" s="18">
        <f>_xlfn.XLOOKUP(CF_Gen_2[[#This Row],[ICG]],Assumptions[ICG],Assumptions[ULAE_Ratio])</f>
        <v>0</v>
      </c>
      <c r="Q49" s="18">
        <f>_xlfn.XLOOKUP(CF_Gen_2[[#This Row],[ICG]],Assumptions[ICG],Assumptions[Cancellation_Ratio])</f>
        <v>7.0000000000000007E-2</v>
      </c>
      <c r="R49" s="18">
        <f>_xlfn.XLOOKUP(CF_Gen_2[[#This Row],[ICG]],Assumptions[ICG],Assumptions[Premium_Refund_Ratio])</f>
        <v>0.5</v>
      </c>
      <c r="S49" s="18">
        <f>IF(CF_Gen_2[[#This Row],[Contract]]="RC",_xlfn.XLOOKUP(CF_Gen_2[[#This Row],[ICG]],Assumptions[ICG],Assumptions[NPR_Ratio]),0)</f>
        <v>2.8000000000000001E-2</v>
      </c>
      <c r="T49" s="17">
        <f>T48*(1-CF_Gen_2[[#This Row],[Cancellation_Ratio]])</f>
        <v>3.301403307408618E-2</v>
      </c>
      <c r="U49" s="19">
        <f>IF(CF_Gen_2[[#This Row],[Incurred]]&lt;=CF_Gen_2[[#This Row],[Valuation]],CF_Gen_2[[#This Row],[Expected_Premium]],-CF_Gen_2[[#This Row],[Probability_of_Inforce]]*CF_Gen_2[[#This Row],[Premium_Refund_Ratio]]*CF_Gen_2[[#This Row],[Cancellation_Ratio]]*SUM(K49:K$105))</f>
        <v>17433294.514589414</v>
      </c>
      <c r="V4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Row],[Cancellation_Ratio]]*SUM(L49:L$105))</f>
        <v>-5424548.6870269002</v>
      </c>
      <c r="W49" s="19">
        <f>CF_Gen_2[[#This Row],[Expected_Acquisition]]</f>
        <v>0</v>
      </c>
      <c r="X4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49" s="19">
        <f>-CF_Gen_2[[#This Row],[Probability_of_Inforce]]*CF_Gen_2[[#This Row],[Earned_Premium]]*(1-CF_Gen_2[[#This Row],[Cancellation_Ratio]])*CF_Gen_2[[#This Row],[Loss_Ratio]]</f>
        <v>7407448.5349114193</v>
      </c>
      <c r="Z49" s="19">
        <f>CF_Gen_2[[#This Row],[Exp_Claim]]*CF_Gen_2[[#This Row],[Risk_Adjustment_Ratio]]</f>
        <v>962968.30953848455</v>
      </c>
      <c r="AA49" s="19">
        <f>IF(CF_Gen_2[[#This Row],[Contract]]="RC",-CF_Gen_2[[#This Row],[NPR_Ratio]]*CF_Gen_2[[#This Row],[Exp_Claim]],0)</f>
        <v>-207408.55897751974</v>
      </c>
      <c r="AB49" s="19">
        <f>SUMIFS(Actual_CF[Actual_Premium],Actual_CF[ICG],CF_Gen_2[[#This Row],[ICG]],Actual_CF[Incurred],CF_Gen_2[[#This Row],[Incurred]])</f>
        <v>0</v>
      </c>
      <c r="AC49" s="19">
        <f>SUMIFS(Actual_CF[Actual_Commission],Actual_CF[ICG],CF_Gen_2[[#This Row],[ICG]],Actual_CF[Incurred],CF_Gen_2[[#This Row],[Incurred]])</f>
        <v>0</v>
      </c>
      <c r="AD49" s="19">
        <f>SUMIFS(Actual_CF[Actual_Acquisition],Actual_CF[ICG],CF_Gen_2[[#This Row],[ICG]],Actual_CF[Incurred],CF_Gen_2[[#This Row],[Incurred]])</f>
        <v>0</v>
      </c>
    </row>
    <row r="50" spans="1:30">
      <c r="A50" t="str">
        <f t="shared" si="2"/>
        <v>#2024#RC-Property</v>
      </c>
      <c r="B50">
        <f>_xlfn.XLOOKUP(CF_Gen_2[[#This Row],[ICG]],ICG[ICG],ICG[Cohort])</f>
        <v>2024</v>
      </c>
      <c r="C50" t="str">
        <f>_xlfn.XLOOKUP(CF_Gen_2[[#This Row],[ICG]],ICG[ICG],ICG[Portfolio])</f>
        <v>RC-Property</v>
      </c>
      <c r="D50" t="str">
        <f>_xlfn.XLOOKUP(CF_Gen_2[[#This Row],[ICG]],ICG[ICG],ICG[Contract])</f>
        <v>RC</v>
      </c>
      <c r="E50" s="2">
        <f t="shared" si="0"/>
        <v>45930</v>
      </c>
      <c r="F50">
        <v>49</v>
      </c>
      <c r="G50" s="2">
        <f>EOMONTH(DATE(YEAR(CF_Gen_2[[#This Row],[Valuation]])-1,12,31),CF_Gen_2[[#This Row],['#Incurred]]*3)</f>
        <v>50130</v>
      </c>
      <c r="H50" s="14">
        <f>SUMIFS(Expected_CF[Expected_Premium],Expected_CF[ICG],CF_Gen_2[[#This Row],[ICG]],Expected_CF[Incurred],CF_Gen_2[[#This Row],[Incurred]])</f>
        <v>0</v>
      </c>
      <c r="I50" s="14">
        <f>SUMIFS(Expected_CF[Expected_Commission],Expected_CF[ICG],CF_Gen_2[[#This Row],[ICG]],Expected_CF[Incurred],CF_Gen_2[[#This Row],[Incurred]])</f>
        <v>0</v>
      </c>
      <c r="J50" s="14">
        <f>IF(CF_Gen_2[[#This Row],[Contract]]="IC",SUMIFS(Expected_CF[Expected_Acquisition],Expected_CF[ICG],CF_Gen_2[[#This Row],[ICG]],Expected_CF[Incurred],CF_Gen_2[[#This Row],[Incurred]]),0)</f>
        <v>0</v>
      </c>
      <c r="K50" s="14">
        <f>SUMIFS(Earned[Earned_Premium],Earned[ICG],CF_Gen_2[[#This Row],[ICG]],Earned[Incurred],CF_Gen_2[[#This Row],[Incurred]])</f>
        <v>-621243645.28358459</v>
      </c>
      <c r="L50" s="14">
        <f>SUMIFS(Earned[Earned_Commission],Earned[ICG],CF_Gen_2[[#This Row],[ICG]],Earned[Incurred],CF_Gen_2[[#This Row],[Incurred]])</f>
        <v>201196397.2962935</v>
      </c>
      <c r="M50" s="18">
        <f>_xlfn.XLOOKUP(CF_Gen_2[[#This Row],[ICG]],Assumptions[ICG],Assumptions[Loss_Ratio])</f>
        <v>0.38</v>
      </c>
      <c r="N50" s="18">
        <f>_xlfn.XLOOKUP(CF_Gen_2[[#This Row],[ICG]],Assumptions[ICG],Assumptions[Risk_Adjustment_Ratio])</f>
        <v>0.13</v>
      </c>
      <c r="O50" s="18">
        <f>_xlfn.XLOOKUP(CF_Gen_2[[#This Row],[ICG]],Assumptions[ICG],Assumptions[PME_Ratio])</f>
        <v>0</v>
      </c>
      <c r="P50" s="18">
        <f>_xlfn.XLOOKUP(CF_Gen_2[[#This Row],[ICG]],Assumptions[ICG],Assumptions[ULAE_Ratio])</f>
        <v>0</v>
      </c>
      <c r="Q50" s="18">
        <f>_xlfn.XLOOKUP(CF_Gen_2[[#This Row],[ICG]],Assumptions[ICG],Assumptions[Cancellation_Ratio])</f>
        <v>7.0000000000000007E-2</v>
      </c>
      <c r="R50" s="18">
        <f>_xlfn.XLOOKUP(CF_Gen_2[[#This Row],[ICG]],Assumptions[ICG],Assumptions[Premium_Refund_Ratio])</f>
        <v>0.5</v>
      </c>
      <c r="S50" s="18">
        <f>IF(CF_Gen_2[[#This Row],[Contract]]="RC",_xlfn.XLOOKUP(CF_Gen_2[[#This Row],[ICG]],Assumptions[ICG],Assumptions[NPR_Ratio]),0)</f>
        <v>2.8000000000000001E-2</v>
      </c>
      <c r="T50" s="17">
        <f>T49*(1-CF_Gen_2[[#This Row],[Cancellation_Ratio]])</f>
        <v>3.0703050758900147E-2</v>
      </c>
      <c r="U50" s="19">
        <f>IF(CF_Gen_2[[#This Row],[Incurred]]&lt;=CF_Gen_2[[#This Row],[Valuation]],CF_Gen_2[[#This Row],[Expected_Premium]],-CF_Gen_2[[#This Row],[Probability_of_Inforce]]*CF_Gen_2[[#This Row],[Premium_Refund_Ratio]]*CF_Gen_2[[#This Row],[Cancellation_Ratio]]*SUM(K50:K$105))</f>
        <v>15530698.901931575</v>
      </c>
      <c r="V5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Row],[Cancellation_Ratio]]*SUM(L50:L$105))</f>
        <v>-4823652.9908437766</v>
      </c>
      <c r="W50" s="19">
        <f>CF_Gen_2[[#This Row],[Expected_Acquisition]]</f>
        <v>0</v>
      </c>
      <c r="X5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0" s="19">
        <f>-CF_Gen_2[[#This Row],[Probability_of_Inforce]]*CF_Gen_2[[#This Row],[Earned_Premium]]*(1-CF_Gen_2[[#This Row],[Cancellation_Ratio]])*CF_Gen_2[[#This Row],[Loss_Ratio]]</f>
        <v>6740778.1667693919</v>
      </c>
      <c r="Z50" s="19">
        <f>CF_Gen_2[[#This Row],[Exp_Claim]]*CF_Gen_2[[#This Row],[Risk_Adjustment_Ratio]]</f>
        <v>876301.16168002097</v>
      </c>
      <c r="AA50" s="19">
        <f>IF(CF_Gen_2[[#This Row],[Contract]]="RC",-CF_Gen_2[[#This Row],[NPR_Ratio]]*CF_Gen_2[[#This Row],[Exp_Claim]],0)</f>
        <v>-188741.78866954296</v>
      </c>
      <c r="AB50" s="19">
        <f>SUMIFS(Actual_CF[Actual_Premium],Actual_CF[ICG],CF_Gen_2[[#This Row],[ICG]],Actual_CF[Incurred],CF_Gen_2[[#This Row],[Incurred]])</f>
        <v>0</v>
      </c>
      <c r="AC50" s="19">
        <f>SUMIFS(Actual_CF[Actual_Commission],Actual_CF[ICG],CF_Gen_2[[#This Row],[ICG]],Actual_CF[Incurred],CF_Gen_2[[#This Row],[Incurred]])</f>
        <v>0</v>
      </c>
      <c r="AD50" s="19">
        <f>SUMIFS(Actual_CF[Actual_Acquisition],Actual_CF[ICG],CF_Gen_2[[#This Row],[ICG]],Actual_CF[Incurred],CF_Gen_2[[#This Row],[Incurred]])</f>
        <v>0</v>
      </c>
    </row>
    <row r="51" spans="1:30">
      <c r="A51" t="str">
        <f t="shared" si="2"/>
        <v>#2024#RC-Property</v>
      </c>
      <c r="B51">
        <f>_xlfn.XLOOKUP(CF_Gen_2[[#This Row],[ICG]],ICG[ICG],ICG[Cohort])</f>
        <v>2024</v>
      </c>
      <c r="C51" t="str">
        <f>_xlfn.XLOOKUP(CF_Gen_2[[#This Row],[ICG]],ICG[ICG],ICG[Portfolio])</f>
        <v>RC-Property</v>
      </c>
      <c r="D51" t="str">
        <f>_xlfn.XLOOKUP(CF_Gen_2[[#This Row],[ICG]],ICG[ICG],ICG[Contract])</f>
        <v>RC</v>
      </c>
      <c r="E51" s="2">
        <f t="shared" si="0"/>
        <v>45930</v>
      </c>
      <c r="F51">
        <v>50</v>
      </c>
      <c r="G51" s="2">
        <f>EOMONTH(DATE(YEAR(CF_Gen_2[[#This Row],[Valuation]])-1,12,31),CF_Gen_2[[#This Row],['#Incurred]]*3)</f>
        <v>50221</v>
      </c>
      <c r="H51" s="14">
        <f>SUMIFS(Expected_CF[Expected_Premium],Expected_CF[ICG],CF_Gen_2[[#This Row],[ICG]],Expected_CF[Incurred],CF_Gen_2[[#This Row],[Incurred]])</f>
        <v>0</v>
      </c>
      <c r="I51" s="14">
        <f>SUMIFS(Expected_CF[Expected_Commission],Expected_CF[ICG],CF_Gen_2[[#This Row],[ICG]],Expected_CF[Incurred],CF_Gen_2[[#This Row],[Incurred]])</f>
        <v>0</v>
      </c>
      <c r="J51" s="14">
        <f>IF(CF_Gen_2[[#This Row],[Contract]]="IC",SUMIFS(Expected_CF[Expected_Acquisition],Expected_CF[ICG],CF_Gen_2[[#This Row],[ICG]],Expected_CF[Incurred],CF_Gen_2[[#This Row],[Incurred]]),0)</f>
        <v>0</v>
      </c>
      <c r="K51" s="14">
        <f>SUMIFS(Earned[Earned_Premium],Earned[ICG],CF_Gen_2[[#This Row],[ICG]],Earned[Incurred],CF_Gen_2[[#This Row],[Incurred]])</f>
        <v>-607589938.7938354</v>
      </c>
      <c r="L51" s="14">
        <f>SUMIFS(Earned[Earned_Commission],Earned[ICG],CF_Gen_2[[#This Row],[ICG]],Earned[Incurred],CF_Gen_2[[#This Row],[Incurred]])</f>
        <v>196571192.76074648</v>
      </c>
      <c r="M51" s="18">
        <f>_xlfn.XLOOKUP(CF_Gen_2[[#This Row],[ICG]],Assumptions[ICG],Assumptions[Loss_Ratio])</f>
        <v>0.38</v>
      </c>
      <c r="N51" s="18">
        <f>_xlfn.XLOOKUP(CF_Gen_2[[#This Row],[ICG]],Assumptions[ICG],Assumptions[Risk_Adjustment_Ratio])</f>
        <v>0.13</v>
      </c>
      <c r="O51" s="18">
        <f>_xlfn.XLOOKUP(CF_Gen_2[[#This Row],[ICG]],Assumptions[ICG],Assumptions[PME_Ratio])</f>
        <v>0</v>
      </c>
      <c r="P51" s="18">
        <f>_xlfn.XLOOKUP(CF_Gen_2[[#This Row],[ICG]],Assumptions[ICG],Assumptions[ULAE_Ratio])</f>
        <v>0</v>
      </c>
      <c r="Q51" s="18">
        <f>_xlfn.XLOOKUP(CF_Gen_2[[#This Row],[ICG]],Assumptions[ICG],Assumptions[Cancellation_Ratio])</f>
        <v>7.0000000000000007E-2</v>
      </c>
      <c r="R51" s="18">
        <f>_xlfn.XLOOKUP(CF_Gen_2[[#This Row],[ICG]],Assumptions[ICG],Assumptions[Premium_Refund_Ratio])</f>
        <v>0.5</v>
      </c>
      <c r="S51" s="18">
        <f>IF(CF_Gen_2[[#This Row],[Contract]]="RC",_xlfn.XLOOKUP(CF_Gen_2[[#This Row],[ICG]],Assumptions[ICG],Assumptions[NPR_Ratio]),0)</f>
        <v>2.8000000000000001E-2</v>
      </c>
      <c r="T51" s="17">
        <f>T50*(1-CF_Gen_2[[#This Row],[Cancellation_Ratio]])</f>
        <v>2.8553837205777133E-2</v>
      </c>
      <c r="U51" s="19">
        <f>IF(CF_Gen_2[[#This Row],[Incurred]]&lt;=CF_Gen_2[[#This Row],[Valuation]],CF_Gen_2[[#This Row],[Expected_Premium]],-CF_Gen_2[[#This Row],[Probability_of_Inforce]]*CF_Gen_2[[#This Row],[Premium_Refund_Ratio]]*CF_Gen_2[[#This Row],[Cancellation_Ratio]]*SUM(K51:K$105))</f>
        <v>13822688.831857078</v>
      </c>
      <c r="V5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Row],[Cancellation_Ratio]]*SUM(L51:L$105))</f>
        <v>-4284924.7603671588</v>
      </c>
      <c r="W51" s="19">
        <f>CF_Gen_2[[#This Row],[Expected_Acquisition]]</f>
        <v>0</v>
      </c>
      <c r="X5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1" s="19">
        <f>-CF_Gen_2[[#This Row],[Probability_of_Inforce]]*CF_Gen_2[[#This Row],[Earned_Premium]]*(1-CF_Gen_2[[#This Row],[Cancellation_Ratio]])*CF_Gen_2[[#This Row],[Loss_Ratio]]</f>
        <v>6131145.1523461808</v>
      </c>
      <c r="Z51" s="19">
        <f>CF_Gen_2[[#This Row],[Exp_Claim]]*CF_Gen_2[[#This Row],[Risk_Adjustment_Ratio]]</f>
        <v>797048.86980500352</v>
      </c>
      <c r="AA51" s="19">
        <f>IF(CF_Gen_2[[#This Row],[Contract]]="RC",-CF_Gen_2[[#This Row],[NPR_Ratio]]*CF_Gen_2[[#This Row],[Exp_Claim]],0)</f>
        <v>-171672.06426569307</v>
      </c>
      <c r="AB51" s="19">
        <f>SUMIFS(Actual_CF[Actual_Premium],Actual_CF[ICG],CF_Gen_2[[#This Row],[ICG]],Actual_CF[Incurred],CF_Gen_2[[#This Row],[Incurred]])</f>
        <v>0</v>
      </c>
      <c r="AC51" s="19">
        <f>SUMIFS(Actual_CF[Actual_Commission],Actual_CF[ICG],CF_Gen_2[[#This Row],[ICG]],Actual_CF[Incurred],CF_Gen_2[[#This Row],[Incurred]])</f>
        <v>0</v>
      </c>
      <c r="AD51" s="19">
        <f>SUMIFS(Actual_CF[Actual_Acquisition],Actual_CF[ICG],CF_Gen_2[[#This Row],[ICG]],Actual_CF[Incurred],CF_Gen_2[[#This Row],[Incurred]])</f>
        <v>0</v>
      </c>
    </row>
    <row r="52" spans="1:30">
      <c r="A52" t="str">
        <f t="shared" si="2"/>
        <v>#2024#RC-Property</v>
      </c>
      <c r="B52">
        <f>_xlfn.XLOOKUP(CF_Gen_2[[#This Row],[ICG]],ICG[ICG],ICG[Cohort])</f>
        <v>2024</v>
      </c>
      <c r="C52" t="str">
        <f>_xlfn.XLOOKUP(CF_Gen_2[[#This Row],[ICG]],ICG[ICG],ICG[Portfolio])</f>
        <v>RC-Property</v>
      </c>
      <c r="D52" t="str">
        <f>_xlfn.XLOOKUP(CF_Gen_2[[#This Row],[ICG]],ICG[ICG],ICG[Contract])</f>
        <v>RC</v>
      </c>
      <c r="E52" s="2">
        <f t="shared" si="0"/>
        <v>45930</v>
      </c>
      <c r="F52">
        <v>51</v>
      </c>
      <c r="G52" s="2">
        <f>EOMONTH(DATE(YEAR(CF_Gen_2[[#This Row],[Valuation]])-1,12,31),CF_Gen_2[[#This Row],['#Incurred]]*3)</f>
        <v>50313</v>
      </c>
      <c r="H52" s="14">
        <f>SUMIFS(Expected_CF[Expected_Premium],Expected_CF[ICG],CF_Gen_2[[#This Row],[ICG]],Expected_CF[Incurred],CF_Gen_2[[#This Row],[Incurred]])</f>
        <v>0</v>
      </c>
      <c r="I52" s="14">
        <f>SUMIFS(Expected_CF[Expected_Commission],Expected_CF[ICG],CF_Gen_2[[#This Row],[ICG]],Expected_CF[Incurred],CF_Gen_2[[#This Row],[Incurred]])</f>
        <v>0</v>
      </c>
      <c r="J52" s="14">
        <f>IF(CF_Gen_2[[#This Row],[Contract]]="IC",SUMIFS(Expected_CF[Expected_Acquisition],Expected_CF[ICG],CF_Gen_2[[#This Row],[ICG]],Expected_CF[Incurred],CF_Gen_2[[#This Row],[Incurred]]),0)</f>
        <v>0</v>
      </c>
      <c r="K52" s="14">
        <f>SUMIFS(Earned[Earned_Premium],Earned[ICG],CF_Gen_2[[#This Row],[ICG]],Earned[Incurred],CF_Gen_2[[#This Row],[Incurred]])</f>
        <v>-593936232.30408633</v>
      </c>
      <c r="L52" s="14">
        <f>SUMIFS(Earned[Earned_Commission],Earned[ICG],CF_Gen_2[[#This Row],[ICG]],Earned[Incurred],CF_Gen_2[[#This Row],[Incurred]])</f>
        <v>191945988.22519949</v>
      </c>
      <c r="M52" s="18">
        <f>_xlfn.XLOOKUP(CF_Gen_2[[#This Row],[ICG]],Assumptions[ICG],Assumptions[Loss_Ratio])</f>
        <v>0.38</v>
      </c>
      <c r="N52" s="18">
        <f>_xlfn.XLOOKUP(CF_Gen_2[[#This Row],[ICG]],Assumptions[ICG],Assumptions[Risk_Adjustment_Ratio])</f>
        <v>0.13</v>
      </c>
      <c r="O52" s="18">
        <f>_xlfn.XLOOKUP(CF_Gen_2[[#This Row],[ICG]],Assumptions[ICG],Assumptions[PME_Ratio])</f>
        <v>0</v>
      </c>
      <c r="P52" s="18">
        <f>_xlfn.XLOOKUP(CF_Gen_2[[#This Row],[ICG]],Assumptions[ICG],Assumptions[ULAE_Ratio])</f>
        <v>0</v>
      </c>
      <c r="Q52" s="18">
        <f>_xlfn.XLOOKUP(CF_Gen_2[[#This Row],[ICG]],Assumptions[ICG],Assumptions[Cancellation_Ratio])</f>
        <v>7.0000000000000007E-2</v>
      </c>
      <c r="R52" s="18">
        <f>_xlfn.XLOOKUP(CF_Gen_2[[#This Row],[ICG]],Assumptions[ICG],Assumptions[Premium_Refund_Ratio])</f>
        <v>0.5</v>
      </c>
      <c r="S52" s="18">
        <f>IF(CF_Gen_2[[#This Row],[Contract]]="RC",_xlfn.XLOOKUP(CF_Gen_2[[#This Row],[ICG]],Assumptions[ICG],Assumptions[NPR_Ratio]),0)</f>
        <v>2.8000000000000001E-2</v>
      </c>
      <c r="T52" s="17">
        <f>T51*(1-CF_Gen_2[[#This Row],[Cancellation_Ratio]])</f>
        <v>2.6555068601372734E-2</v>
      </c>
      <c r="U52" s="19">
        <f>IF(CF_Gen_2[[#This Row],[Incurred]]&lt;=CF_Gen_2[[#This Row],[Valuation]],CF_Gen_2[[#This Row],[Expected_Premium]],-CF_Gen_2[[#This Row],[Probability_of_Inforce]]*CF_Gen_2[[#This Row],[Premium_Refund_Ratio]]*CF_Gen_2[[#This Row],[Cancellation_Ratio]]*SUM(K52:K$105))</f>
        <v>12290389.875910986</v>
      </c>
      <c r="V5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Row],[Cancellation_Ratio]]*SUM(L52:L$105))</f>
        <v>-3802281.3743329225</v>
      </c>
      <c r="W52" s="19">
        <f>CF_Gen_2[[#This Row],[Expected_Acquisition]]</f>
        <v>0</v>
      </c>
      <c r="X5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2" s="19">
        <f>-CF_Gen_2[[#This Row],[Probability_of_Inforce]]*CF_Gen_2[[#This Row],[Earned_Premium]]*(1-CF_Gen_2[[#This Row],[Cancellation_Ratio]])*CF_Gen_2[[#This Row],[Loss_Ratio]]</f>
        <v>5573830.9469250506</v>
      </c>
      <c r="Z52" s="19">
        <f>CF_Gen_2[[#This Row],[Exp_Claim]]*CF_Gen_2[[#This Row],[Risk_Adjustment_Ratio]]</f>
        <v>724598.02310025657</v>
      </c>
      <c r="AA52" s="19">
        <f>IF(CF_Gen_2[[#This Row],[Contract]]="RC",-CF_Gen_2[[#This Row],[NPR_Ratio]]*CF_Gen_2[[#This Row],[Exp_Claim]],0)</f>
        <v>-156067.26651390141</v>
      </c>
      <c r="AB52" s="19">
        <f>SUMIFS(Actual_CF[Actual_Premium],Actual_CF[ICG],CF_Gen_2[[#This Row],[ICG]],Actual_CF[Incurred],CF_Gen_2[[#This Row],[Incurred]])</f>
        <v>0</v>
      </c>
      <c r="AC52" s="19">
        <f>SUMIFS(Actual_CF[Actual_Commission],Actual_CF[ICG],CF_Gen_2[[#This Row],[ICG]],Actual_CF[Incurred],CF_Gen_2[[#This Row],[Incurred]])</f>
        <v>0</v>
      </c>
      <c r="AD52" s="19">
        <f>SUMIFS(Actual_CF[Actual_Acquisition],Actual_CF[ICG],CF_Gen_2[[#This Row],[ICG]],Actual_CF[Incurred],CF_Gen_2[[#This Row],[Incurred]])</f>
        <v>0</v>
      </c>
    </row>
    <row r="53" spans="1:30">
      <c r="A53" t="str">
        <f t="shared" si="2"/>
        <v>#2024#RC-Property</v>
      </c>
      <c r="B53">
        <f>_xlfn.XLOOKUP(CF_Gen_2[[#This Row],[ICG]],ICG[ICG],ICG[Cohort])</f>
        <v>2024</v>
      </c>
      <c r="C53" t="str">
        <f>_xlfn.XLOOKUP(CF_Gen_2[[#This Row],[ICG]],ICG[ICG],ICG[Portfolio])</f>
        <v>RC-Property</v>
      </c>
      <c r="D53" t="str">
        <f>_xlfn.XLOOKUP(CF_Gen_2[[#This Row],[ICG]],ICG[ICG],ICG[Contract])</f>
        <v>RC</v>
      </c>
      <c r="E53" s="2">
        <f t="shared" si="0"/>
        <v>45930</v>
      </c>
      <c r="F53">
        <v>52</v>
      </c>
      <c r="G53" s="2">
        <f>EOMONTH(DATE(YEAR(CF_Gen_2[[#This Row],[Valuation]])-1,12,31),CF_Gen_2[[#This Row],['#Incurred]]*3)</f>
        <v>50405</v>
      </c>
      <c r="H53" s="14">
        <f>SUMIFS(Expected_CF[Expected_Premium],Expected_CF[ICG],CF_Gen_2[[#This Row],[ICG]],Expected_CF[Incurred],CF_Gen_2[[#This Row],[Incurred]])</f>
        <v>0</v>
      </c>
      <c r="I53" s="14">
        <f>SUMIFS(Expected_CF[Expected_Commission],Expected_CF[ICG],CF_Gen_2[[#This Row],[ICG]],Expected_CF[Incurred],CF_Gen_2[[#This Row],[Incurred]])</f>
        <v>0</v>
      </c>
      <c r="J53" s="14">
        <f>IF(CF_Gen_2[[#This Row],[Contract]]="IC",SUMIFS(Expected_CF[Expected_Acquisition],Expected_CF[ICG],CF_Gen_2[[#This Row],[ICG]],Expected_CF[Incurred],CF_Gen_2[[#This Row],[Incurred]]),0)</f>
        <v>0</v>
      </c>
      <c r="K53" s="14">
        <f>SUMIFS(Earned[Earned_Premium],Earned[ICG],CF_Gen_2[[#This Row],[ICG]],Earned[Incurred],CF_Gen_2[[#This Row],[Incurred]])</f>
        <v>-580282525.81433725</v>
      </c>
      <c r="L53" s="14">
        <f>SUMIFS(Earned[Earned_Commission],Earned[ICG],CF_Gen_2[[#This Row],[ICG]],Earned[Incurred],CF_Gen_2[[#This Row],[Incurred]])</f>
        <v>187320783.68965253</v>
      </c>
      <c r="M53" s="18">
        <f>_xlfn.XLOOKUP(CF_Gen_2[[#This Row],[ICG]],Assumptions[ICG],Assumptions[Loss_Ratio])</f>
        <v>0.38</v>
      </c>
      <c r="N53" s="18">
        <f>_xlfn.XLOOKUP(CF_Gen_2[[#This Row],[ICG]],Assumptions[ICG],Assumptions[Risk_Adjustment_Ratio])</f>
        <v>0.13</v>
      </c>
      <c r="O53" s="18">
        <f>_xlfn.XLOOKUP(CF_Gen_2[[#This Row],[ICG]],Assumptions[ICG],Assumptions[PME_Ratio])</f>
        <v>0</v>
      </c>
      <c r="P53" s="18">
        <f>_xlfn.XLOOKUP(CF_Gen_2[[#This Row],[ICG]],Assumptions[ICG],Assumptions[ULAE_Ratio])</f>
        <v>0</v>
      </c>
      <c r="Q53" s="18">
        <f>_xlfn.XLOOKUP(CF_Gen_2[[#This Row],[ICG]],Assumptions[ICG],Assumptions[Cancellation_Ratio])</f>
        <v>7.0000000000000007E-2</v>
      </c>
      <c r="R53" s="18">
        <f>_xlfn.XLOOKUP(CF_Gen_2[[#This Row],[ICG]],Assumptions[ICG],Assumptions[Premium_Refund_Ratio])</f>
        <v>0.5</v>
      </c>
      <c r="S53" s="18">
        <f>IF(CF_Gen_2[[#This Row],[Contract]]="RC",_xlfn.XLOOKUP(CF_Gen_2[[#This Row],[ICG]],Assumptions[ICG],Assumptions[NPR_Ratio]),0)</f>
        <v>2.8000000000000001E-2</v>
      </c>
      <c r="T53" s="17">
        <f>T52*(1-CF_Gen_2[[#This Row],[Cancellation_Ratio]])</f>
        <v>2.469621379927664E-2</v>
      </c>
      <c r="U53" s="19">
        <f>IF(CF_Gen_2[[#This Row],[Incurred]]&lt;=CF_Gen_2[[#This Row],[Valuation]],CF_Gen_2[[#This Row],[Expected_Premium]],-CF_Gen_2[[#This Row],[Probability_of_Inforce]]*CF_Gen_2[[#This Row],[Premium_Refund_Ratio]]*CF_Gen_2[[#This Row],[Cancellation_Ratio]]*SUM(K53:K$105))</f>
        <v>10916683.418433068</v>
      </c>
      <c r="V5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Row],[Cancellation_Ratio]]*SUM(L53:L$105))</f>
        <v>-3370209.8074203138</v>
      </c>
      <c r="W53" s="19">
        <f>CF_Gen_2[[#This Row],[Expected_Acquisition]]</f>
        <v>0</v>
      </c>
      <c r="X5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3" s="19">
        <f>-CF_Gen_2[[#This Row],[Probability_of_Inforce]]*CF_Gen_2[[#This Row],[Earned_Premium]]*(1-CF_Gen_2[[#This Row],[Cancellation_Ratio]])*CF_Gen_2[[#This Row],[Loss_Ratio]]</f>
        <v>5064498.119016381</v>
      </c>
      <c r="Z53" s="19">
        <f>CF_Gen_2[[#This Row],[Exp_Claim]]*CF_Gen_2[[#This Row],[Risk_Adjustment_Ratio]]</f>
        <v>658384.75547212956</v>
      </c>
      <c r="AA53" s="19">
        <f>IF(CF_Gen_2[[#This Row],[Contract]]="RC",-CF_Gen_2[[#This Row],[NPR_Ratio]]*CF_Gen_2[[#This Row],[Exp_Claim]],0)</f>
        <v>-141805.94733245866</v>
      </c>
      <c r="AB53" s="19">
        <f>SUMIFS(Actual_CF[Actual_Premium],Actual_CF[ICG],CF_Gen_2[[#This Row],[ICG]],Actual_CF[Incurred],CF_Gen_2[[#This Row],[Incurred]])</f>
        <v>0</v>
      </c>
      <c r="AC53" s="19">
        <f>SUMIFS(Actual_CF[Actual_Commission],Actual_CF[ICG],CF_Gen_2[[#This Row],[ICG]],Actual_CF[Incurred],CF_Gen_2[[#This Row],[Incurred]])</f>
        <v>0</v>
      </c>
      <c r="AD53" s="19">
        <f>SUMIFS(Actual_CF[Actual_Acquisition],Actual_CF[ICG],CF_Gen_2[[#This Row],[ICG]],Actual_CF[Incurred],CF_Gen_2[[#This Row],[Incurred]])</f>
        <v>0</v>
      </c>
    </row>
    <row r="54" spans="1:30">
      <c r="A54" t="str">
        <f t="shared" si="2"/>
        <v>#2024#RC-Property</v>
      </c>
      <c r="B54">
        <f>_xlfn.XLOOKUP(CF_Gen_2[[#This Row],[ICG]],ICG[ICG],ICG[Cohort])</f>
        <v>2024</v>
      </c>
      <c r="C54" t="str">
        <f>_xlfn.XLOOKUP(CF_Gen_2[[#This Row],[ICG]],ICG[ICG],ICG[Portfolio])</f>
        <v>RC-Property</v>
      </c>
      <c r="D54" t="str">
        <f>_xlfn.XLOOKUP(CF_Gen_2[[#This Row],[ICG]],ICG[ICG],ICG[Contract])</f>
        <v>RC</v>
      </c>
      <c r="E54" s="2">
        <f t="shared" si="0"/>
        <v>45930</v>
      </c>
      <c r="F54">
        <v>53</v>
      </c>
      <c r="G54" s="2">
        <f>EOMONTH(DATE(YEAR(CF_Gen_2[[#This Row],[Valuation]])-1,12,31),CF_Gen_2[[#This Row],['#Incurred]]*3)</f>
        <v>50495</v>
      </c>
      <c r="H54" s="14">
        <f>SUMIFS(Expected_CF[Expected_Premium],Expected_CF[ICG],CF_Gen_2[[#This Row],[ICG]],Expected_CF[Incurred],CF_Gen_2[[#This Row],[Incurred]])</f>
        <v>0</v>
      </c>
      <c r="I54" s="14">
        <f>SUMIFS(Expected_CF[Expected_Commission],Expected_CF[ICG],CF_Gen_2[[#This Row],[ICG]],Expected_CF[Incurred],CF_Gen_2[[#This Row],[Incurred]])</f>
        <v>0</v>
      </c>
      <c r="J54" s="14">
        <f>IF(CF_Gen_2[[#This Row],[Contract]]="IC",SUMIFS(Expected_CF[Expected_Acquisition],Expected_CF[ICG],CF_Gen_2[[#This Row],[ICG]],Expected_CF[Incurred],CF_Gen_2[[#This Row],[Incurred]]),0)</f>
        <v>0</v>
      </c>
      <c r="K54" s="14">
        <f>SUMIFS(Earned[Earned_Premium],Earned[ICG],CF_Gen_2[[#This Row],[ICG]],Earned[Incurred],CF_Gen_2[[#This Row],[Incurred]])</f>
        <v>-566628819.3245883</v>
      </c>
      <c r="L54" s="14">
        <f>SUMIFS(Earned[Earned_Commission],Earned[ICG],CF_Gen_2[[#This Row],[ICG]],Earned[Incurred],CF_Gen_2[[#This Row],[Incurred]])</f>
        <v>182695579.15410557</v>
      </c>
      <c r="M54" s="18">
        <f>_xlfn.XLOOKUP(CF_Gen_2[[#This Row],[ICG]],Assumptions[ICG],Assumptions[Loss_Ratio])</f>
        <v>0.38</v>
      </c>
      <c r="N54" s="18">
        <f>_xlfn.XLOOKUP(CF_Gen_2[[#This Row],[ICG]],Assumptions[ICG],Assumptions[Risk_Adjustment_Ratio])</f>
        <v>0.13</v>
      </c>
      <c r="O54" s="18">
        <f>_xlfn.XLOOKUP(CF_Gen_2[[#This Row],[ICG]],Assumptions[ICG],Assumptions[PME_Ratio])</f>
        <v>0</v>
      </c>
      <c r="P54" s="18">
        <f>_xlfn.XLOOKUP(CF_Gen_2[[#This Row],[ICG]],Assumptions[ICG],Assumptions[ULAE_Ratio])</f>
        <v>0</v>
      </c>
      <c r="Q54" s="18">
        <f>_xlfn.XLOOKUP(CF_Gen_2[[#This Row],[ICG]],Assumptions[ICG],Assumptions[Cancellation_Ratio])</f>
        <v>7.0000000000000007E-2</v>
      </c>
      <c r="R54" s="18">
        <f>_xlfn.XLOOKUP(CF_Gen_2[[#This Row],[ICG]],Assumptions[ICG],Assumptions[Premium_Refund_Ratio])</f>
        <v>0.5</v>
      </c>
      <c r="S54" s="18">
        <f>IF(CF_Gen_2[[#This Row],[Contract]]="RC",_xlfn.XLOOKUP(CF_Gen_2[[#This Row],[ICG]],Assumptions[ICG],Assumptions[NPR_Ratio]),0)</f>
        <v>2.8000000000000001E-2</v>
      </c>
      <c r="T54" s="17">
        <f>T53*(1-CF_Gen_2[[#This Row],[Cancellation_Ratio]])</f>
        <v>2.2967478833327275E-2</v>
      </c>
      <c r="U54" s="19">
        <f>IF(CF_Gen_2[[#This Row],[Incurred]]&lt;=CF_Gen_2[[#This Row],[Valuation]],CF_Gen_2[[#This Row],[Expected_Premium]],-CF_Gen_2[[#This Row],[Probability_of_Inforce]]*CF_Gen_2[[#This Row],[Premium_Refund_Ratio]]*CF_Gen_2[[#This Row],[Cancellation_Ratio]]*SUM(K54:K$105))</f>
        <v>9686048.6471280865</v>
      </c>
      <c r="V5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Row],[Cancellation_Ratio]]*SUM(L54:L$105))</f>
        <v>-2983715.1061956892</v>
      </c>
      <c r="W54" s="19">
        <f>CF_Gen_2[[#This Row],[Expected_Acquisition]]</f>
        <v>0</v>
      </c>
      <c r="X5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4" s="19">
        <f>-CF_Gen_2[[#This Row],[Probability_of_Inforce]]*CF_Gen_2[[#This Row],[Earned_Premium]]*(1-CF_Gen_2[[#This Row],[Cancellation_Ratio]])*CF_Gen_2[[#This Row],[Loss_Ratio]]</f>
        <v>4599160.1153749954</v>
      </c>
      <c r="Z54" s="19">
        <f>CF_Gen_2[[#This Row],[Exp_Claim]]*CF_Gen_2[[#This Row],[Risk_Adjustment_Ratio]]</f>
        <v>597890.81499874941</v>
      </c>
      <c r="AA54" s="19">
        <f>IF(CF_Gen_2[[#This Row],[Contract]]="RC",-CF_Gen_2[[#This Row],[NPR_Ratio]]*CF_Gen_2[[#This Row],[Exp_Claim]],0)</f>
        <v>-128776.48323049987</v>
      </c>
      <c r="AB54" s="19">
        <f>SUMIFS(Actual_CF[Actual_Premium],Actual_CF[ICG],CF_Gen_2[[#This Row],[ICG]],Actual_CF[Incurred],CF_Gen_2[[#This Row],[Incurred]])</f>
        <v>0</v>
      </c>
      <c r="AC54" s="19">
        <f>SUMIFS(Actual_CF[Actual_Commission],Actual_CF[ICG],CF_Gen_2[[#This Row],[ICG]],Actual_CF[Incurred],CF_Gen_2[[#This Row],[Incurred]])</f>
        <v>0</v>
      </c>
      <c r="AD54" s="19">
        <f>SUMIFS(Actual_CF[Actual_Acquisition],Actual_CF[ICG],CF_Gen_2[[#This Row],[ICG]],Actual_CF[Incurred],CF_Gen_2[[#This Row],[Incurred]])</f>
        <v>0</v>
      </c>
    </row>
    <row r="55" spans="1:30">
      <c r="A55" t="str">
        <f t="shared" si="2"/>
        <v>#2024#RC-Property</v>
      </c>
      <c r="B55">
        <f>_xlfn.XLOOKUP(CF_Gen_2[[#This Row],[ICG]],ICG[ICG],ICG[Cohort])</f>
        <v>2024</v>
      </c>
      <c r="C55" t="str">
        <f>_xlfn.XLOOKUP(CF_Gen_2[[#This Row],[ICG]],ICG[ICG],ICG[Portfolio])</f>
        <v>RC-Property</v>
      </c>
      <c r="D55" t="str">
        <f>_xlfn.XLOOKUP(CF_Gen_2[[#This Row],[ICG]],ICG[ICG],ICG[Contract])</f>
        <v>RC</v>
      </c>
      <c r="E55" s="2">
        <f t="shared" si="0"/>
        <v>45930</v>
      </c>
      <c r="F55">
        <v>54</v>
      </c>
      <c r="G55" s="2">
        <f>EOMONTH(DATE(YEAR(CF_Gen_2[[#This Row],[Valuation]])-1,12,31),CF_Gen_2[[#This Row],['#Incurred]]*3)</f>
        <v>50586</v>
      </c>
      <c r="H55" s="14">
        <f>SUMIFS(Expected_CF[Expected_Premium],Expected_CF[ICG],CF_Gen_2[[#This Row],[ICG]],Expected_CF[Incurred],CF_Gen_2[[#This Row],[Incurred]])</f>
        <v>0</v>
      </c>
      <c r="I55" s="14">
        <f>SUMIFS(Expected_CF[Expected_Commission],Expected_CF[ICG],CF_Gen_2[[#This Row],[ICG]],Expected_CF[Incurred],CF_Gen_2[[#This Row],[Incurred]])</f>
        <v>0</v>
      </c>
      <c r="J55" s="14">
        <f>IF(CF_Gen_2[[#This Row],[Contract]]="IC",SUMIFS(Expected_CF[Expected_Acquisition],Expected_CF[ICG],CF_Gen_2[[#This Row],[ICG]],Expected_CF[Incurred],CF_Gen_2[[#This Row],[Incurred]]),0)</f>
        <v>0</v>
      </c>
      <c r="K55" s="14">
        <f>SUMIFS(Earned[Earned_Premium],Earned[ICG],CF_Gen_2[[#This Row],[ICG]],Earned[Incurred],CF_Gen_2[[#This Row],[Incurred]])</f>
        <v>-552975112.83483922</v>
      </c>
      <c r="L55" s="14">
        <f>SUMIFS(Earned[Earned_Commission],Earned[ICG],CF_Gen_2[[#This Row],[ICG]],Earned[Incurred],CF_Gen_2[[#This Row],[Incurred]])</f>
        <v>178070374.61855856</v>
      </c>
      <c r="M55" s="18">
        <f>_xlfn.XLOOKUP(CF_Gen_2[[#This Row],[ICG]],Assumptions[ICG],Assumptions[Loss_Ratio])</f>
        <v>0.38</v>
      </c>
      <c r="N55" s="18">
        <f>_xlfn.XLOOKUP(CF_Gen_2[[#This Row],[ICG]],Assumptions[ICG],Assumptions[Risk_Adjustment_Ratio])</f>
        <v>0.13</v>
      </c>
      <c r="O55" s="18">
        <f>_xlfn.XLOOKUP(CF_Gen_2[[#This Row],[ICG]],Assumptions[ICG],Assumptions[PME_Ratio])</f>
        <v>0</v>
      </c>
      <c r="P55" s="18">
        <f>_xlfn.XLOOKUP(CF_Gen_2[[#This Row],[ICG]],Assumptions[ICG],Assumptions[ULAE_Ratio])</f>
        <v>0</v>
      </c>
      <c r="Q55" s="18">
        <f>_xlfn.XLOOKUP(CF_Gen_2[[#This Row],[ICG]],Assumptions[ICG],Assumptions[Cancellation_Ratio])</f>
        <v>7.0000000000000007E-2</v>
      </c>
      <c r="R55" s="18">
        <f>_xlfn.XLOOKUP(CF_Gen_2[[#This Row],[ICG]],Assumptions[ICG],Assumptions[Premium_Refund_Ratio])</f>
        <v>0.5</v>
      </c>
      <c r="S55" s="18">
        <f>IF(CF_Gen_2[[#This Row],[Contract]]="RC",_xlfn.XLOOKUP(CF_Gen_2[[#This Row],[ICG]],Assumptions[ICG],Assumptions[NPR_Ratio]),0)</f>
        <v>2.8000000000000001E-2</v>
      </c>
      <c r="T55" s="17">
        <f>T54*(1-CF_Gen_2[[#This Row],[Cancellation_Ratio]])</f>
        <v>2.1359755314994365E-2</v>
      </c>
      <c r="U55" s="19">
        <f>IF(CF_Gen_2[[#This Row],[Incurred]]&lt;=CF_Gen_2[[#This Row],[Valuation]],CF_Gen_2[[#This Row],[Expected_Premium]],-CF_Gen_2[[#This Row],[Probability_of_Inforce]]*CF_Gen_2[[#This Row],[Premium_Refund_Ratio]]*CF_Gen_2[[#This Row],[Cancellation_Ratio]]*SUM(K55:K$105))</f>
        <v>8584418.3890972119</v>
      </c>
      <c r="V5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Row],[Cancellation_Ratio]]*SUM(L55:L$105))</f>
        <v>-2638273.39838679</v>
      </c>
      <c r="W55" s="19">
        <f>CF_Gen_2[[#This Row],[Expected_Acquisition]]</f>
        <v>0</v>
      </c>
      <c r="X5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5" s="19">
        <f>-CF_Gen_2[[#This Row],[Probability_of_Inforce]]*CF_Gen_2[[#This Row],[Earned_Premium]]*(1-CF_Gen_2[[#This Row],[Cancellation_Ratio]])*CF_Gen_2[[#This Row],[Loss_Ratio]]</f>
        <v>4174153.3914602227</v>
      </c>
      <c r="Z55" s="19">
        <f>CF_Gen_2[[#This Row],[Exp_Claim]]*CF_Gen_2[[#This Row],[Risk_Adjustment_Ratio]]</f>
        <v>542639.94088982895</v>
      </c>
      <c r="AA55" s="19">
        <f>IF(CF_Gen_2[[#This Row],[Contract]]="RC",-CF_Gen_2[[#This Row],[NPR_Ratio]]*CF_Gen_2[[#This Row],[Exp_Claim]],0)</f>
        <v>-116876.29496088624</v>
      </c>
      <c r="AB55" s="19">
        <f>SUMIFS(Actual_CF[Actual_Premium],Actual_CF[ICG],CF_Gen_2[[#This Row],[ICG]],Actual_CF[Incurred],CF_Gen_2[[#This Row],[Incurred]])</f>
        <v>0</v>
      </c>
      <c r="AC55" s="19">
        <f>SUMIFS(Actual_CF[Actual_Commission],Actual_CF[ICG],CF_Gen_2[[#This Row],[ICG]],Actual_CF[Incurred],CF_Gen_2[[#This Row],[Incurred]])</f>
        <v>0</v>
      </c>
      <c r="AD55" s="19">
        <f>SUMIFS(Actual_CF[Actual_Acquisition],Actual_CF[ICG],CF_Gen_2[[#This Row],[ICG]],Actual_CF[Incurred],CF_Gen_2[[#This Row],[Incurred]])</f>
        <v>0</v>
      </c>
    </row>
    <row r="56" spans="1:30">
      <c r="A56" t="str">
        <f t="shared" si="2"/>
        <v>#2024#RC-Property</v>
      </c>
      <c r="B56">
        <f>_xlfn.XLOOKUP(CF_Gen_2[[#This Row],[ICG]],ICG[ICG],ICG[Cohort])</f>
        <v>2024</v>
      </c>
      <c r="C56" t="str">
        <f>_xlfn.XLOOKUP(CF_Gen_2[[#This Row],[ICG]],ICG[ICG],ICG[Portfolio])</f>
        <v>RC-Property</v>
      </c>
      <c r="D56" t="str">
        <f>_xlfn.XLOOKUP(CF_Gen_2[[#This Row],[ICG]],ICG[ICG],ICG[Contract])</f>
        <v>RC</v>
      </c>
      <c r="E56" s="2">
        <f t="shared" si="0"/>
        <v>45930</v>
      </c>
      <c r="F56">
        <v>55</v>
      </c>
      <c r="G56" s="2">
        <f>EOMONTH(DATE(YEAR(CF_Gen_2[[#This Row],[Valuation]])-1,12,31),CF_Gen_2[[#This Row],['#Incurred]]*3)</f>
        <v>50678</v>
      </c>
      <c r="H56" s="14">
        <f>SUMIFS(Expected_CF[Expected_Premium],Expected_CF[ICG],CF_Gen_2[[#This Row],[ICG]],Expected_CF[Incurred],CF_Gen_2[[#This Row],[Incurred]])</f>
        <v>0</v>
      </c>
      <c r="I56" s="14">
        <f>SUMIFS(Expected_CF[Expected_Commission],Expected_CF[ICG],CF_Gen_2[[#This Row],[ICG]],Expected_CF[Incurred],CF_Gen_2[[#This Row],[Incurred]])</f>
        <v>0</v>
      </c>
      <c r="J56" s="14">
        <f>IF(CF_Gen_2[[#This Row],[Contract]]="IC",SUMIFS(Expected_CF[Expected_Acquisition],Expected_CF[ICG],CF_Gen_2[[#This Row],[ICG]],Expected_CF[Incurred],CF_Gen_2[[#This Row],[Incurred]]),0)</f>
        <v>0</v>
      </c>
      <c r="K56" s="14">
        <f>SUMIFS(Earned[Earned_Premium],Earned[ICG],CF_Gen_2[[#This Row],[ICG]],Earned[Incurred],CF_Gen_2[[#This Row],[Incurred]])</f>
        <v>-539321406.34509015</v>
      </c>
      <c r="L56" s="14">
        <f>SUMIFS(Earned[Earned_Commission],Earned[ICG],CF_Gen_2[[#This Row],[ICG]],Earned[Incurred],CF_Gen_2[[#This Row],[Incurred]])</f>
        <v>173445170.08301157</v>
      </c>
      <c r="M56" s="18">
        <f>_xlfn.XLOOKUP(CF_Gen_2[[#This Row],[ICG]],Assumptions[ICG],Assumptions[Loss_Ratio])</f>
        <v>0.38</v>
      </c>
      <c r="N56" s="18">
        <f>_xlfn.XLOOKUP(CF_Gen_2[[#This Row],[ICG]],Assumptions[ICG],Assumptions[Risk_Adjustment_Ratio])</f>
        <v>0.13</v>
      </c>
      <c r="O56" s="18">
        <f>_xlfn.XLOOKUP(CF_Gen_2[[#This Row],[ICG]],Assumptions[ICG],Assumptions[PME_Ratio])</f>
        <v>0</v>
      </c>
      <c r="P56" s="18">
        <f>_xlfn.XLOOKUP(CF_Gen_2[[#This Row],[ICG]],Assumptions[ICG],Assumptions[ULAE_Ratio])</f>
        <v>0</v>
      </c>
      <c r="Q56" s="18">
        <f>_xlfn.XLOOKUP(CF_Gen_2[[#This Row],[ICG]],Assumptions[ICG],Assumptions[Cancellation_Ratio])</f>
        <v>7.0000000000000007E-2</v>
      </c>
      <c r="R56" s="18">
        <f>_xlfn.XLOOKUP(CF_Gen_2[[#This Row],[ICG]],Assumptions[ICG],Assumptions[Premium_Refund_Ratio])</f>
        <v>0.5</v>
      </c>
      <c r="S56" s="18">
        <f>IF(CF_Gen_2[[#This Row],[Contract]]="RC",_xlfn.XLOOKUP(CF_Gen_2[[#This Row],[ICG]],Assumptions[ICG],Assumptions[NPR_Ratio]),0)</f>
        <v>2.8000000000000001E-2</v>
      </c>
      <c r="T56" s="17">
        <f>T55*(1-CF_Gen_2[[#This Row],[Cancellation_Ratio]])</f>
        <v>1.9864572442944758E-2</v>
      </c>
      <c r="U56" s="19">
        <f>IF(CF_Gen_2[[#This Row],[Incurred]]&lt;=CF_Gen_2[[#This Row],[Valuation]],CF_Gen_2[[#This Row],[Expected_Premium]],-CF_Gen_2[[#This Row],[Probability_of_Inforce]]*CF_Gen_2[[#This Row],[Premium_Refund_Ratio]]*CF_Gen_2[[#This Row],[Cancellation_Ratio]]*SUM(K56:K$105))</f>
        <v>7599047.6052785432</v>
      </c>
      <c r="V5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Row],[Cancellation_Ratio]]*SUM(L56:L$105))</f>
        <v>-2329789.0455203708</v>
      </c>
      <c r="W56" s="19">
        <f>CF_Gen_2[[#This Row],[Expected_Acquisition]]</f>
        <v>0</v>
      </c>
      <c r="X5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6" s="19">
        <f>-CF_Gen_2[[#This Row],[Probability_of_Inforce]]*CF_Gen_2[[#This Row],[Earned_Premium]]*(1-CF_Gen_2[[#This Row],[Cancellation_Ratio]])*CF_Gen_2[[#This Row],[Loss_Ratio]]</f>
        <v>3786111.7243281794</v>
      </c>
      <c r="Z56" s="19">
        <f>CF_Gen_2[[#This Row],[Exp_Claim]]*CF_Gen_2[[#This Row],[Risk_Adjustment_Ratio]]</f>
        <v>492194.52416266332</v>
      </c>
      <c r="AA56" s="19">
        <f>IF(CF_Gen_2[[#This Row],[Contract]]="RC",-CF_Gen_2[[#This Row],[NPR_Ratio]]*CF_Gen_2[[#This Row],[Exp_Claim]],0)</f>
        <v>-106011.12828118903</v>
      </c>
      <c r="AB56" s="19">
        <f>SUMIFS(Actual_CF[Actual_Premium],Actual_CF[ICG],CF_Gen_2[[#This Row],[ICG]],Actual_CF[Incurred],CF_Gen_2[[#This Row],[Incurred]])</f>
        <v>0</v>
      </c>
      <c r="AC56" s="19">
        <f>SUMIFS(Actual_CF[Actual_Commission],Actual_CF[ICG],CF_Gen_2[[#This Row],[ICG]],Actual_CF[Incurred],CF_Gen_2[[#This Row],[Incurred]])</f>
        <v>0</v>
      </c>
      <c r="AD56" s="19">
        <f>SUMIFS(Actual_CF[Actual_Acquisition],Actual_CF[ICG],CF_Gen_2[[#This Row],[ICG]],Actual_CF[Incurred],CF_Gen_2[[#This Row],[Incurred]])</f>
        <v>0</v>
      </c>
    </row>
    <row r="57" spans="1:30">
      <c r="A57" t="str">
        <f t="shared" si="2"/>
        <v>#2024#RC-Property</v>
      </c>
      <c r="B57">
        <f>_xlfn.XLOOKUP(CF_Gen_2[[#This Row],[ICG]],ICG[ICG],ICG[Cohort])</f>
        <v>2024</v>
      </c>
      <c r="C57" t="str">
        <f>_xlfn.XLOOKUP(CF_Gen_2[[#This Row],[ICG]],ICG[ICG],ICG[Portfolio])</f>
        <v>RC-Property</v>
      </c>
      <c r="D57" t="str">
        <f>_xlfn.XLOOKUP(CF_Gen_2[[#This Row],[ICG]],ICG[ICG],ICG[Contract])</f>
        <v>RC</v>
      </c>
      <c r="E57" s="2">
        <f t="shared" si="0"/>
        <v>45930</v>
      </c>
      <c r="F57">
        <v>56</v>
      </c>
      <c r="G57" s="2">
        <f>EOMONTH(DATE(YEAR(CF_Gen_2[[#This Row],[Valuation]])-1,12,31),CF_Gen_2[[#This Row],['#Incurred]]*3)</f>
        <v>50770</v>
      </c>
      <c r="H57" s="14">
        <f>SUMIFS(Expected_CF[Expected_Premium],Expected_CF[ICG],CF_Gen_2[[#This Row],[ICG]],Expected_CF[Incurred],CF_Gen_2[[#This Row],[Incurred]])</f>
        <v>0</v>
      </c>
      <c r="I57" s="14">
        <f>SUMIFS(Expected_CF[Expected_Commission],Expected_CF[ICG],CF_Gen_2[[#This Row],[ICG]],Expected_CF[Incurred],CF_Gen_2[[#This Row],[Incurred]])</f>
        <v>0</v>
      </c>
      <c r="J57" s="14">
        <f>IF(CF_Gen_2[[#This Row],[Contract]]="IC",SUMIFS(Expected_CF[Expected_Acquisition],Expected_CF[ICG],CF_Gen_2[[#This Row],[ICG]],Expected_CF[Incurred],CF_Gen_2[[#This Row],[Incurred]]),0)</f>
        <v>0</v>
      </c>
      <c r="K57" s="14">
        <f>SUMIFS(Earned[Earned_Premium],Earned[ICG],CF_Gen_2[[#This Row],[ICG]],Earned[Incurred],CF_Gen_2[[#This Row],[Incurred]])</f>
        <v>-525667699.85534108</v>
      </c>
      <c r="L57" s="14">
        <f>SUMIFS(Earned[Earned_Commission],Earned[ICG],CF_Gen_2[[#This Row],[ICG]],Earned[Incurred],CF_Gen_2[[#This Row],[Incurred]])</f>
        <v>168819965.54746461</v>
      </c>
      <c r="M57" s="18">
        <f>_xlfn.XLOOKUP(CF_Gen_2[[#This Row],[ICG]],Assumptions[ICG],Assumptions[Loss_Ratio])</f>
        <v>0.38</v>
      </c>
      <c r="N57" s="18">
        <f>_xlfn.XLOOKUP(CF_Gen_2[[#This Row],[ICG]],Assumptions[ICG],Assumptions[Risk_Adjustment_Ratio])</f>
        <v>0.13</v>
      </c>
      <c r="O57" s="18">
        <f>_xlfn.XLOOKUP(CF_Gen_2[[#This Row],[ICG]],Assumptions[ICG],Assumptions[PME_Ratio])</f>
        <v>0</v>
      </c>
      <c r="P57" s="18">
        <f>_xlfn.XLOOKUP(CF_Gen_2[[#This Row],[ICG]],Assumptions[ICG],Assumptions[ULAE_Ratio])</f>
        <v>0</v>
      </c>
      <c r="Q57" s="18">
        <f>_xlfn.XLOOKUP(CF_Gen_2[[#This Row],[ICG]],Assumptions[ICG],Assumptions[Cancellation_Ratio])</f>
        <v>7.0000000000000007E-2</v>
      </c>
      <c r="R57" s="18">
        <f>_xlfn.XLOOKUP(CF_Gen_2[[#This Row],[ICG]],Assumptions[ICG],Assumptions[Premium_Refund_Ratio])</f>
        <v>0.5</v>
      </c>
      <c r="S57" s="18">
        <f>IF(CF_Gen_2[[#This Row],[Contract]]="RC",_xlfn.XLOOKUP(CF_Gen_2[[#This Row],[ICG]],Assumptions[ICG],Assumptions[NPR_Ratio]),0)</f>
        <v>2.8000000000000001E-2</v>
      </c>
      <c r="T57" s="17">
        <f>T56*(1-CF_Gen_2[[#This Row],[Cancellation_Ratio]])</f>
        <v>1.8474052371938623E-2</v>
      </c>
      <c r="U57" s="19">
        <f>IF(CF_Gen_2[[#This Row],[Incurred]]&lt;=CF_Gen_2[[#This Row],[Valuation]],CF_Gen_2[[#This Row],[Expected_Premium]],-CF_Gen_2[[#This Row],[Probability_of_Inforce]]*CF_Gen_2[[#This Row],[Premium_Refund_Ratio]]*CF_Gen_2[[#This Row],[Cancellation_Ratio]]*SUM(K57:K$105))</f>
        <v>6718393.4561946075</v>
      </c>
      <c r="V5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Row],[Cancellation_Ratio]]*SUM(L57:L$105))</f>
        <v>-2054555.5818818775</v>
      </c>
      <c r="W57" s="19">
        <f>CF_Gen_2[[#This Row],[Expected_Acquisition]]</f>
        <v>0</v>
      </c>
      <c r="X5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7" s="19">
        <f>-CF_Gen_2[[#This Row],[Probability_of_Inforce]]*CF_Gen_2[[#This Row],[Earned_Premium]]*(1-CF_Gen_2[[#This Row],[Cancellation_Ratio]])*CF_Gen_2[[#This Row],[Loss_Ratio]]</f>
        <v>3431942.5389764672</v>
      </c>
      <c r="Z57" s="19">
        <f>CF_Gen_2[[#This Row],[Exp_Claim]]*CF_Gen_2[[#This Row],[Risk_Adjustment_Ratio]]</f>
        <v>446152.53006694076</v>
      </c>
      <c r="AA57" s="19">
        <f>IF(CF_Gen_2[[#This Row],[Contract]]="RC",-CF_Gen_2[[#This Row],[NPR_Ratio]]*CF_Gen_2[[#This Row],[Exp_Claim]],0)</f>
        <v>-96094.39109134108</v>
      </c>
      <c r="AB57" s="19">
        <f>SUMIFS(Actual_CF[Actual_Premium],Actual_CF[ICG],CF_Gen_2[[#This Row],[ICG]],Actual_CF[Incurred],CF_Gen_2[[#This Row],[Incurred]])</f>
        <v>0</v>
      </c>
      <c r="AC57" s="19">
        <f>SUMIFS(Actual_CF[Actual_Commission],Actual_CF[ICG],CF_Gen_2[[#This Row],[ICG]],Actual_CF[Incurred],CF_Gen_2[[#This Row],[Incurred]])</f>
        <v>0</v>
      </c>
      <c r="AD57" s="19">
        <f>SUMIFS(Actual_CF[Actual_Acquisition],Actual_CF[ICG],CF_Gen_2[[#This Row],[ICG]],Actual_CF[Incurred],CF_Gen_2[[#This Row],[Incurred]])</f>
        <v>0</v>
      </c>
    </row>
    <row r="58" spans="1:30">
      <c r="A58" t="str">
        <f t="shared" si="2"/>
        <v>#2024#RC-Property</v>
      </c>
      <c r="B58">
        <f>_xlfn.XLOOKUP(CF_Gen_2[[#This Row],[ICG]],ICG[ICG],ICG[Cohort])</f>
        <v>2024</v>
      </c>
      <c r="C58" t="str">
        <f>_xlfn.XLOOKUP(CF_Gen_2[[#This Row],[ICG]],ICG[ICG],ICG[Portfolio])</f>
        <v>RC-Property</v>
      </c>
      <c r="D58" t="str">
        <f>_xlfn.XLOOKUP(CF_Gen_2[[#This Row],[ICG]],ICG[ICG],ICG[Contract])</f>
        <v>RC</v>
      </c>
      <c r="E58" s="2">
        <f t="shared" si="0"/>
        <v>45930</v>
      </c>
      <c r="F58">
        <v>57</v>
      </c>
      <c r="G58" s="2">
        <f>EOMONTH(DATE(YEAR(CF_Gen_2[[#This Row],[Valuation]])-1,12,31),CF_Gen_2[[#This Row],['#Incurred]]*3)</f>
        <v>50860</v>
      </c>
      <c r="H58" s="14">
        <f>SUMIFS(Expected_CF[Expected_Premium],Expected_CF[ICG],CF_Gen_2[[#This Row],[ICG]],Expected_CF[Incurred],CF_Gen_2[[#This Row],[Incurred]])</f>
        <v>0</v>
      </c>
      <c r="I58" s="14">
        <f>SUMIFS(Expected_CF[Expected_Commission],Expected_CF[ICG],CF_Gen_2[[#This Row],[ICG]],Expected_CF[Incurred],CF_Gen_2[[#This Row],[Incurred]])</f>
        <v>0</v>
      </c>
      <c r="J58" s="14">
        <f>IF(CF_Gen_2[[#This Row],[Contract]]="IC",SUMIFS(Expected_CF[Expected_Acquisition],Expected_CF[ICG],CF_Gen_2[[#This Row],[ICG]],Expected_CF[Incurred],CF_Gen_2[[#This Row],[Incurred]]),0)</f>
        <v>0</v>
      </c>
      <c r="K58" s="14">
        <f>SUMIFS(Earned[Earned_Premium],Earned[ICG],CF_Gen_2[[#This Row],[ICG]],Earned[Incurred],CF_Gen_2[[#This Row],[Incurred]])</f>
        <v>-512013993.36559194</v>
      </c>
      <c r="L58" s="14">
        <f>SUMIFS(Earned[Earned_Commission],Earned[ICG],CF_Gen_2[[#This Row],[ICG]],Earned[Incurred],CF_Gen_2[[#This Row],[Incurred]])</f>
        <v>164194761.01191765</v>
      </c>
      <c r="M58" s="18">
        <f>_xlfn.XLOOKUP(CF_Gen_2[[#This Row],[ICG]],Assumptions[ICG],Assumptions[Loss_Ratio])</f>
        <v>0.38</v>
      </c>
      <c r="N58" s="18">
        <f>_xlfn.XLOOKUP(CF_Gen_2[[#This Row],[ICG]],Assumptions[ICG],Assumptions[Risk_Adjustment_Ratio])</f>
        <v>0.13</v>
      </c>
      <c r="O58" s="18">
        <f>_xlfn.XLOOKUP(CF_Gen_2[[#This Row],[ICG]],Assumptions[ICG],Assumptions[PME_Ratio])</f>
        <v>0</v>
      </c>
      <c r="P58" s="18">
        <f>_xlfn.XLOOKUP(CF_Gen_2[[#This Row],[ICG]],Assumptions[ICG],Assumptions[ULAE_Ratio])</f>
        <v>0</v>
      </c>
      <c r="Q58" s="18">
        <f>_xlfn.XLOOKUP(CF_Gen_2[[#This Row],[ICG]],Assumptions[ICG],Assumptions[Cancellation_Ratio])</f>
        <v>7.0000000000000007E-2</v>
      </c>
      <c r="R58" s="18">
        <f>_xlfn.XLOOKUP(CF_Gen_2[[#This Row],[ICG]],Assumptions[ICG],Assumptions[Premium_Refund_Ratio])</f>
        <v>0.5</v>
      </c>
      <c r="S58" s="18">
        <f>IF(CF_Gen_2[[#This Row],[Contract]]="RC",_xlfn.XLOOKUP(CF_Gen_2[[#This Row],[ICG]],Assumptions[ICG],Assumptions[NPR_Ratio]),0)</f>
        <v>2.8000000000000001E-2</v>
      </c>
      <c r="T58" s="17">
        <f>T57*(1-CF_Gen_2[[#This Row],[Cancellation_Ratio]])</f>
        <v>1.7180868705902918E-2</v>
      </c>
      <c r="U58" s="19">
        <f>IF(CF_Gen_2[[#This Row],[Incurred]]&lt;=CF_Gen_2[[#This Row],[Valuation]],CF_Gen_2[[#This Row],[Expected_Premium]],-CF_Gen_2[[#This Row],[Probability_of_Inforce]]*CF_Gen_2[[#This Row],[Premium_Refund_Ratio]]*CF_Gen_2[[#This Row],[Cancellation_Ratio]]*SUM(K58:K$105))</f>
        <v>5932005.9435657831</v>
      </c>
      <c r="V5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Row],[Cancellation_Ratio]]*SUM(L58:L$105))</f>
        <v>-1809220.1129449341</v>
      </c>
      <c r="W58" s="19">
        <f>CF_Gen_2[[#This Row],[Expected_Acquisition]]</f>
        <v>0</v>
      </c>
      <c r="X5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8" s="19">
        <f>-CF_Gen_2[[#This Row],[Probability_of_Inforce]]*CF_Gen_2[[#This Row],[Earned_Premium]]*(1-CF_Gen_2[[#This Row],[Cancellation_Ratio]])*CF_Gen_2[[#This Row],[Loss_Ratio]]</f>
        <v>3108805.0921247862</v>
      </c>
      <c r="Z58" s="19">
        <f>CF_Gen_2[[#This Row],[Exp_Claim]]*CF_Gen_2[[#This Row],[Risk_Adjustment_Ratio]]</f>
        <v>404144.66197622224</v>
      </c>
      <c r="AA58" s="19">
        <f>IF(CF_Gen_2[[#This Row],[Contract]]="RC",-CF_Gen_2[[#This Row],[NPR_Ratio]]*CF_Gen_2[[#This Row],[Exp_Claim]],0)</f>
        <v>-87046.542579494009</v>
      </c>
      <c r="AB58" s="19">
        <f>SUMIFS(Actual_CF[Actual_Premium],Actual_CF[ICG],CF_Gen_2[[#This Row],[ICG]],Actual_CF[Incurred],CF_Gen_2[[#This Row],[Incurred]])</f>
        <v>0</v>
      </c>
      <c r="AC58" s="19">
        <f>SUMIFS(Actual_CF[Actual_Commission],Actual_CF[ICG],CF_Gen_2[[#This Row],[ICG]],Actual_CF[Incurred],CF_Gen_2[[#This Row],[Incurred]])</f>
        <v>0</v>
      </c>
      <c r="AD58" s="19">
        <f>SUMIFS(Actual_CF[Actual_Acquisition],Actual_CF[ICG],CF_Gen_2[[#This Row],[ICG]],Actual_CF[Incurred],CF_Gen_2[[#This Row],[Incurred]])</f>
        <v>0</v>
      </c>
    </row>
    <row r="59" spans="1:30">
      <c r="A59" t="str">
        <f t="shared" si="2"/>
        <v>#2024#RC-Property</v>
      </c>
      <c r="B59">
        <f>_xlfn.XLOOKUP(CF_Gen_2[[#This Row],[ICG]],ICG[ICG],ICG[Cohort])</f>
        <v>2024</v>
      </c>
      <c r="C59" t="str">
        <f>_xlfn.XLOOKUP(CF_Gen_2[[#This Row],[ICG]],ICG[ICG],ICG[Portfolio])</f>
        <v>RC-Property</v>
      </c>
      <c r="D59" t="str">
        <f>_xlfn.XLOOKUP(CF_Gen_2[[#This Row],[ICG]],ICG[ICG],ICG[Contract])</f>
        <v>RC</v>
      </c>
      <c r="E59" s="2">
        <f t="shared" si="0"/>
        <v>45930</v>
      </c>
      <c r="F59">
        <v>58</v>
      </c>
      <c r="G59" s="2">
        <f>EOMONTH(DATE(YEAR(CF_Gen_2[[#This Row],[Valuation]])-1,12,31),CF_Gen_2[[#This Row],['#Incurred]]*3)</f>
        <v>50951</v>
      </c>
      <c r="H59" s="14">
        <f>SUMIFS(Expected_CF[Expected_Premium],Expected_CF[ICG],CF_Gen_2[[#This Row],[ICG]],Expected_CF[Incurred],CF_Gen_2[[#This Row],[Incurred]])</f>
        <v>0</v>
      </c>
      <c r="I59" s="14">
        <f>SUMIFS(Expected_CF[Expected_Commission],Expected_CF[ICG],CF_Gen_2[[#This Row],[ICG]],Expected_CF[Incurred],CF_Gen_2[[#This Row],[Incurred]])</f>
        <v>0</v>
      </c>
      <c r="J59" s="14">
        <f>IF(CF_Gen_2[[#This Row],[Contract]]="IC",SUMIFS(Expected_CF[Expected_Acquisition],Expected_CF[ICG],CF_Gen_2[[#This Row],[ICG]],Expected_CF[Incurred],CF_Gen_2[[#This Row],[Incurred]]),0)</f>
        <v>0</v>
      </c>
      <c r="K59" s="14">
        <f>SUMIFS(Earned[Earned_Premium],Earned[ICG],CF_Gen_2[[#This Row],[ICG]],Earned[Incurred],CF_Gen_2[[#This Row],[Incurred]])</f>
        <v>-498360286.87584287</v>
      </c>
      <c r="L59" s="14">
        <f>SUMIFS(Earned[Earned_Commission],Earned[ICG],CF_Gen_2[[#This Row],[ICG]],Earned[Incurred],CF_Gen_2[[#This Row],[Incurred]])</f>
        <v>159569556.47637066</v>
      </c>
      <c r="M59" s="18">
        <f>_xlfn.XLOOKUP(CF_Gen_2[[#This Row],[ICG]],Assumptions[ICG],Assumptions[Loss_Ratio])</f>
        <v>0.38</v>
      </c>
      <c r="N59" s="18">
        <f>_xlfn.XLOOKUP(CF_Gen_2[[#This Row],[ICG]],Assumptions[ICG],Assumptions[Risk_Adjustment_Ratio])</f>
        <v>0.13</v>
      </c>
      <c r="O59" s="18">
        <f>_xlfn.XLOOKUP(CF_Gen_2[[#This Row],[ICG]],Assumptions[ICG],Assumptions[PME_Ratio])</f>
        <v>0</v>
      </c>
      <c r="P59" s="18">
        <f>_xlfn.XLOOKUP(CF_Gen_2[[#This Row],[ICG]],Assumptions[ICG],Assumptions[ULAE_Ratio])</f>
        <v>0</v>
      </c>
      <c r="Q59" s="18">
        <f>_xlfn.XLOOKUP(CF_Gen_2[[#This Row],[ICG]],Assumptions[ICG],Assumptions[Cancellation_Ratio])</f>
        <v>7.0000000000000007E-2</v>
      </c>
      <c r="R59" s="18">
        <f>_xlfn.XLOOKUP(CF_Gen_2[[#This Row],[ICG]],Assumptions[ICG],Assumptions[Premium_Refund_Ratio])</f>
        <v>0.5</v>
      </c>
      <c r="S59" s="18">
        <f>IF(CF_Gen_2[[#This Row],[Contract]]="RC",_xlfn.XLOOKUP(CF_Gen_2[[#This Row],[ICG]],Assumptions[ICG],Assumptions[NPR_Ratio]),0)</f>
        <v>2.8000000000000001E-2</v>
      </c>
      <c r="T59" s="17">
        <f>T58*(1-CF_Gen_2[[#This Row],[Cancellation_Ratio]])</f>
        <v>1.5978207896489714E-2</v>
      </c>
      <c r="U59" s="19">
        <f>IF(CF_Gen_2[[#This Row],[Incurred]]&lt;=CF_Gen_2[[#This Row],[Valuation]],CF_Gen_2[[#This Row],[Expected_Premium]],-CF_Gen_2[[#This Row],[Probability_of_Inforce]]*CF_Gen_2[[#This Row],[Premium_Refund_Ratio]]*CF_Gen_2[[#This Row],[Cancellation_Ratio]]*SUM(K59:K$105))</f>
        <v>5230428.2163994201</v>
      </c>
      <c r="V5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Row],[Cancellation_Ratio]]*SUM(L59:L$105))</f>
        <v>-1590750.8740950883</v>
      </c>
      <c r="W59" s="19">
        <f>CF_Gen_2[[#This Row],[Expected_Acquisition]]</f>
        <v>0</v>
      </c>
      <c r="X5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59" s="19">
        <f>-CF_Gen_2[[#This Row],[Probability_of_Inforce]]*CF_Gen_2[[#This Row],[Earned_Premium]]*(1-CF_Gen_2[[#This Row],[Cancellation_Ratio]])*CF_Gen_2[[#This Row],[Loss_Ratio]]</f>
        <v>2814090.3693913571</v>
      </c>
      <c r="Z59" s="19">
        <f>CF_Gen_2[[#This Row],[Exp_Claim]]*CF_Gen_2[[#This Row],[Risk_Adjustment_Ratio]]</f>
        <v>365831.74802087643</v>
      </c>
      <c r="AA59" s="19">
        <f>IF(CF_Gen_2[[#This Row],[Contract]]="RC",-CF_Gen_2[[#This Row],[NPR_Ratio]]*CF_Gen_2[[#This Row],[Exp_Claim]],0)</f>
        <v>-78794.530342957994</v>
      </c>
      <c r="AB59" s="19">
        <f>SUMIFS(Actual_CF[Actual_Premium],Actual_CF[ICG],CF_Gen_2[[#This Row],[ICG]],Actual_CF[Incurred],CF_Gen_2[[#This Row],[Incurred]])</f>
        <v>0</v>
      </c>
      <c r="AC59" s="19">
        <f>SUMIFS(Actual_CF[Actual_Commission],Actual_CF[ICG],CF_Gen_2[[#This Row],[ICG]],Actual_CF[Incurred],CF_Gen_2[[#This Row],[Incurred]])</f>
        <v>0</v>
      </c>
      <c r="AD59" s="19">
        <f>SUMIFS(Actual_CF[Actual_Acquisition],Actual_CF[ICG],CF_Gen_2[[#This Row],[ICG]],Actual_CF[Incurred],CF_Gen_2[[#This Row],[Incurred]])</f>
        <v>0</v>
      </c>
    </row>
    <row r="60" spans="1:30">
      <c r="A60" t="str">
        <f t="shared" si="2"/>
        <v>#2024#RC-Property</v>
      </c>
      <c r="B60">
        <f>_xlfn.XLOOKUP(CF_Gen_2[[#This Row],[ICG]],ICG[ICG],ICG[Cohort])</f>
        <v>2024</v>
      </c>
      <c r="C60" t="str">
        <f>_xlfn.XLOOKUP(CF_Gen_2[[#This Row],[ICG]],ICG[ICG],ICG[Portfolio])</f>
        <v>RC-Property</v>
      </c>
      <c r="D60" t="str">
        <f>_xlfn.XLOOKUP(CF_Gen_2[[#This Row],[ICG]],ICG[ICG],ICG[Contract])</f>
        <v>RC</v>
      </c>
      <c r="E60" s="2">
        <f t="shared" si="0"/>
        <v>45930</v>
      </c>
      <c r="F60">
        <v>59</v>
      </c>
      <c r="G60" s="2">
        <f>EOMONTH(DATE(YEAR(CF_Gen_2[[#This Row],[Valuation]])-1,12,31),CF_Gen_2[[#This Row],['#Incurred]]*3)</f>
        <v>51043</v>
      </c>
      <c r="H60" s="14">
        <f>SUMIFS(Expected_CF[Expected_Premium],Expected_CF[ICG],CF_Gen_2[[#This Row],[ICG]],Expected_CF[Incurred],CF_Gen_2[[#This Row],[Incurred]])</f>
        <v>0</v>
      </c>
      <c r="I60" s="14">
        <f>SUMIFS(Expected_CF[Expected_Commission],Expected_CF[ICG],CF_Gen_2[[#This Row],[ICG]],Expected_CF[Incurred],CF_Gen_2[[#This Row],[Incurred]])</f>
        <v>0</v>
      </c>
      <c r="J60" s="14">
        <f>IF(CF_Gen_2[[#This Row],[Contract]]="IC",SUMIFS(Expected_CF[Expected_Acquisition],Expected_CF[ICG],CF_Gen_2[[#This Row],[ICG]],Expected_CF[Incurred],CF_Gen_2[[#This Row],[Incurred]]),0)</f>
        <v>0</v>
      </c>
      <c r="K60" s="14">
        <f>SUMIFS(Earned[Earned_Premium],Earned[ICG],CF_Gen_2[[#This Row],[ICG]],Earned[Incurred],CF_Gen_2[[#This Row],[Incurred]])</f>
        <v>-484706580.38609374</v>
      </c>
      <c r="L60" s="14">
        <f>SUMIFS(Earned[Earned_Commission],Earned[ICG],CF_Gen_2[[#This Row],[ICG]],Earned[Incurred],CF_Gen_2[[#This Row],[Incurred]])</f>
        <v>154944351.94082373</v>
      </c>
      <c r="M60" s="18">
        <f>_xlfn.XLOOKUP(CF_Gen_2[[#This Row],[ICG]],Assumptions[ICG],Assumptions[Loss_Ratio])</f>
        <v>0.38</v>
      </c>
      <c r="N60" s="18">
        <f>_xlfn.XLOOKUP(CF_Gen_2[[#This Row],[ICG]],Assumptions[ICG],Assumptions[Risk_Adjustment_Ratio])</f>
        <v>0.13</v>
      </c>
      <c r="O60" s="18">
        <f>_xlfn.XLOOKUP(CF_Gen_2[[#This Row],[ICG]],Assumptions[ICG],Assumptions[PME_Ratio])</f>
        <v>0</v>
      </c>
      <c r="P60" s="18">
        <f>_xlfn.XLOOKUP(CF_Gen_2[[#This Row],[ICG]],Assumptions[ICG],Assumptions[ULAE_Ratio])</f>
        <v>0</v>
      </c>
      <c r="Q60" s="18">
        <f>_xlfn.XLOOKUP(CF_Gen_2[[#This Row],[ICG]],Assumptions[ICG],Assumptions[Cancellation_Ratio])</f>
        <v>7.0000000000000007E-2</v>
      </c>
      <c r="R60" s="18">
        <f>_xlfn.XLOOKUP(CF_Gen_2[[#This Row],[ICG]],Assumptions[ICG],Assumptions[Premium_Refund_Ratio])</f>
        <v>0.5</v>
      </c>
      <c r="S60" s="18">
        <f>IF(CF_Gen_2[[#This Row],[Contract]]="RC",_xlfn.XLOOKUP(CF_Gen_2[[#This Row],[ICG]],Assumptions[ICG],Assumptions[NPR_Ratio]),0)</f>
        <v>2.8000000000000001E-2</v>
      </c>
      <c r="T60" s="17">
        <f>T59*(1-CF_Gen_2[[#This Row],[Cancellation_Ratio]])</f>
        <v>1.4859733343735432E-2</v>
      </c>
      <c r="U60" s="19">
        <f>IF(CF_Gen_2[[#This Row],[Incurred]]&lt;=CF_Gen_2[[#This Row],[Valuation]],CF_Gen_2[[#This Row],[Expected_Premium]],-CF_Gen_2[[#This Row],[Probability_of_Inforce]]*CF_Gen_2[[#This Row],[Premium_Refund_Ratio]]*CF_Gen_2[[#This Row],[Cancellation_Ratio]]*SUM(K60:K$105))</f>
        <v>4605105.7072285721</v>
      </c>
      <c r="V6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Row],[Cancellation_Ratio]]*SUM(L60:L$105))</f>
        <v>-1396407.675842837</v>
      </c>
      <c r="W60" s="19">
        <f>CF_Gen_2[[#This Row],[Expected_Acquisition]]</f>
        <v>0</v>
      </c>
      <c r="X6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0" s="19">
        <f>-CF_Gen_2[[#This Row],[Probability_of_Inforce]]*CF_Gen_2[[#This Row],[Earned_Premium]]*(1-CF_Gen_2[[#This Row],[Cancellation_Ratio]])*CF_Gen_2[[#This Row],[Loss_Ratio]]</f>
        <v>2545402.5628891955</v>
      </c>
      <c r="Z60" s="19">
        <f>CF_Gen_2[[#This Row],[Exp_Claim]]*CF_Gen_2[[#This Row],[Risk_Adjustment_Ratio]]</f>
        <v>330902.33317559544</v>
      </c>
      <c r="AA60" s="19">
        <f>IF(CF_Gen_2[[#This Row],[Contract]]="RC",-CF_Gen_2[[#This Row],[NPR_Ratio]]*CF_Gen_2[[#This Row],[Exp_Claim]],0)</f>
        <v>-71271.271760897478</v>
      </c>
      <c r="AB60" s="19">
        <f>SUMIFS(Actual_CF[Actual_Premium],Actual_CF[ICG],CF_Gen_2[[#This Row],[ICG]],Actual_CF[Incurred],CF_Gen_2[[#This Row],[Incurred]])</f>
        <v>0</v>
      </c>
      <c r="AC60" s="19">
        <f>SUMIFS(Actual_CF[Actual_Commission],Actual_CF[ICG],CF_Gen_2[[#This Row],[ICG]],Actual_CF[Incurred],CF_Gen_2[[#This Row],[Incurred]])</f>
        <v>0</v>
      </c>
      <c r="AD60" s="19">
        <f>SUMIFS(Actual_CF[Actual_Acquisition],Actual_CF[ICG],CF_Gen_2[[#This Row],[ICG]],Actual_CF[Incurred],CF_Gen_2[[#This Row],[Incurred]])</f>
        <v>0</v>
      </c>
    </row>
    <row r="61" spans="1:30">
      <c r="A61" t="str">
        <f t="shared" si="2"/>
        <v>#2024#RC-Property</v>
      </c>
      <c r="B61">
        <f>_xlfn.XLOOKUP(CF_Gen_2[[#This Row],[ICG]],ICG[ICG],ICG[Cohort])</f>
        <v>2024</v>
      </c>
      <c r="C61" t="str">
        <f>_xlfn.XLOOKUP(CF_Gen_2[[#This Row],[ICG]],ICG[ICG],ICG[Portfolio])</f>
        <v>RC-Property</v>
      </c>
      <c r="D61" t="str">
        <f>_xlfn.XLOOKUP(CF_Gen_2[[#This Row],[ICG]],ICG[ICG],ICG[Contract])</f>
        <v>RC</v>
      </c>
      <c r="E61" s="2">
        <f t="shared" si="0"/>
        <v>45930</v>
      </c>
      <c r="F61">
        <v>60</v>
      </c>
      <c r="G61" s="2">
        <f>EOMONTH(DATE(YEAR(CF_Gen_2[[#This Row],[Valuation]])-1,12,31),CF_Gen_2[[#This Row],['#Incurred]]*3)</f>
        <v>51135</v>
      </c>
      <c r="H61" s="14">
        <f>SUMIFS(Expected_CF[Expected_Premium],Expected_CF[ICG],CF_Gen_2[[#This Row],[ICG]],Expected_CF[Incurred],CF_Gen_2[[#This Row],[Incurred]])</f>
        <v>0</v>
      </c>
      <c r="I61" s="14">
        <f>SUMIFS(Expected_CF[Expected_Commission],Expected_CF[ICG],CF_Gen_2[[#This Row],[ICG]],Expected_CF[Incurred],CF_Gen_2[[#This Row],[Incurred]])</f>
        <v>0</v>
      </c>
      <c r="J61" s="14">
        <f>IF(CF_Gen_2[[#This Row],[Contract]]="IC",SUMIFS(Expected_CF[Expected_Acquisition],Expected_CF[ICG],CF_Gen_2[[#This Row],[ICG]],Expected_CF[Incurred],CF_Gen_2[[#This Row],[Incurred]]),0)</f>
        <v>0</v>
      </c>
      <c r="K61" s="14">
        <f>SUMIFS(Earned[Earned_Premium],Earned[ICG],CF_Gen_2[[#This Row],[ICG]],Earned[Incurred],CF_Gen_2[[#This Row],[Incurred]])</f>
        <v>-471052873.8963446</v>
      </c>
      <c r="L61" s="14">
        <f>SUMIFS(Earned[Earned_Commission],Earned[ICG],CF_Gen_2[[#This Row],[ICG]],Earned[Incurred],CF_Gen_2[[#This Row],[Incurred]])</f>
        <v>150319147.40527675</v>
      </c>
      <c r="M61" s="18">
        <f>_xlfn.XLOOKUP(CF_Gen_2[[#This Row],[ICG]],Assumptions[ICG],Assumptions[Loss_Ratio])</f>
        <v>0.38</v>
      </c>
      <c r="N61" s="18">
        <f>_xlfn.XLOOKUP(CF_Gen_2[[#This Row],[ICG]],Assumptions[ICG],Assumptions[Risk_Adjustment_Ratio])</f>
        <v>0.13</v>
      </c>
      <c r="O61" s="18">
        <f>_xlfn.XLOOKUP(CF_Gen_2[[#This Row],[ICG]],Assumptions[ICG],Assumptions[PME_Ratio])</f>
        <v>0</v>
      </c>
      <c r="P61" s="18">
        <f>_xlfn.XLOOKUP(CF_Gen_2[[#This Row],[ICG]],Assumptions[ICG],Assumptions[ULAE_Ratio])</f>
        <v>0</v>
      </c>
      <c r="Q61" s="18">
        <f>_xlfn.XLOOKUP(CF_Gen_2[[#This Row],[ICG]],Assumptions[ICG],Assumptions[Cancellation_Ratio])</f>
        <v>7.0000000000000007E-2</v>
      </c>
      <c r="R61" s="18">
        <f>_xlfn.XLOOKUP(CF_Gen_2[[#This Row],[ICG]],Assumptions[ICG],Assumptions[Premium_Refund_Ratio])</f>
        <v>0.5</v>
      </c>
      <c r="S61" s="18">
        <f>IF(CF_Gen_2[[#This Row],[Contract]]="RC",_xlfn.XLOOKUP(CF_Gen_2[[#This Row],[ICG]],Assumptions[ICG],Assumptions[NPR_Ratio]),0)</f>
        <v>2.8000000000000001E-2</v>
      </c>
      <c r="T61" s="17">
        <f>T60*(1-CF_Gen_2[[#This Row],[Cancellation_Ratio]])</f>
        <v>1.3819552009673951E-2</v>
      </c>
      <c r="U61" s="19">
        <f>IF(CF_Gen_2[[#This Row],[Incurred]]&lt;=CF_Gen_2[[#This Row],[Valuation]],CF_Gen_2[[#This Row],[Expected_Premium]],-CF_Gen_2[[#This Row],[Probability_of_Inforce]]*CF_Gen_2[[#This Row],[Premium_Refund_Ratio]]*CF_Gen_2[[#This Row],[Cancellation_Ratio]]*SUM(K61:K$105))</f>
        <v>4048303.3348248838</v>
      </c>
      <c r="V6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Row],[Cancellation_Ratio]]*SUM(L61:L$105))</f>
        <v>-1223714.9849750381</v>
      </c>
      <c r="W61" s="19">
        <f>CF_Gen_2[[#This Row],[Expected_Acquisition]]</f>
        <v>0</v>
      </c>
      <c r="X6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1" s="19">
        <f>-CF_Gen_2[[#This Row],[Probability_of_Inforce]]*CF_Gen_2[[#This Row],[Earned_Premium]]*(1-CF_Gen_2[[#This Row],[Cancellation_Ratio]])*CF_Gen_2[[#This Row],[Loss_Ratio]]</f>
        <v>2300542.0064873192</v>
      </c>
      <c r="Z61" s="19">
        <f>CF_Gen_2[[#This Row],[Exp_Claim]]*CF_Gen_2[[#This Row],[Risk_Adjustment_Ratio]]</f>
        <v>299070.46084335149</v>
      </c>
      <c r="AA61" s="19">
        <f>IF(CF_Gen_2[[#This Row],[Contract]]="RC",-CF_Gen_2[[#This Row],[NPR_Ratio]]*CF_Gen_2[[#This Row],[Exp_Claim]],0)</f>
        <v>-64415.176181644943</v>
      </c>
      <c r="AB61" s="19">
        <f>SUMIFS(Actual_CF[Actual_Premium],Actual_CF[ICG],CF_Gen_2[[#This Row],[ICG]],Actual_CF[Incurred],CF_Gen_2[[#This Row],[Incurred]])</f>
        <v>0</v>
      </c>
      <c r="AC61" s="19">
        <f>SUMIFS(Actual_CF[Actual_Commission],Actual_CF[ICG],CF_Gen_2[[#This Row],[ICG]],Actual_CF[Incurred],CF_Gen_2[[#This Row],[Incurred]])</f>
        <v>0</v>
      </c>
      <c r="AD61" s="19">
        <f>SUMIFS(Actual_CF[Actual_Acquisition],Actual_CF[ICG],CF_Gen_2[[#This Row],[ICG]],Actual_CF[Incurred],CF_Gen_2[[#This Row],[Incurred]])</f>
        <v>0</v>
      </c>
    </row>
    <row r="62" spans="1:30">
      <c r="A62" t="str">
        <f t="shared" si="2"/>
        <v>#2024#RC-Property</v>
      </c>
      <c r="B62">
        <f>_xlfn.XLOOKUP(CF_Gen_2[[#This Row],[ICG]],ICG[ICG],ICG[Cohort])</f>
        <v>2024</v>
      </c>
      <c r="C62" t="str">
        <f>_xlfn.XLOOKUP(CF_Gen_2[[#This Row],[ICG]],ICG[ICG],ICG[Portfolio])</f>
        <v>RC-Property</v>
      </c>
      <c r="D62" t="str">
        <f>_xlfn.XLOOKUP(CF_Gen_2[[#This Row],[ICG]],ICG[ICG],ICG[Contract])</f>
        <v>RC</v>
      </c>
      <c r="E62" s="2">
        <f t="shared" si="0"/>
        <v>45930</v>
      </c>
      <c r="F62">
        <v>61</v>
      </c>
      <c r="G62" s="2">
        <f>EOMONTH(DATE(YEAR(CF_Gen_2[[#This Row],[Valuation]])-1,12,31),CF_Gen_2[[#This Row],['#Incurred]]*3)</f>
        <v>51226</v>
      </c>
      <c r="H62" s="14">
        <f>SUMIFS(Expected_CF[Expected_Premium],Expected_CF[ICG],CF_Gen_2[[#This Row],[ICG]],Expected_CF[Incurred],CF_Gen_2[[#This Row],[Incurred]])</f>
        <v>0</v>
      </c>
      <c r="I62" s="14">
        <f>SUMIFS(Expected_CF[Expected_Commission],Expected_CF[ICG],CF_Gen_2[[#This Row],[ICG]],Expected_CF[Incurred],CF_Gen_2[[#This Row],[Incurred]])</f>
        <v>0</v>
      </c>
      <c r="J62" s="14">
        <f>IF(CF_Gen_2[[#This Row],[Contract]]="IC",SUMIFS(Expected_CF[Expected_Acquisition],Expected_CF[ICG],CF_Gen_2[[#This Row],[ICG]],Expected_CF[Incurred],CF_Gen_2[[#This Row],[Incurred]]),0)</f>
        <v>0</v>
      </c>
      <c r="K62" s="14">
        <f>SUMIFS(Earned[Earned_Premium],Earned[ICG],CF_Gen_2[[#This Row],[ICG]],Earned[Incurred],CF_Gen_2[[#This Row],[Incurred]])</f>
        <v>-457399167.40659553</v>
      </c>
      <c r="L62" s="14">
        <f>SUMIFS(Earned[Earned_Commission],Earned[ICG],CF_Gen_2[[#This Row],[ICG]],Earned[Incurred],CF_Gen_2[[#This Row],[Incurred]])</f>
        <v>145693942.86972976</v>
      </c>
      <c r="M62" s="18">
        <f>_xlfn.XLOOKUP(CF_Gen_2[[#This Row],[ICG]],Assumptions[ICG],Assumptions[Loss_Ratio])</f>
        <v>0.38</v>
      </c>
      <c r="N62" s="18">
        <f>_xlfn.XLOOKUP(CF_Gen_2[[#This Row],[ICG]],Assumptions[ICG],Assumptions[Risk_Adjustment_Ratio])</f>
        <v>0.13</v>
      </c>
      <c r="O62" s="18">
        <f>_xlfn.XLOOKUP(CF_Gen_2[[#This Row],[ICG]],Assumptions[ICG],Assumptions[PME_Ratio])</f>
        <v>0</v>
      </c>
      <c r="P62" s="18">
        <f>_xlfn.XLOOKUP(CF_Gen_2[[#This Row],[ICG]],Assumptions[ICG],Assumptions[ULAE_Ratio])</f>
        <v>0</v>
      </c>
      <c r="Q62" s="18">
        <f>_xlfn.XLOOKUP(CF_Gen_2[[#This Row],[ICG]],Assumptions[ICG],Assumptions[Cancellation_Ratio])</f>
        <v>7.0000000000000007E-2</v>
      </c>
      <c r="R62" s="18">
        <f>_xlfn.XLOOKUP(CF_Gen_2[[#This Row],[ICG]],Assumptions[ICG],Assumptions[Premium_Refund_Ratio])</f>
        <v>0.5</v>
      </c>
      <c r="S62" s="18">
        <f>IF(CF_Gen_2[[#This Row],[Contract]]="RC",_xlfn.XLOOKUP(CF_Gen_2[[#This Row],[ICG]],Assumptions[ICG],Assumptions[NPR_Ratio]),0)</f>
        <v>2.8000000000000001E-2</v>
      </c>
      <c r="T62" s="17">
        <f>T61*(1-CF_Gen_2[[#This Row],[Cancellation_Ratio]])</f>
        <v>1.2852183368996774E-2</v>
      </c>
      <c r="U62" s="19">
        <f>IF(CF_Gen_2[[#This Row],[Incurred]]&lt;=CF_Gen_2[[#This Row],[Valuation]],CF_Gen_2[[#This Row],[Expected_Premium]],-CF_Gen_2[[#This Row],[Probability_of_Inforce]]*CF_Gen_2[[#This Row],[Premium_Refund_Ratio]]*CF_Gen_2[[#This Row],[Cancellation_Ratio]]*SUM(K62:K$105))</f>
        <v>3553030.074473836</v>
      </c>
      <c r="V6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Row],[Cancellation_Ratio]]*SUM(L62:L$105))</f>
        <v>-1070437.4124054499</v>
      </c>
      <c r="W62" s="19">
        <f>CF_Gen_2[[#This Row],[Expected_Acquisition]]</f>
        <v>0</v>
      </c>
      <c r="X6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2" s="19">
        <f>-CF_Gen_2[[#This Row],[Probability_of_Inforce]]*CF_Gen_2[[#This Row],[Earned_Premium]]*(1-CF_Gen_2[[#This Row],[Cancellation_Ratio]])*CF_Gen_2[[#This Row],[Loss_Ratio]]</f>
        <v>2077489.4554235488</v>
      </c>
      <c r="Z62" s="19">
        <f>CF_Gen_2[[#This Row],[Exp_Claim]]*CF_Gen_2[[#This Row],[Risk_Adjustment_Ratio]]</f>
        <v>270073.62920506136</v>
      </c>
      <c r="AA62" s="19">
        <f>IF(CF_Gen_2[[#This Row],[Contract]]="RC",-CF_Gen_2[[#This Row],[NPR_Ratio]]*CF_Gen_2[[#This Row],[Exp_Claim]],0)</f>
        <v>-58169.704751859368</v>
      </c>
      <c r="AB62" s="19">
        <f>SUMIFS(Actual_CF[Actual_Premium],Actual_CF[ICG],CF_Gen_2[[#This Row],[ICG]],Actual_CF[Incurred],CF_Gen_2[[#This Row],[Incurred]])</f>
        <v>0</v>
      </c>
      <c r="AC62" s="19">
        <f>SUMIFS(Actual_CF[Actual_Commission],Actual_CF[ICG],CF_Gen_2[[#This Row],[ICG]],Actual_CF[Incurred],CF_Gen_2[[#This Row],[Incurred]])</f>
        <v>0</v>
      </c>
      <c r="AD62" s="19">
        <f>SUMIFS(Actual_CF[Actual_Acquisition],Actual_CF[ICG],CF_Gen_2[[#This Row],[ICG]],Actual_CF[Incurred],CF_Gen_2[[#This Row],[Incurred]])</f>
        <v>0</v>
      </c>
    </row>
    <row r="63" spans="1:30">
      <c r="A63" t="str">
        <f t="shared" si="2"/>
        <v>#2024#RC-Property</v>
      </c>
      <c r="B63">
        <f>_xlfn.XLOOKUP(CF_Gen_2[[#This Row],[ICG]],ICG[ICG],ICG[Cohort])</f>
        <v>2024</v>
      </c>
      <c r="C63" t="str">
        <f>_xlfn.XLOOKUP(CF_Gen_2[[#This Row],[ICG]],ICG[ICG],ICG[Portfolio])</f>
        <v>RC-Property</v>
      </c>
      <c r="D63" t="str">
        <f>_xlfn.XLOOKUP(CF_Gen_2[[#This Row],[ICG]],ICG[ICG],ICG[Contract])</f>
        <v>RC</v>
      </c>
      <c r="E63" s="2">
        <f t="shared" si="0"/>
        <v>45930</v>
      </c>
      <c r="F63">
        <v>62</v>
      </c>
      <c r="G63" s="2">
        <f>EOMONTH(DATE(YEAR(CF_Gen_2[[#This Row],[Valuation]])-1,12,31),CF_Gen_2[[#This Row],['#Incurred]]*3)</f>
        <v>51317</v>
      </c>
      <c r="H63" s="14">
        <f>SUMIFS(Expected_CF[Expected_Premium],Expected_CF[ICG],CF_Gen_2[[#This Row],[ICG]],Expected_CF[Incurred],CF_Gen_2[[#This Row],[Incurred]])</f>
        <v>0</v>
      </c>
      <c r="I63" s="14">
        <f>SUMIFS(Expected_CF[Expected_Commission],Expected_CF[ICG],CF_Gen_2[[#This Row],[ICG]],Expected_CF[Incurred],CF_Gen_2[[#This Row],[Incurred]])</f>
        <v>0</v>
      </c>
      <c r="J63" s="14">
        <f>IF(CF_Gen_2[[#This Row],[Contract]]="IC",SUMIFS(Expected_CF[Expected_Acquisition],Expected_CF[ICG],CF_Gen_2[[#This Row],[ICG]],Expected_CF[Incurred],CF_Gen_2[[#This Row],[Incurred]]),0)</f>
        <v>0</v>
      </c>
      <c r="K63" s="14">
        <f>SUMIFS(Earned[Earned_Premium],Earned[ICG],CF_Gen_2[[#This Row],[ICG]],Earned[Incurred],CF_Gen_2[[#This Row],[Incurred]])</f>
        <v>-443745460.91684645</v>
      </c>
      <c r="L63" s="14">
        <f>SUMIFS(Earned[Earned_Commission],Earned[ICG],CF_Gen_2[[#This Row],[ICG]],Earned[Incurred],CF_Gen_2[[#This Row],[Incurred]])</f>
        <v>141068738.3341828</v>
      </c>
      <c r="M63" s="18">
        <f>_xlfn.XLOOKUP(CF_Gen_2[[#This Row],[ICG]],Assumptions[ICG],Assumptions[Loss_Ratio])</f>
        <v>0.38</v>
      </c>
      <c r="N63" s="18">
        <f>_xlfn.XLOOKUP(CF_Gen_2[[#This Row],[ICG]],Assumptions[ICG],Assumptions[Risk_Adjustment_Ratio])</f>
        <v>0.13</v>
      </c>
      <c r="O63" s="18">
        <f>_xlfn.XLOOKUP(CF_Gen_2[[#This Row],[ICG]],Assumptions[ICG],Assumptions[PME_Ratio])</f>
        <v>0</v>
      </c>
      <c r="P63" s="18">
        <f>_xlfn.XLOOKUP(CF_Gen_2[[#This Row],[ICG]],Assumptions[ICG],Assumptions[ULAE_Ratio])</f>
        <v>0</v>
      </c>
      <c r="Q63" s="18">
        <f>_xlfn.XLOOKUP(CF_Gen_2[[#This Row],[ICG]],Assumptions[ICG],Assumptions[Cancellation_Ratio])</f>
        <v>7.0000000000000007E-2</v>
      </c>
      <c r="R63" s="18">
        <f>_xlfn.XLOOKUP(CF_Gen_2[[#This Row],[ICG]],Assumptions[ICG],Assumptions[Premium_Refund_Ratio])</f>
        <v>0.5</v>
      </c>
      <c r="S63" s="18">
        <f>IF(CF_Gen_2[[#This Row],[Contract]]="RC",_xlfn.XLOOKUP(CF_Gen_2[[#This Row],[ICG]],Assumptions[ICG],Assumptions[NPR_Ratio]),0)</f>
        <v>2.8000000000000001E-2</v>
      </c>
      <c r="T63" s="17">
        <f>T62*(1-CF_Gen_2[[#This Row],[Cancellation_Ratio]])</f>
        <v>1.1952530533167E-2</v>
      </c>
      <c r="U63" s="19">
        <f>IF(CF_Gen_2[[#This Row],[Incurred]]&lt;=CF_Gen_2[[#This Row],[Valuation]],CF_Gen_2[[#This Row],[Expected_Premium]],-CF_Gen_2[[#This Row],[Probability_of_Inforce]]*CF_Gen_2[[#This Row],[Premium_Refund_Ratio]]*CF_Gen_2[[#This Row],[Cancellation_Ratio]]*SUM(K63:K$105))</f>
        <v>3112970.2562611303</v>
      </c>
      <c r="V6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Row],[Cancellation_Ratio]]*SUM(L63:L$105))</f>
        <v>-934557.39801439072</v>
      </c>
      <c r="W63" s="19">
        <f>CF_Gen_2[[#This Row],[Expected_Acquisition]]</f>
        <v>0</v>
      </c>
      <c r="X6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3" s="19">
        <f>-CF_Gen_2[[#This Row],[Probability_of_Inforce]]*CF_Gen_2[[#This Row],[Earned_Premium]]*(1-CF_Gen_2[[#This Row],[Cancellation_Ratio]])*CF_Gen_2[[#This Row],[Loss_Ratio]]</f>
        <v>1874391.6056769183</v>
      </c>
      <c r="Z63" s="19">
        <f>CF_Gen_2[[#This Row],[Exp_Claim]]*CF_Gen_2[[#This Row],[Risk_Adjustment_Ratio]]</f>
        <v>243670.90873799939</v>
      </c>
      <c r="AA63" s="19">
        <f>IF(CF_Gen_2[[#This Row],[Contract]]="RC",-CF_Gen_2[[#This Row],[NPR_Ratio]]*CF_Gen_2[[#This Row],[Exp_Claim]],0)</f>
        <v>-52482.964958953715</v>
      </c>
      <c r="AB63" s="19">
        <f>SUMIFS(Actual_CF[Actual_Premium],Actual_CF[ICG],CF_Gen_2[[#This Row],[ICG]],Actual_CF[Incurred],CF_Gen_2[[#This Row],[Incurred]])</f>
        <v>0</v>
      </c>
      <c r="AC63" s="19">
        <f>SUMIFS(Actual_CF[Actual_Commission],Actual_CF[ICG],CF_Gen_2[[#This Row],[ICG]],Actual_CF[Incurred],CF_Gen_2[[#This Row],[Incurred]])</f>
        <v>0</v>
      </c>
      <c r="AD63" s="19">
        <f>SUMIFS(Actual_CF[Actual_Acquisition],Actual_CF[ICG],CF_Gen_2[[#This Row],[ICG]],Actual_CF[Incurred],CF_Gen_2[[#This Row],[Incurred]])</f>
        <v>0</v>
      </c>
    </row>
    <row r="64" spans="1:30">
      <c r="A64" t="str">
        <f t="shared" si="2"/>
        <v>#2024#RC-Property</v>
      </c>
      <c r="B64">
        <f>_xlfn.XLOOKUP(CF_Gen_2[[#This Row],[ICG]],ICG[ICG],ICG[Cohort])</f>
        <v>2024</v>
      </c>
      <c r="C64" t="str">
        <f>_xlfn.XLOOKUP(CF_Gen_2[[#This Row],[ICG]],ICG[ICG],ICG[Portfolio])</f>
        <v>RC-Property</v>
      </c>
      <c r="D64" t="str">
        <f>_xlfn.XLOOKUP(CF_Gen_2[[#This Row],[ICG]],ICG[ICG],ICG[Contract])</f>
        <v>RC</v>
      </c>
      <c r="E64" s="2">
        <f t="shared" si="0"/>
        <v>45930</v>
      </c>
      <c r="F64">
        <v>63</v>
      </c>
      <c r="G64" s="2">
        <f>EOMONTH(DATE(YEAR(CF_Gen_2[[#This Row],[Valuation]])-1,12,31),CF_Gen_2[[#This Row],['#Incurred]]*3)</f>
        <v>51409</v>
      </c>
      <c r="H64" s="14">
        <f>SUMIFS(Expected_CF[Expected_Premium],Expected_CF[ICG],CF_Gen_2[[#This Row],[ICG]],Expected_CF[Incurred],CF_Gen_2[[#This Row],[Incurred]])</f>
        <v>0</v>
      </c>
      <c r="I64" s="14">
        <f>SUMIFS(Expected_CF[Expected_Commission],Expected_CF[ICG],CF_Gen_2[[#This Row],[ICG]],Expected_CF[Incurred],CF_Gen_2[[#This Row],[Incurred]])</f>
        <v>0</v>
      </c>
      <c r="J64" s="14">
        <f>IF(CF_Gen_2[[#This Row],[Contract]]="IC",SUMIFS(Expected_CF[Expected_Acquisition],Expected_CF[ICG],CF_Gen_2[[#This Row],[ICG]],Expected_CF[Incurred],CF_Gen_2[[#This Row],[Incurred]]),0)</f>
        <v>0</v>
      </c>
      <c r="K64" s="14">
        <f>SUMIFS(Earned[Earned_Premium],Earned[ICG],CF_Gen_2[[#This Row],[ICG]],Earned[Incurred],CF_Gen_2[[#This Row],[Incurred]])</f>
        <v>-430091754.42709732</v>
      </c>
      <c r="L64" s="14">
        <f>SUMIFS(Earned[Earned_Commission],Earned[ICG],CF_Gen_2[[#This Row],[ICG]],Earned[Incurred],CF_Gen_2[[#This Row],[Incurred]])</f>
        <v>136443533.79863581</v>
      </c>
      <c r="M64" s="18">
        <f>_xlfn.XLOOKUP(CF_Gen_2[[#This Row],[ICG]],Assumptions[ICG],Assumptions[Loss_Ratio])</f>
        <v>0.38</v>
      </c>
      <c r="N64" s="18">
        <f>_xlfn.XLOOKUP(CF_Gen_2[[#This Row],[ICG]],Assumptions[ICG],Assumptions[Risk_Adjustment_Ratio])</f>
        <v>0.13</v>
      </c>
      <c r="O64" s="18">
        <f>_xlfn.XLOOKUP(CF_Gen_2[[#This Row],[ICG]],Assumptions[ICG],Assumptions[PME_Ratio])</f>
        <v>0</v>
      </c>
      <c r="P64" s="18">
        <f>_xlfn.XLOOKUP(CF_Gen_2[[#This Row],[ICG]],Assumptions[ICG],Assumptions[ULAE_Ratio])</f>
        <v>0</v>
      </c>
      <c r="Q64" s="18">
        <f>_xlfn.XLOOKUP(CF_Gen_2[[#This Row],[ICG]],Assumptions[ICG],Assumptions[Cancellation_Ratio])</f>
        <v>7.0000000000000007E-2</v>
      </c>
      <c r="R64" s="18">
        <f>_xlfn.XLOOKUP(CF_Gen_2[[#This Row],[ICG]],Assumptions[ICG],Assumptions[Premium_Refund_Ratio])</f>
        <v>0.5</v>
      </c>
      <c r="S64" s="18">
        <f>IF(CF_Gen_2[[#This Row],[Contract]]="RC",_xlfn.XLOOKUP(CF_Gen_2[[#This Row],[ICG]],Assumptions[ICG],Assumptions[NPR_Ratio]),0)</f>
        <v>2.8000000000000001E-2</v>
      </c>
      <c r="T64" s="17">
        <f>T63*(1-CF_Gen_2[[#This Row],[Cancellation_Ratio]])</f>
        <v>1.1115853395845308E-2</v>
      </c>
      <c r="U64" s="19">
        <f>IF(CF_Gen_2[[#This Row],[Incurred]]&lt;=CF_Gen_2[[#This Row],[Valuation]],CF_Gen_2[[#This Row],[Expected_Premium]],-CF_Gen_2[[#This Row],[Probability_of_Inforce]]*CF_Gen_2[[#This Row],[Premium_Refund_Ratio]]*CF_Gen_2[[#This Row],[Cancellation_Ratio]]*SUM(K64:K$105))</f>
        <v>2722421.0062210294</v>
      </c>
      <c r="V6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Row],[Cancellation_Ratio]]*SUM(L64:L$105))</f>
        <v>-814254.90066129621</v>
      </c>
      <c r="W64" s="19">
        <f>CF_Gen_2[[#This Row],[Expected_Acquisition]]</f>
        <v>0</v>
      </c>
      <c r="X6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4" s="19">
        <f>-CF_Gen_2[[#This Row],[Probability_of_Inforce]]*CF_Gen_2[[#This Row],[Earned_Premium]]*(1-CF_Gen_2[[#This Row],[Cancellation_Ratio]])*CF_Gen_2[[#This Row],[Loss_Ratio]]</f>
        <v>1689547.7565632407</v>
      </c>
      <c r="Z64" s="19">
        <f>CF_Gen_2[[#This Row],[Exp_Claim]]*CF_Gen_2[[#This Row],[Risk_Adjustment_Ratio]]</f>
        <v>219641.2083532213</v>
      </c>
      <c r="AA64" s="19">
        <f>IF(CF_Gen_2[[#This Row],[Contract]]="RC",-CF_Gen_2[[#This Row],[NPR_Ratio]]*CF_Gen_2[[#This Row],[Exp_Claim]],0)</f>
        <v>-47307.337183770738</v>
      </c>
      <c r="AB64" s="19">
        <f>SUMIFS(Actual_CF[Actual_Premium],Actual_CF[ICG],CF_Gen_2[[#This Row],[ICG]],Actual_CF[Incurred],CF_Gen_2[[#This Row],[Incurred]])</f>
        <v>0</v>
      </c>
      <c r="AC64" s="19">
        <f>SUMIFS(Actual_CF[Actual_Commission],Actual_CF[ICG],CF_Gen_2[[#This Row],[ICG]],Actual_CF[Incurred],CF_Gen_2[[#This Row],[Incurred]])</f>
        <v>0</v>
      </c>
      <c r="AD64" s="19">
        <f>SUMIFS(Actual_CF[Actual_Acquisition],Actual_CF[ICG],CF_Gen_2[[#This Row],[ICG]],Actual_CF[Incurred],CF_Gen_2[[#This Row],[Incurred]])</f>
        <v>0</v>
      </c>
    </row>
    <row r="65" spans="1:30">
      <c r="A65" t="str">
        <f t="shared" si="2"/>
        <v>#2024#RC-Property</v>
      </c>
      <c r="B65">
        <f>_xlfn.XLOOKUP(CF_Gen_2[[#This Row],[ICG]],ICG[ICG],ICG[Cohort])</f>
        <v>2024</v>
      </c>
      <c r="C65" t="str">
        <f>_xlfn.XLOOKUP(CF_Gen_2[[#This Row],[ICG]],ICG[ICG],ICG[Portfolio])</f>
        <v>RC-Property</v>
      </c>
      <c r="D65" t="str">
        <f>_xlfn.XLOOKUP(CF_Gen_2[[#This Row],[ICG]],ICG[ICG],ICG[Contract])</f>
        <v>RC</v>
      </c>
      <c r="E65" s="2">
        <f t="shared" si="0"/>
        <v>45930</v>
      </c>
      <c r="F65">
        <v>64</v>
      </c>
      <c r="G65" s="2">
        <f>EOMONTH(DATE(YEAR(CF_Gen_2[[#This Row],[Valuation]])-1,12,31),CF_Gen_2[[#This Row],['#Incurred]]*3)</f>
        <v>51501</v>
      </c>
      <c r="H65" s="14">
        <f>SUMIFS(Expected_CF[Expected_Premium],Expected_CF[ICG],CF_Gen_2[[#This Row],[ICG]],Expected_CF[Incurred],CF_Gen_2[[#This Row],[Incurred]])</f>
        <v>0</v>
      </c>
      <c r="I65" s="14">
        <f>SUMIFS(Expected_CF[Expected_Commission],Expected_CF[ICG],CF_Gen_2[[#This Row],[ICG]],Expected_CF[Incurred],CF_Gen_2[[#This Row],[Incurred]])</f>
        <v>0</v>
      </c>
      <c r="J65" s="14">
        <f>IF(CF_Gen_2[[#This Row],[Contract]]="IC",SUMIFS(Expected_CF[Expected_Acquisition],Expected_CF[ICG],CF_Gen_2[[#This Row],[ICG]],Expected_CF[Incurred],CF_Gen_2[[#This Row],[Incurred]]),0)</f>
        <v>0</v>
      </c>
      <c r="K65" s="14">
        <f>SUMIFS(Earned[Earned_Premium],Earned[ICG],CF_Gen_2[[#This Row],[ICG]],Earned[Incurred],CF_Gen_2[[#This Row],[Incurred]])</f>
        <v>-416438047.93734813</v>
      </c>
      <c r="L65" s="14">
        <f>SUMIFS(Earned[Earned_Commission],Earned[ICG],CF_Gen_2[[#This Row],[ICG]],Earned[Incurred],CF_Gen_2[[#This Row],[Incurred]])</f>
        <v>131818329.26308882</v>
      </c>
      <c r="M65" s="18">
        <f>_xlfn.XLOOKUP(CF_Gen_2[[#This Row],[ICG]],Assumptions[ICG],Assumptions[Loss_Ratio])</f>
        <v>0.38</v>
      </c>
      <c r="N65" s="18">
        <f>_xlfn.XLOOKUP(CF_Gen_2[[#This Row],[ICG]],Assumptions[ICG],Assumptions[Risk_Adjustment_Ratio])</f>
        <v>0.13</v>
      </c>
      <c r="O65" s="18">
        <f>_xlfn.XLOOKUP(CF_Gen_2[[#This Row],[ICG]],Assumptions[ICG],Assumptions[PME_Ratio])</f>
        <v>0</v>
      </c>
      <c r="P65" s="18">
        <f>_xlfn.XLOOKUP(CF_Gen_2[[#This Row],[ICG]],Assumptions[ICG],Assumptions[ULAE_Ratio])</f>
        <v>0</v>
      </c>
      <c r="Q65" s="18">
        <f>_xlfn.XLOOKUP(CF_Gen_2[[#This Row],[ICG]],Assumptions[ICG],Assumptions[Cancellation_Ratio])</f>
        <v>7.0000000000000007E-2</v>
      </c>
      <c r="R65" s="18">
        <f>_xlfn.XLOOKUP(CF_Gen_2[[#This Row],[ICG]],Assumptions[ICG],Assumptions[Premium_Refund_Ratio])</f>
        <v>0.5</v>
      </c>
      <c r="S65" s="18">
        <f>IF(CF_Gen_2[[#This Row],[Contract]]="RC",_xlfn.XLOOKUP(CF_Gen_2[[#This Row],[ICG]],Assumptions[ICG],Assumptions[NPR_Ratio]),0)</f>
        <v>2.8000000000000001E-2</v>
      </c>
      <c r="T65" s="17">
        <f>T64*(1-CF_Gen_2[[#This Row],[Cancellation_Ratio]])</f>
        <v>1.0337743658136136E-2</v>
      </c>
      <c r="U65" s="19">
        <f>IF(CF_Gen_2[[#This Row],[Incurred]]&lt;=CF_Gen_2[[#This Row],[Valuation]],CF_Gen_2[[#This Row],[Expected_Premium]],-CF_Gen_2[[#This Row],[Probability_of_Inforce]]*CF_Gen_2[[#This Row],[Premium_Refund_Ratio]]*CF_Gen_2[[#This Row],[Cancellation_Ratio]]*SUM(K65:K$105))</f>
        <v>2376235.2950494695</v>
      </c>
      <c r="V6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Row],[Cancellation_Ratio]]*SUM(L65:L$105))</f>
        <v>-707888.91794728686</v>
      </c>
      <c r="W65" s="19">
        <f>CF_Gen_2[[#This Row],[Expected_Acquisition]]</f>
        <v>0</v>
      </c>
      <c r="X6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5" s="19">
        <f>-CF_Gen_2[[#This Row],[Probability_of_Inforce]]*CF_Gen_2[[#This Row],[Earned_Premium]]*(1-CF_Gen_2[[#This Row],[Cancellation_Ratio]])*CF_Gen_2[[#This Row],[Loss_Ratio]]</f>
        <v>1521397.5274576603</v>
      </c>
      <c r="Z65" s="19">
        <f>CF_Gen_2[[#This Row],[Exp_Claim]]*CF_Gen_2[[#This Row],[Risk_Adjustment_Ratio]]</f>
        <v>197781.67856949585</v>
      </c>
      <c r="AA65" s="19">
        <f>IF(CF_Gen_2[[#This Row],[Contract]]="RC",-CF_Gen_2[[#This Row],[NPR_Ratio]]*CF_Gen_2[[#This Row],[Exp_Claim]],0)</f>
        <v>-42599.130768814488</v>
      </c>
      <c r="AB65" s="19">
        <f>SUMIFS(Actual_CF[Actual_Premium],Actual_CF[ICG],CF_Gen_2[[#This Row],[ICG]],Actual_CF[Incurred],CF_Gen_2[[#This Row],[Incurred]])</f>
        <v>0</v>
      </c>
      <c r="AC65" s="19">
        <f>SUMIFS(Actual_CF[Actual_Commission],Actual_CF[ICG],CF_Gen_2[[#This Row],[ICG]],Actual_CF[Incurred],CF_Gen_2[[#This Row],[Incurred]])</f>
        <v>0</v>
      </c>
      <c r="AD65" s="19">
        <f>SUMIFS(Actual_CF[Actual_Acquisition],Actual_CF[ICG],CF_Gen_2[[#This Row],[ICG]],Actual_CF[Incurred],CF_Gen_2[[#This Row],[Incurred]])</f>
        <v>0</v>
      </c>
    </row>
    <row r="66" spans="1:30">
      <c r="A66" t="str">
        <f t="shared" si="2"/>
        <v>#2024#RC-Property</v>
      </c>
      <c r="B66">
        <f>_xlfn.XLOOKUP(CF_Gen_2[[#This Row],[ICG]],ICG[ICG],ICG[Cohort])</f>
        <v>2024</v>
      </c>
      <c r="C66" t="str">
        <f>_xlfn.XLOOKUP(CF_Gen_2[[#This Row],[ICG]],ICG[ICG],ICG[Portfolio])</f>
        <v>RC-Property</v>
      </c>
      <c r="D66" t="str">
        <f>_xlfn.XLOOKUP(CF_Gen_2[[#This Row],[ICG]],ICG[ICG],ICG[Contract])</f>
        <v>RC</v>
      </c>
      <c r="E66" s="2">
        <f t="shared" ref="E66:E105" si="3">ValuationDate</f>
        <v>45930</v>
      </c>
      <c r="F66">
        <v>65</v>
      </c>
      <c r="G66" s="2">
        <f>EOMONTH(DATE(YEAR(CF_Gen_2[[#This Row],[Valuation]])-1,12,31),CF_Gen_2[[#This Row],['#Incurred]]*3)</f>
        <v>51591</v>
      </c>
      <c r="H66" s="14">
        <f>SUMIFS(Expected_CF[Expected_Premium],Expected_CF[ICG],CF_Gen_2[[#This Row],[ICG]],Expected_CF[Incurred],CF_Gen_2[[#This Row],[Incurred]])</f>
        <v>0</v>
      </c>
      <c r="I66" s="14">
        <f>SUMIFS(Expected_CF[Expected_Commission],Expected_CF[ICG],CF_Gen_2[[#This Row],[ICG]],Expected_CF[Incurred],CF_Gen_2[[#This Row],[Incurred]])</f>
        <v>0</v>
      </c>
      <c r="J66" s="14">
        <f>IF(CF_Gen_2[[#This Row],[Contract]]="IC",SUMIFS(Expected_CF[Expected_Acquisition],Expected_CF[ICG],CF_Gen_2[[#This Row],[ICG]],Expected_CF[Incurred],CF_Gen_2[[#This Row],[Incurred]]),0)</f>
        <v>0</v>
      </c>
      <c r="K66" s="14">
        <f>SUMIFS(Earned[Earned_Premium],Earned[ICG],CF_Gen_2[[#This Row],[ICG]],Earned[Incurred],CF_Gen_2[[#This Row],[Incurred]])</f>
        <v>-402784341.44759899</v>
      </c>
      <c r="L66" s="14">
        <f>SUMIFS(Earned[Earned_Commission],Earned[ICG],CF_Gen_2[[#This Row],[ICG]],Earned[Incurred],CF_Gen_2[[#This Row],[Incurred]])</f>
        <v>127193124.72754185</v>
      </c>
      <c r="M66" s="18">
        <f>_xlfn.XLOOKUP(CF_Gen_2[[#This Row],[ICG]],Assumptions[ICG],Assumptions[Loss_Ratio])</f>
        <v>0.38</v>
      </c>
      <c r="N66" s="18">
        <f>_xlfn.XLOOKUP(CF_Gen_2[[#This Row],[ICG]],Assumptions[ICG],Assumptions[Risk_Adjustment_Ratio])</f>
        <v>0.13</v>
      </c>
      <c r="O66" s="18">
        <f>_xlfn.XLOOKUP(CF_Gen_2[[#This Row],[ICG]],Assumptions[ICG],Assumptions[PME_Ratio])</f>
        <v>0</v>
      </c>
      <c r="P66" s="18">
        <f>_xlfn.XLOOKUP(CF_Gen_2[[#This Row],[ICG]],Assumptions[ICG],Assumptions[ULAE_Ratio])</f>
        <v>0</v>
      </c>
      <c r="Q66" s="18">
        <f>_xlfn.XLOOKUP(CF_Gen_2[[#This Row],[ICG]],Assumptions[ICG],Assumptions[Cancellation_Ratio])</f>
        <v>7.0000000000000007E-2</v>
      </c>
      <c r="R66" s="18">
        <f>_xlfn.XLOOKUP(CF_Gen_2[[#This Row],[ICG]],Assumptions[ICG],Assumptions[Premium_Refund_Ratio])</f>
        <v>0.5</v>
      </c>
      <c r="S66" s="18">
        <f>IF(CF_Gen_2[[#This Row],[Contract]]="RC",_xlfn.XLOOKUP(CF_Gen_2[[#This Row],[ICG]],Assumptions[ICG],Assumptions[NPR_Ratio]),0)</f>
        <v>2.8000000000000001E-2</v>
      </c>
      <c r="T66" s="17">
        <f>T65*(1-CF_Gen_2[[#This Row],[Cancellation_Ratio]])</f>
        <v>9.6141016020666048E-3</v>
      </c>
      <c r="U66" s="19">
        <f>IF(CF_Gen_2[[#This Row],[Incurred]]&lt;=CF_Gen_2[[#This Row],[Valuation]],CF_Gen_2[[#This Row],[Expected_Premium]],-CF_Gen_2[[#This Row],[Probability_of_Inforce]]*CF_Gen_2[[#This Row],[Premium_Refund_Ratio]]*CF_Gen_2[[#This Row],[Cancellation_Ratio]]*SUM(K66:K$105))</f>
        <v>2069770.1047617476</v>
      </c>
      <c r="V6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Row],[Cancellation_Ratio]]*SUM(L66:L$105))</f>
        <v>-613980.67532172636</v>
      </c>
      <c r="W66" s="19">
        <f>CF_Gen_2[[#This Row],[Expected_Acquisition]]</f>
        <v>0</v>
      </c>
      <c r="X6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6" s="19">
        <f>-CF_Gen_2[[#This Row],[Probability_of_Inforce]]*CF_Gen_2[[#This Row],[Earned_Premium]]*(1-CF_Gen_2[[#This Row],[Cancellation_Ratio]])*CF_Gen_2[[#This Row],[Loss_Ratio]]</f>
        <v>1368509.546419702</v>
      </c>
      <c r="Z66" s="19">
        <f>CF_Gen_2[[#This Row],[Exp_Claim]]*CF_Gen_2[[#This Row],[Risk_Adjustment_Ratio]]</f>
        <v>177906.24103456127</v>
      </c>
      <c r="AA66" s="19">
        <f>IF(CF_Gen_2[[#This Row],[Contract]]="RC",-CF_Gen_2[[#This Row],[NPR_Ratio]]*CF_Gen_2[[#This Row],[Exp_Claim]],0)</f>
        <v>-38318.267299751657</v>
      </c>
      <c r="AB66" s="19">
        <f>SUMIFS(Actual_CF[Actual_Premium],Actual_CF[ICG],CF_Gen_2[[#This Row],[ICG]],Actual_CF[Incurred],CF_Gen_2[[#This Row],[Incurred]])</f>
        <v>0</v>
      </c>
      <c r="AC66" s="19">
        <f>SUMIFS(Actual_CF[Actual_Commission],Actual_CF[ICG],CF_Gen_2[[#This Row],[ICG]],Actual_CF[Incurred],CF_Gen_2[[#This Row],[Incurred]])</f>
        <v>0</v>
      </c>
      <c r="AD66" s="19">
        <f>SUMIFS(Actual_CF[Actual_Acquisition],Actual_CF[ICG],CF_Gen_2[[#This Row],[ICG]],Actual_CF[Incurred],CF_Gen_2[[#This Row],[Incurred]])</f>
        <v>0</v>
      </c>
    </row>
    <row r="67" spans="1:30">
      <c r="A67" t="str">
        <f t="shared" ref="A67:A101" si="4">A66</f>
        <v>#2024#RC-Property</v>
      </c>
      <c r="B67">
        <f>_xlfn.XLOOKUP(CF_Gen_2[[#This Row],[ICG]],ICG[ICG],ICG[Cohort])</f>
        <v>2024</v>
      </c>
      <c r="C67" t="str">
        <f>_xlfn.XLOOKUP(CF_Gen_2[[#This Row],[ICG]],ICG[ICG],ICG[Portfolio])</f>
        <v>RC-Property</v>
      </c>
      <c r="D67" t="str">
        <f>_xlfn.XLOOKUP(CF_Gen_2[[#This Row],[ICG]],ICG[ICG],ICG[Contract])</f>
        <v>RC</v>
      </c>
      <c r="E67" s="2">
        <f t="shared" si="3"/>
        <v>45930</v>
      </c>
      <c r="F67">
        <v>66</v>
      </c>
      <c r="G67" s="2">
        <f>EOMONTH(DATE(YEAR(CF_Gen_2[[#This Row],[Valuation]])-1,12,31),CF_Gen_2[[#This Row],['#Incurred]]*3)</f>
        <v>51682</v>
      </c>
      <c r="H67" s="14">
        <f>SUMIFS(Expected_CF[Expected_Premium],Expected_CF[ICG],CF_Gen_2[[#This Row],[ICG]],Expected_CF[Incurred],CF_Gen_2[[#This Row],[Incurred]])</f>
        <v>0</v>
      </c>
      <c r="I67" s="14">
        <f>SUMIFS(Expected_CF[Expected_Commission],Expected_CF[ICG],CF_Gen_2[[#This Row],[ICG]],Expected_CF[Incurred],CF_Gen_2[[#This Row],[Incurred]])</f>
        <v>0</v>
      </c>
      <c r="J67" s="14">
        <f>IF(CF_Gen_2[[#This Row],[Contract]]="IC",SUMIFS(Expected_CF[Expected_Acquisition],Expected_CF[ICG],CF_Gen_2[[#This Row],[ICG]],Expected_CF[Incurred],CF_Gen_2[[#This Row],[Incurred]]),0)</f>
        <v>0</v>
      </c>
      <c r="K67" s="14">
        <f>SUMIFS(Earned[Earned_Premium],Earned[ICG],CF_Gen_2[[#This Row],[ICG]],Earned[Incurred],CF_Gen_2[[#This Row],[Incurred]])</f>
        <v>-389130634.95784998</v>
      </c>
      <c r="L67" s="14">
        <f>SUMIFS(Earned[Earned_Commission],Earned[ICG],CF_Gen_2[[#This Row],[ICG]],Earned[Incurred],CF_Gen_2[[#This Row],[Incurred]])</f>
        <v>122567920.19199488</v>
      </c>
      <c r="M67" s="18">
        <f>_xlfn.XLOOKUP(CF_Gen_2[[#This Row],[ICG]],Assumptions[ICG],Assumptions[Loss_Ratio])</f>
        <v>0.38</v>
      </c>
      <c r="N67" s="18">
        <f>_xlfn.XLOOKUP(CF_Gen_2[[#This Row],[ICG]],Assumptions[ICG],Assumptions[Risk_Adjustment_Ratio])</f>
        <v>0.13</v>
      </c>
      <c r="O67" s="18">
        <f>_xlfn.XLOOKUP(CF_Gen_2[[#This Row],[ICG]],Assumptions[ICG],Assumptions[PME_Ratio])</f>
        <v>0</v>
      </c>
      <c r="P67" s="18">
        <f>_xlfn.XLOOKUP(CF_Gen_2[[#This Row],[ICG]],Assumptions[ICG],Assumptions[ULAE_Ratio])</f>
        <v>0</v>
      </c>
      <c r="Q67" s="18">
        <f>_xlfn.XLOOKUP(CF_Gen_2[[#This Row],[ICG]],Assumptions[ICG],Assumptions[Cancellation_Ratio])</f>
        <v>7.0000000000000007E-2</v>
      </c>
      <c r="R67" s="18">
        <f>_xlfn.XLOOKUP(CF_Gen_2[[#This Row],[ICG]],Assumptions[ICG],Assumptions[Premium_Refund_Ratio])</f>
        <v>0.5</v>
      </c>
      <c r="S67" s="18">
        <f>IF(CF_Gen_2[[#This Row],[Contract]]="RC",_xlfn.XLOOKUP(CF_Gen_2[[#This Row],[ICG]],Assumptions[ICG],Assumptions[NPR_Ratio]),0)</f>
        <v>2.8000000000000001E-2</v>
      </c>
      <c r="T67" s="17">
        <f>T66*(1-CF_Gen_2[[#This Row],[Cancellation_Ratio]])</f>
        <v>8.9411144899219416E-3</v>
      </c>
      <c r="U67" s="19">
        <f>IF(CF_Gen_2[[#This Row],[Incurred]]&lt;=CF_Gen_2[[#This Row],[Valuation]],CF_Gen_2[[#This Row],[Expected_Premium]],-CF_Gen_2[[#This Row],[Probability_of_Inforce]]*CF_Gen_2[[#This Row],[Premium_Refund_Ratio]]*CF_Gen_2[[#This Row],[Cancellation_Ratio]]*SUM(K67:K$105))</f>
        <v>1798839.2655213475</v>
      </c>
      <c r="V6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Row],[Cancellation_Ratio]]*SUM(L67:L$105))</f>
        <v>-531198.33788101003</v>
      </c>
      <c r="W67" s="19">
        <f>CF_Gen_2[[#This Row],[Expected_Acquisition]]</f>
        <v>0</v>
      </c>
      <c r="X6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7" s="19">
        <f>-CF_Gen_2[[#This Row],[Probability_of_Inforce]]*CF_Gen_2[[#This Row],[Earned_Premium]]*(1-CF_Gen_2[[#This Row],[Cancellation_Ratio]])*CF_Gen_2[[#This Row],[Loss_Ratio]]</f>
        <v>1229571.0348425156</v>
      </c>
      <c r="Z67" s="19">
        <f>CF_Gen_2[[#This Row],[Exp_Claim]]*CF_Gen_2[[#This Row],[Risk_Adjustment_Ratio]]</f>
        <v>159844.23452952702</v>
      </c>
      <c r="AA67" s="19">
        <f>IF(CF_Gen_2[[#This Row],[Contract]]="RC",-CF_Gen_2[[#This Row],[NPR_Ratio]]*CF_Gen_2[[#This Row],[Exp_Claim]],0)</f>
        <v>-34427.988975590437</v>
      </c>
      <c r="AB67" s="19">
        <f>SUMIFS(Actual_CF[Actual_Premium],Actual_CF[ICG],CF_Gen_2[[#This Row],[ICG]],Actual_CF[Incurred],CF_Gen_2[[#This Row],[Incurred]])</f>
        <v>0</v>
      </c>
      <c r="AC67" s="19">
        <f>SUMIFS(Actual_CF[Actual_Commission],Actual_CF[ICG],CF_Gen_2[[#This Row],[ICG]],Actual_CF[Incurred],CF_Gen_2[[#This Row],[Incurred]])</f>
        <v>0</v>
      </c>
      <c r="AD67" s="19">
        <f>SUMIFS(Actual_CF[Actual_Acquisition],Actual_CF[ICG],CF_Gen_2[[#This Row],[ICG]],Actual_CF[Incurred],CF_Gen_2[[#This Row],[Incurred]])</f>
        <v>0</v>
      </c>
    </row>
    <row r="68" spans="1:30">
      <c r="A68" t="str">
        <f t="shared" si="4"/>
        <v>#2024#RC-Property</v>
      </c>
      <c r="B68">
        <f>_xlfn.XLOOKUP(CF_Gen_2[[#This Row],[ICG]],ICG[ICG],ICG[Cohort])</f>
        <v>2024</v>
      </c>
      <c r="C68" t="str">
        <f>_xlfn.XLOOKUP(CF_Gen_2[[#This Row],[ICG]],ICG[ICG],ICG[Portfolio])</f>
        <v>RC-Property</v>
      </c>
      <c r="D68" t="str">
        <f>_xlfn.XLOOKUP(CF_Gen_2[[#This Row],[ICG]],ICG[ICG],ICG[Contract])</f>
        <v>RC</v>
      </c>
      <c r="E68" s="2">
        <f t="shared" si="3"/>
        <v>45930</v>
      </c>
      <c r="F68">
        <v>67</v>
      </c>
      <c r="G68" s="2">
        <f>EOMONTH(DATE(YEAR(CF_Gen_2[[#This Row],[Valuation]])-1,12,31),CF_Gen_2[[#This Row],['#Incurred]]*3)</f>
        <v>51774</v>
      </c>
      <c r="H68" s="14">
        <f>SUMIFS(Expected_CF[Expected_Premium],Expected_CF[ICG],CF_Gen_2[[#This Row],[ICG]],Expected_CF[Incurred],CF_Gen_2[[#This Row],[Incurred]])</f>
        <v>0</v>
      </c>
      <c r="I68" s="14">
        <f>SUMIFS(Expected_CF[Expected_Commission],Expected_CF[ICG],CF_Gen_2[[#This Row],[ICG]],Expected_CF[Incurred],CF_Gen_2[[#This Row],[Incurred]])</f>
        <v>0</v>
      </c>
      <c r="J68" s="14">
        <f>IF(CF_Gen_2[[#This Row],[Contract]]="IC",SUMIFS(Expected_CF[Expected_Acquisition],Expected_CF[ICG],CF_Gen_2[[#This Row],[ICG]],Expected_CF[Incurred],CF_Gen_2[[#This Row],[Incurred]]),0)</f>
        <v>0</v>
      </c>
      <c r="K68" s="14">
        <f>SUMIFS(Earned[Earned_Premium],Earned[ICG],CF_Gen_2[[#This Row],[ICG]],Earned[Incurred],CF_Gen_2[[#This Row],[Incurred]])</f>
        <v>-375476928.46810073</v>
      </c>
      <c r="L68" s="14">
        <f>SUMIFS(Earned[Earned_Commission],Earned[ICG],CF_Gen_2[[#This Row],[ICG]],Earned[Incurred],CF_Gen_2[[#This Row],[Incurred]])</f>
        <v>117942715.6564479</v>
      </c>
      <c r="M68" s="18">
        <f>_xlfn.XLOOKUP(CF_Gen_2[[#This Row],[ICG]],Assumptions[ICG],Assumptions[Loss_Ratio])</f>
        <v>0.38</v>
      </c>
      <c r="N68" s="18">
        <f>_xlfn.XLOOKUP(CF_Gen_2[[#This Row],[ICG]],Assumptions[ICG],Assumptions[Risk_Adjustment_Ratio])</f>
        <v>0.13</v>
      </c>
      <c r="O68" s="18">
        <f>_xlfn.XLOOKUP(CF_Gen_2[[#This Row],[ICG]],Assumptions[ICG],Assumptions[PME_Ratio])</f>
        <v>0</v>
      </c>
      <c r="P68" s="18">
        <f>_xlfn.XLOOKUP(CF_Gen_2[[#This Row],[ICG]],Assumptions[ICG],Assumptions[ULAE_Ratio])</f>
        <v>0</v>
      </c>
      <c r="Q68" s="18">
        <f>_xlfn.XLOOKUP(CF_Gen_2[[#This Row],[ICG]],Assumptions[ICG],Assumptions[Cancellation_Ratio])</f>
        <v>7.0000000000000007E-2</v>
      </c>
      <c r="R68" s="18">
        <f>_xlfn.XLOOKUP(CF_Gen_2[[#This Row],[ICG]],Assumptions[ICG],Assumptions[Premium_Refund_Ratio])</f>
        <v>0.5</v>
      </c>
      <c r="S68" s="18">
        <f>IF(CF_Gen_2[[#This Row],[Contract]]="RC",_xlfn.XLOOKUP(CF_Gen_2[[#This Row],[ICG]],Assumptions[ICG],Assumptions[NPR_Ratio]),0)</f>
        <v>2.8000000000000001E-2</v>
      </c>
      <c r="T68" s="17">
        <f>T67*(1-CF_Gen_2[[#This Row],[Cancellation_Ratio]])</f>
        <v>8.3152364756274057E-3</v>
      </c>
      <c r="U68" s="19">
        <f>IF(CF_Gen_2[[#This Row],[Incurred]]&lt;=CF_Gen_2[[#This Row],[Valuation]],CF_Gen_2[[#This Row],[Expected_Premium]],-CF_Gen_2[[#This Row],[Probability_of_Inforce]]*CF_Gen_2[[#This Row],[Premium_Refund_Ratio]]*CF_Gen_2[[#This Row],[Cancellation_Ratio]]*SUM(K68:K$105))</f>
        <v>1559670.5531993585</v>
      </c>
      <c r="V6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Row],[Cancellation_Ratio]]*SUM(L68:L$105))</f>
        <v>-458343.11080406007</v>
      </c>
      <c r="W68" s="19">
        <f>CF_Gen_2[[#This Row],[Expected_Acquisition]]</f>
        <v>0</v>
      </c>
      <c r="X6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8" s="19">
        <f>-CF_Gen_2[[#This Row],[Probability_of_Inforce]]*CF_Gen_2[[#This Row],[Earned_Premium]]*(1-CF_Gen_2[[#This Row],[Cancellation_Ratio]])*CF_Gen_2[[#This Row],[Loss_Ratio]]</f>
        <v>1103378.218108678</v>
      </c>
      <c r="Z68" s="19">
        <f>CF_Gen_2[[#This Row],[Exp_Claim]]*CF_Gen_2[[#This Row],[Risk_Adjustment_Ratio]]</f>
        <v>143439.16835412814</v>
      </c>
      <c r="AA68" s="19">
        <f>IF(CF_Gen_2[[#This Row],[Contract]]="RC",-CF_Gen_2[[#This Row],[NPR_Ratio]]*CF_Gen_2[[#This Row],[Exp_Claim]],0)</f>
        <v>-30894.590107042986</v>
      </c>
      <c r="AB68" s="19">
        <f>SUMIFS(Actual_CF[Actual_Premium],Actual_CF[ICG],CF_Gen_2[[#This Row],[ICG]],Actual_CF[Incurred],CF_Gen_2[[#This Row],[Incurred]])</f>
        <v>0</v>
      </c>
      <c r="AC68" s="19">
        <f>SUMIFS(Actual_CF[Actual_Commission],Actual_CF[ICG],CF_Gen_2[[#This Row],[ICG]],Actual_CF[Incurred],CF_Gen_2[[#This Row],[Incurred]])</f>
        <v>0</v>
      </c>
      <c r="AD68" s="19">
        <f>SUMIFS(Actual_CF[Actual_Acquisition],Actual_CF[ICG],CF_Gen_2[[#This Row],[ICG]],Actual_CF[Incurred],CF_Gen_2[[#This Row],[Incurred]])</f>
        <v>0</v>
      </c>
    </row>
    <row r="69" spans="1:30">
      <c r="A69" t="str">
        <f t="shared" si="4"/>
        <v>#2024#RC-Property</v>
      </c>
      <c r="B69">
        <f>_xlfn.XLOOKUP(CF_Gen_2[[#This Row],[ICG]],ICG[ICG],ICG[Cohort])</f>
        <v>2024</v>
      </c>
      <c r="C69" t="str">
        <f>_xlfn.XLOOKUP(CF_Gen_2[[#This Row],[ICG]],ICG[ICG],ICG[Portfolio])</f>
        <v>RC-Property</v>
      </c>
      <c r="D69" t="str">
        <f>_xlfn.XLOOKUP(CF_Gen_2[[#This Row],[ICG]],ICG[ICG],ICG[Contract])</f>
        <v>RC</v>
      </c>
      <c r="E69" s="2">
        <f t="shared" si="3"/>
        <v>45930</v>
      </c>
      <c r="F69">
        <v>68</v>
      </c>
      <c r="G69" s="2">
        <f>EOMONTH(DATE(YEAR(CF_Gen_2[[#This Row],[Valuation]])-1,12,31),CF_Gen_2[[#This Row],['#Incurred]]*3)</f>
        <v>51866</v>
      </c>
      <c r="H69" s="14">
        <f>SUMIFS(Expected_CF[Expected_Premium],Expected_CF[ICG],CF_Gen_2[[#This Row],[ICG]],Expected_CF[Incurred],CF_Gen_2[[#This Row],[Incurred]])</f>
        <v>0</v>
      </c>
      <c r="I69" s="14">
        <f>SUMIFS(Expected_CF[Expected_Commission],Expected_CF[ICG],CF_Gen_2[[#This Row],[ICG]],Expected_CF[Incurred],CF_Gen_2[[#This Row],[Incurred]])</f>
        <v>0</v>
      </c>
      <c r="J69" s="14">
        <f>IF(CF_Gen_2[[#This Row],[Contract]]="IC",SUMIFS(Expected_CF[Expected_Acquisition],Expected_CF[ICG],CF_Gen_2[[#This Row],[ICG]],Expected_CF[Incurred],CF_Gen_2[[#This Row],[Incurred]]),0)</f>
        <v>0</v>
      </c>
      <c r="K69" s="14">
        <f>SUMIFS(Earned[Earned_Premium],Earned[ICG],CF_Gen_2[[#This Row],[ICG]],Earned[Incurred],CF_Gen_2[[#This Row],[Incurred]])</f>
        <v>-361823221.97835165</v>
      </c>
      <c r="L69" s="14">
        <f>SUMIFS(Earned[Earned_Commission],Earned[ICG],CF_Gen_2[[#This Row],[ICG]],Earned[Incurred],CF_Gen_2[[#This Row],[Incurred]])</f>
        <v>113317511.12090091</v>
      </c>
      <c r="M69" s="18">
        <f>_xlfn.XLOOKUP(CF_Gen_2[[#This Row],[ICG]],Assumptions[ICG],Assumptions[Loss_Ratio])</f>
        <v>0.38</v>
      </c>
      <c r="N69" s="18">
        <f>_xlfn.XLOOKUP(CF_Gen_2[[#This Row],[ICG]],Assumptions[ICG],Assumptions[Risk_Adjustment_Ratio])</f>
        <v>0.13</v>
      </c>
      <c r="O69" s="18">
        <f>_xlfn.XLOOKUP(CF_Gen_2[[#This Row],[ICG]],Assumptions[ICG],Assumptions[PME_Ratio])</f>
        <v>0</v>
      </c>
      <c r="P69" s="18">
        <f>_xlfn.XLOOKUP(CF_Gen_2[[#This Row],[ICG]],Assumptions[ICG],Assumptions[ULAE_Ratio])</f>
        <v>0</v>
      </c>
      <c r="Q69" s="18">
        <f>_xlfn.XLOOKUP(CF_Gen_2[[#This Row],[ICG]],Assumptions[ICG],Assumptions[Cancellation_Ratio])</f>
        <v>7.0000000000000007E-2</v>
      </c>
      <c r="R69" s="18">
        <f>_xlfn.XLOOKUP(CF_Gen_2[[#This Row],[ICG]],Assumptions[ICG],Assumptions[Premium_Refund_Ratio])</f>
        <v>0.5</v>
      </c>
      <c r="S69" s="18">
        <f>IF(CF_Gen_2[[#This Row],[Contract]]="RC",_xlfn.XLOOKUP(CF_Gen_2[[#This Row],[ICG]],Assumptions[ICG],Assumptions[NPR_Ratio]),0)</f>
        <v>2.8000000000000001E-2</v>
      </c>
      <c r="T69" s="17">
        <f>T68*(1-CF_Gen_2[[#This Row],[Cancellation_Ratio]])</f>
        <v>7.7331699223334872E-3</v>
      </c>
      <c r="U69" s="19">
        <f>IF(CF_Gen_2[[#This Row],[Incurred]]&lt;=CF_Gen_2[[#This Row],[Valuation]],CF_Gen_2[[#This Row],[Expected_Premium]],-CF_Gen_2[[#This Row],[Probability_of_Inforce]]*CF_Gen_2[[#This Row],[Premium_Refund_Ratio]]*CF_Gen_2[[#This Row],[Cancellation_Ratio]]*SUM(K69:K$105))</f>
        <v>1348866.6733338146</v>
      </c>
      <c r="V6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Row],[Cancellation_Ratio]]*SUM(L69:L$105))</f>
        <v>-394336.6059032288</v>
      </c>
      <c r="W69" s="19">
        <f>CF_Gen_2[[#This Row],[Expected_Acquisition]]</f>
        <v>0</v>
      </c>
      <c r="X6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69" s="19">
        <f>-CF_Gen_2[[#This Row],[Probability_of_Inforce]]*CF_Gen_2[[#This Row],[Earned_Premium]]*(1-CF_Gen_2[[#This Row],[Cancellation_Ratio]])*CF_Gen_2[[#This Row],[Loss_Ratio]]</f>
        <v>988827.49764684972</v>
      </c>
      <c r="Z69" s="19">
        <f>CF_Gen_2[[#This Row],[Exp_Claim]]*CF_Gen_2[[#This Row],[Risk_Adjustment_Ratio]]</f>
        <v>128547.57469409046</v>
      </c>
      <c r="AA69" s="19">
        <f>IF(CF_Gen_2[[#This Row],[Contract]]="RC",-CF_Gen_2[[#This Row],[NPR_Ratio]]*CF_Gen_2[[#This Row],[Exp_Claim]],0)</f>
        <v>-27687.169934111793</v>
      </c>
      <c r="AB69" s="19">
        <f>SUMIFS(Actual_CF[Actual_Premium],Actual_CF[ICG],CF_Gen_2[[#This Row],[ICG]],Actual_CF[Incurred],CF_Gen_2[[#This Row],[Incurred]])</f>
        <v>0</v>
      </c>
      <c r="AC69" s="19">
        <f>SUMIFS(Actual_CF[Actual_Commission],Actual_CF[ICG],CF_Gen_2[[#This Row],[ICG]],Actual_CF[Incurred],CF_Gen_2[[#This Row],[Incurred]])</f>
        <v>0</v>
      </c>
      <c r="AD69" s="19">
        <f>SUMIFS(Actual_CF[Actual_Acquisition],Actual_CF[ICG],CF_Gen_2[[#This Row],[ICG]],Actual_CF[Incurred],CF_Gen_2[[#This Row],[Incurred]])</f>
        <v>0</v>
      </c>
    </row>
    <row r="70" spans="1:30">
      <c r="A70" t="str">
        <f t="shared" si="4"/>
        <v>#2024#RC-Property</v>
      </c>
      <c r="B70">
        <f>_xlfn.XLOOKUP(CF_Gen_2[[#This Row],[ICG]],ICG[ICG],ICG[Cohort])</f>
        <v>2024</v>
      </c>
      <c r="C70" t="str">
        <f>_xlfn.XLOOKUP(CF_Gen_2[[#This Row],[ICG]],ICG[ICG],ICG[Portfolio])</f>
        <v>RC-Property</v>
      </c>
      <c r="D70" t="str">
        <f>_xlfn.XLOOKUP(CF_Gen_2[[#This Row],[ICG]],ICG[ICG],ICG[Contract])</f>
        <v>RC</v>
      </c>
      <c r="E70" s="2">
        <f t="shared" si="3"/>
        <v>45930</v>
      </c>
      <c r="F70">
        <v>69</v>
      </c>
      <c r="G70" s="2">
        <f>EOMONTH(DATE(YEAR(CF_Gen_2[[#This Row],[Valuation]])-1,12,31),CF_Gen_2[[#This Row],['#Incurred]]*3)</f>
        <v>51956</v>
      </c>
      <c r="H70" s="14">
        <f>SUMIFS(Expected_CF[Expected_Premium],Expected_CF[ICG],CF_Gen_2[[#This Row],[ICG]],Expected_CF[Incurred],CF_Gen_2[[#This Row],[Incurred]])</f>
        <v>0</v>
      </c>
      <c r="I70" s="14">
        <f>SUMIFS(Expected_CF[Expected_Commission],Expected_CF[ICG],CF_Gen_2[[#This Row],[ICG]],Expected_CF[Incurred],CF_Gen_2[[#This Row],[Incurred]])</f>
        <v>0</v>
      </c>
      <c r="J70" s="14">
        <f>IF(CF_Gen_2[[#This Row],[Contract]]="IC",SUMIFS(Expected_CF[Expected_Acquisition],Expected_CF[ICG],CF_Gen_2[[#This Row],[ICG]],Expected_CF[Incurred],CF_Gen_2[[#This Row],[Incurred]]),0)</f>
        <v>0</v>
      </c>
      <c r="K70" s="14">
        <f>SUMIFS(Earned[Earned_Premium],Earned[ICG],CF_Gen_2[[#This Row],[ICG]],Earned[Incurred],CF_Gen_2[[#This Row],[Incurred]])</f>
        <v>-348169515.48860252</v>
      </c>
      <c r="L70" s="14">
        <f>SUMIFS(Earned[Earned_Commission],Earned[ICG],CF_Gen_2[[#This Row],[ICG]],Earned[Incurred],CF_Gen_2[[#This Row],[Incurred]])</f>
        <v>108692306.58535394</v>
      </c>
      <c r="M70" s="18">
        <f>_xlfn.XLOOKUP(CF_Gen_2[[#This Row],[ICG]],Assumptions[ICG],Assumptions[Loss_Ratio])</f>
        <v>0.38</v>
      </c>
      <c r="N70" s="18">
        <f>_xlfn.XLOOKUP(CF_Gen_2[[#This Row],[ICG]],Assumptions[ICG],Assumptions[Risk_Adjustment_Ratio])</f>
        <v>0.13</v>
      </c>
      <c r="O70" s="18">
        <f>_xlfn.XLOOKUP(CF_Gen_2[[#This Row],[ICG]],Assumptions[ICG],Assumptions[PME_Ratio])</f>
        <v>0</v>
      </c>
      <c r="P70" s="18">
        <f>_xlfn.XLOOKUP(CF_Gen_2[[#This Row],[ICG]],Assumptions[ICG],Assumptions[ULAE_Ratio])</f>
        <v>0</v>
      </c>
      <c r="Q70" s="18">
        <f>_xlfn.XLOOKUP(CF_Gen_2[[#This Row],[ICG]],Assumptions[ICG],Assumptions[Cancellation_Ratio])</f>
        <v>7.0000000000000007E-2</v>
      </c>
      <c r="R70" s="18">
        <f>_xlfn.XLOOKUP(CF_Gen_2[[#This Row],[ICG]],Assumptions[ICG],Assumptions[Premium_Refund_Ratio])</f>
        <v>0.5</v>
      </c>
      <c r="S70" s="18">
        <f>IF(CF_Gen_2[[#This Row],[Contract]]="RC",_xlfn.XLOOKUP(CF_Gen_2[[#This Row],[ICG]],Assumptions[ICG],Assumptions[NPR_Ratio]),0)</f>
        <v>2.8000000000000001E-2</v>
      </c>
      <c r="T70" s="17">
        <f>T69*(1-CF_Gen_2[[#This Row],[Cancellation_Ratio]])</f>
        <v>7.1918480277701428E-3</v>
      </c>
      <c r="U70" s="19">
        <f>IF(CF_Gen_2[[#This Row],[Incurred]]&lt;=CF_Gen_2[[#This Row],[Valuation]],CF_Gen_2[[#This Row],[Expected_Premium]],-CF_Gen_2[[#This Row],[Probability_of_Inforce]]*CF_Gen_2[[#This Row],[Premium_Refund_Ratio]]*CF_Gen_2[[#This Row],[Cancellation_Ratio]]*SUM(K70:K$105))</f>
        <v>1163369.7893119217</v>
      </c>
      <c r="V7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Row],[Cancellation_Ratio]]*SUM(L70:L$105))</f>
        <v>-338209.3623296693</v>
      </c>
      <c r="W70" s="19">
        <f>CF_Gen_2[[#This Row],[Expected_Acquisition]]</f>
        <v>0</v>
      </c>
      <c r="X7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0" s="19">
        <f>-CF_Gen_2[[#This Row],[Probability_of_Inforce]]*CF_Gen_2[[#This Row],[Earned_Premium]]*(1-CF_Gen_2[[#This Row],[Cancellation_Ratio]])*CF_Gen_2[[#This Row],[Loss_Ratio]]</f>
        <v>884907.32478094485</v>
      </c>
      <c r="Z70" s="19">
        <f>CF_Gen_2[[#This Row],[Exp_Claim]]*CF_Gen_2[[#This Row],[Risk_Adjustment_Ratio]]</f>
        <v>115037.95222152284</v>
      </c>
      <c r="AA70" s="19">
        <f>IF(CF_Gen_2[[#This Row],[Contract]]="RC",-CF_Gen_2[[#This Row],[NPR_Ratio]]*CF_Gen_2[[#This Row],[Exp_Claim]],0)</f>
        <v>-24777.405093866455</v>
      </c>
      <c r="AB70" s="19">
        <f>SUMIFS(Actual_CF[Actual_Premium],Actual_CF[ICG],CF_Gen_2[[#This Row],[ICG]],Actual_CF[Incurred],CF_Gen_2[[#This Row],[Incurred]])</f>
        <v>0</v>
      </c>
      <c r="AC70" s="19">
        <f>SUMIFS(Actual_CF[Actual_Commission],Actual_CF[ICG],CF_Gen_2[[#This Row],[ICG]],Actual_CF[Incurred],CF_Gen_2[[#This Row],[Incurred]])</f>
        <v>0</v>
      </c>
      <c r="AD70" s="19">
        <f>SUMIFS(Actual_CF[Actual_Acquisition],Actual_CF[ICG],CF_Gen_2[[#This Row],[ICG]],Actual_CF[Incurred],CF_Gen_2[[#This Row],[Incurred]])</f>
        <v>0</v>
      </c>
    </row>
    <row r="71" spans="1:30">
      <c r="A71" t="str">
        <f t="shared" si="4"/>
        <v>#2024#RC-Property</v>
      </c>
      <c r="B71">
        <f>_xlfn.XLOOKUP(CF_Gen_2[[#This Row],[ICG]],ICG[ICG],ICG[Cohort])</f>
        <v>2024</v>
      </c>
      <c r="C71" t="str">
        <f>_xlfn.XLOOKUP(CF_Gen_2[[#This Row],[ICG]],ICG[ICG],ICG[Portfolio])</f>
        <v>RC-Property</v>
      </c>
      <c r="D71" t="str">
        <f>_xlfn.XLOOKUP(CF_Gen_2[[#This Row],[ICG]],ICG[ICG],ICG[Contract])</f>
        <v>RC</v>
      </c>
      <c r="E71" s="2">
        <f t="shared" si="3"/>
        <v>45930</v>
      </c>
      <c r="F71">
        <v>70</v>
      </c>
      <c r="G71" s="2">
        <f>EOMONTH(DATE(YEAR(CF_Gen_2[[#This Row],[Valuation]])-1,12,31),CF_Gen_2[[#This Row],['#Incurred]]*3)</f>
        <v>52047</v>
      </c>
      <c r="H71" s="14">
        <f>SUMIFS(Expected_CF[Expected_Premium],Expected_CF[ICG],CF_Gen_2[[#This Row],[ICG]],Expected_CF[Incurred],CF_Gen_2[[#This Row],[Incurred]])</f>
        <v>0</v>
      </c>
      <c r="I71" s="14">
        <f>SUMIFS(Expected_CF[Expected_Commission],Expected_CF[ICG],CF_Gen_2[[#This Row],[ICG]],Expected_CF[Incurred],CF_Gen_2[[#This Row],[Incurred]])</f>
        <v>0</v>
      </c>
      <c r="J71" s="14">
        <f>IF(CF_Gen_2[[#This Row],[Contract]]="IC",SUMIFS(Expected_CF[Expected_Acquisition],Expected_CF[ICG],CF_Gen_2[[#This Row],[ICG]],Expected_CF[Incurred],CF_Gen_2[[#This Row],[Incurred]]),0)</f>
        <v>0</v>
      </c>
      <c r="K71" s="14">
        <f>SUMIFS(Earned[Earned_Premium],Earned[ICG],CF_Gen_2[[#This Row],[ICG]],Earned[Incurred],CF_Gen_2[[#This Row],[Incurred]])</f>
        <v>-334515808.9988535</v>
      </c>
      <c r="L71" s="14">
        <f>SUMIFS(Earned[Earned_Commission],Earned[ICG],CF_Gen_2[[#This Row],[ICG]],Earned[Incurred],CF_Gen_2[[#This Row],[Incurred]])</f>
        <v>104067102.04980695</v>
      </c>
      <c r="M71" s="18">
        <f>_xlfn.XLOOKUP(CF_Gen_2[[#This Row],[ICG]],Assumptions[ICG],Assumptions[Loss_Ratio])</f>
        <v>0.38</v>
      </c>
      <c r="N71" s="18">
        <f>_xlfn.XLOOKUP(CF_Gen_2[[#This Row],[ICG]],Assumptions[ICG],Assumptions[Risk_Adjustment_Ratio])</f>
        <v>0.13</v>
      </c>
      <c r="O71" s="18">
        <f>_xlfn.XLOOKUP(CF_Gen_2[[#This Row],[ICG]],Assumptions[ICG],Assumptions[PME_Ratio])</f>
        <v>0</v>
      </c>
      <c r="P71" s="18">
        <f>_xlfn.XLOOKUP(CF_Gen_2[[#This Row],[ICG]],Assumptions[ICG],Assumptions[ULAE_Ratio])</f>
        <v>0</v>
      </c>
      <c r="Q71" s="18">
        <f>_xlfn.XLOOKUP(CF_Gen_2[[#This Row],[ICG]],Assumptions[ICG],Assumptions[Cancellation_Ratio])</f>
        <v>7.0000000000000007E-2</v>
      </c>
      <c r="R71" s="18">
        <f>_xlfn.XLOOKUP(CF_Gen_2[[#This Row],[ICG]],Assumptions[ICG],Assumptions[Premium_Refund_Ratio])</f>
        <v>0.5</v>
      </c>
      <c r="S71" s="18">
        <f>IF(CF_Gen_2[[#This Row],[Contract]]="RC",_xlfn.XLOOKUP(CF_Gen_2[[#This Row],[ICG]],Assumptions[ICG],Assumptions[NPR_Ratio]),0)</f>
        <v>2.8000000000000001E-2</v>
      </c>
      <c r="T71" s="17">
        <f>T70*(1-CF_Gen_2[[#This Row],[Cancellation_Ratio]])</f>
        <v>6.6884186658262325E-3</v>
      </c>
      <c r="U71" s="19">
        <f>IF(CF_Gen_2[[#This Row],[Incurred]]&lt;=CF_Gen_2[[#This Row],[Valuation]],CF_Gen_2[[#This Row],[Expected_Premium]],-CF_Gen_2[[#This Row],[Probability_of_Inforce]]*CF_Gen_2[[#This Row],[Premium_Refund_Ratio]]*CF_Gen_2[[#This Row],[Cancellation_Ratio]]*SUM(K71:K$105))</f>
        <v>1000429.2820407897</v>
      </c>
      <c r="V7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Row],[Cancellation_Ratio]]*SUM(L71:L$105))</f>
        <v>-289090.41913969076</v>
      </c>
      <c r="W71" s="19">
        <f>CF_Gen_2[[#This Row],[Expected_Acquisition]]</f>
        <v>0</v>
      </c>
      <c r="X7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1" s="19">
        <f>-CF_Gen_2[[#This Row],[Probability_of_Inforce]]*CF_Gen_2[[#This Row],[Earned_Premium]]*(1-CF_Gen_2[[#This Row],[Cancellation_Ratio]])*CF_Gen_2[[#This Row],[Loss_Ratio]]</f>
        <v>790690.72137779754</v>
      </c>
      <c r="Z71" s="19">
        <f>CF_Gen_2[[#This Row],[Exp_Claim]]*CF_Gen_2[[#This Row],[Risk_Adjustment_Ratio]]</f>
        <v>102789.79377911368</v>
      </c>
      <c r="AA71" s="19">
        <f>IF(CF_Gen_2[[#This Row],[Contract]]="RC",-CF_Gen_2[[#This Row],[NPR_Ratio]]*CF_Gen_2[[#This Row],[Exp_Claim]],0)</f>
        <v>-22139.340198578331</v>
      </c>
      <c r="AB71" s="19">
        <f>SUMIFS(Actual_CF[Actual_Premium],Actual_CF[ICG],CF_Gen_2[[#This Row],[ICG]],Actual_CF[Incurred],CF_Gen_2[[#This Row],[Incurred]])</f>
        <v>0</v>
      </c>
      <c r="AC71" s="19">
        <f>SUMIFS(Actual_CF[Actual_Commission],Actual_CF[ICG],CF_Gen_2[[#This Row],[ICG]],Actual_CF[Incurred],CF_Gen_2[[#This Row],[Incurred]])</f>
        <v>0</v>
      </c>
      <c r="AD71" s="19">
        <f>SUMIFS(Actual_CF[Actual_Acquisition],Actual_CF[ICG],CF_Gen_2[[#This Row],[ICG]],Actual_CF[Incurred],CF_Gen_2[[#This Row],[Incurred]])</f>
        <v>0</v>
      </c>
    </row>
    <row r="72" spans="1:30">
      <c r="A72" t="str">
        <f t="shared" si="4"/>
        <v>#2024#RC-Property</v>
      </c>
      <c r="B72">
        <f>_xlfn.XLOOKUP(CF_Gen_2[[#This Row],[ICG]],ICG[ICG],ICG[Cohort])</f>
        <v>2024</v>
      </c>
      <c r="C72" t="str">
        <f>_xlfn.XLOOKUP(CF_Gen_2[[#This Row],[ICG]],ICG[ICG],ICG[Portfolio])</f>
        <v>RC-Property</v>
      </c>
      <c r="D72" t="str">
        <f>_xlfn.XLOOKUP(CF_Gen_2[[#This Row],[ICG]],ICG[ICG],ICG[Contract])</f>
        <v>RC</v>
      </c>
      <c r="E72" s="2">
        <f t="shared" si="3"/>
        <v>45930</v>
      </c>
      <c r="F72">
        <v>71</v>
      </c>
      <c r="G72" s="2">
        <f>EOMONTH(DATE(YEAR(CF_Gen_2[[#This Row],[Valuation]])-1,12,31),CF_Gen_2[[#This Row],['#Incurred]]*3)</f>
        <v>52139</v>
      </c>
      <c r="H72" s="14">
        <f>SUMIFS(Expected_CF[Expected_Premium],Expected_CF[ICG],CF_Gen_2[[#This Row],[ICG]],Expected_CF[Incurred],CF_Gen_2[[#This Row],[Incurred]])</f>
        <v>0</v>
      </c>
      <c r="I72" s="14">
        <f>SUMIFS(Expected_CF[Expected_Commission],Expected_CF[ICG],CF_Gen_2[[#This Row],[ICG]],Expected_CF[Incurred],CF_Gen_2[[#This Row],[Incurred]])</f>
        <v>0</v>
      </c>
      <c r="J72" s="14">
        <f>IF(CF_Gen_2[[#This Row],[Contract]]="IC",SUMIFS(Expected_CF[Expected_Acquisition],Expected_CF[ICG],CF_Gen_2[[#This Row],[ICG]],Expected_CF[Incurred],CF_Gen_2[[#This Row],[Incurred]]),0)</f>
        <v>0</v>
      </c>
      <c r="K72" s="14">
        <f>SUMIFS(Earned[Earned_Premium],Earned[ICG],CF_Gen_2[[#This Row],[ICG]],Earned[Incurred],CF_Gen_2[[#This Row],[Incurred]])</f>
        <v>-320862102.50910425</v>
      </c>
      <c r="L72" s="14">
        <f>SUMIFS(Earned[Earned_Commission],Earned[ICG],CF_Gen_2[[#This Row],[ICG]],Earned[Incurred],CF_Gen_2[[#This Row],[Incurred]])</f>
        <v>99441897.514259994</v>
      </c>
      <c r="M72" s="18">
        <f>_xlfn.XLOOKUP(CF_Gen_2[[#This Row],[ICG]],Assumptions[ICG],Assumptions[Loss_Ratio])</f>
        <v>0.38</v>
      </c>
      <c r="N72" s="18">
        <f>_xlfn.XLOOKUP(CF_Gen_2[[#This Row],[ICG]],Assumptions[ICG],Assumptions[Risk_Adjustment_Ratio])</f>
        <v>0.13</v>
      </c>
      <c r="O72" s="18">
        <f>_xlfn.XLOOKUP(CF_Gen_2[[#This Row],[ICG]],Assumptions[ICG],Assumptions[PME_Ratio])</f>
        <v>0</v>
      </c>
      <c r="P72" s="18">
        <f>_xlfn.XLOOKUP(CF_Gen_2[[#This Row],[ICG]],Assumptions[ICG],Assumptions[ULAE_Ratio])</f>
        <v>0</v>
      </c>
      <c r="Q72" s="18">
        <f>_xlfn.XLOOKUP(CF_Gen_2[[#This Row],[ICG]],Assumptions[ICG],Assumptions[Cancellation_Ratio])</f>
        <v>7.0000000000000007E-2</v>
      </c>
      <c r="R72" s="18">
        <f>_xlfn.XLOOKUP(CF_Gen_2[[#This Row],[ICG]],Assumptions[ICG],Assumptions[Premium_Refund_Ratio])</f>
        <v>0.5</v>
      </c>
      <c r="S72" s="18">
        <f>IF(CF_Gen_2[[#This Row],[Contract]]="RC",_xlfn.XLOOKUP(CF_Gen_2[[#This Row],[ICG]],Assumptions[ICG],Assumptions[NPR_Ratio]),0)</f>
        <v>2.8000000000000001E-2</v>
      </c>
      <c r="T72" s="17">
        <f>T71*(1-CF_Gen_2[[#This Row],[Cancellation_Ratio]])</f>
        <v>6.2202293592183962E-3</v>
      </c>
      <c r="U72" s="19">
        <f>IF(CF_Gen_2[[#This Row],[Incurred]]&lt;=CF_Gen_2[[#This Row],[Valuation]],CF_Gen_2[[#This Row],[Expected_Premium]],-CF_Gen_2[[#This Row],[Probability_of_Inforce]]*CF_Gen_2[[#This Row],[Premium_Refund_Ratio]]*CF_Gen_2[[#This Row],[Cancellation_Ratio]]*SUM(K72:K$105))</f>
        <v>857572.45532892679</v>
      </c>
      <c r="V7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Row],[Cancellation_Ratio]]*SUM(L72:L$105))</f>
        <v>-246197.84627744788</v>
      </c>
      <c r="W72" s="19">
        <f>CF_Gen_2[[#This Row],[Expected_Acquisition]]</f>
        <v>0</v>
      </c>
      <c r="X7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2" s="19">
        <f>-CF_Gen_2[[#This Row],[Probability_of_Inforce]]*CF_Gen_2[[#This Row],[Earned_Premium]]*(1-CF_Gen_2[[#This Row],[Cancellation_Ratio]])*CF_Gen_2[[#This Row],[Loss_Ratio]]</f>
        <v>705328.39655966358</v>
      </c>
      <c r="Z72" s="19">
        <f>CF_Gen_2[[#This Row],[Exp_Claim]]*CF_Gen_2[[#This Row],[Risk_Adjustment_Ratio]]</f>
        <v>91692.691552756267</v>
      </c>
      <c r="AA72" s="19">
        <f>IF(CF_Gen_2[[#This Row],[Contract]]="RC",-CF_Gen_2[[#This Row],[NPR_Ratio]]*CF_Gen_2[[#This Row],[Exp_Claim]],0)</f>
        <v>-19749.19510367058</v>
      </c>
      <c r="AB72" s="19">
        <f>SUMIFS(Actual_CF[Actual_Premium],Actual_CF[ICG],CF_Gen_2[[#This Row],[ICG]],Actual_CF[Incurred],CF_Gen_2[[#This Row],[Incurred]])</f>
        <v>0</v>
      </c>
      <c r="AC72" s="19">
        <f>SUMIFS(Actual_CF[Actual_Commission],Actual_CF[ICG],CF_Gen_2[[#This Row],[ICG]],Actual_CF[Incurred],CF_Gen_2[[#This Row],[Incurred]])</f>
        <v>0</v>
      </c>
      <c r="AD72" s="19">
        <f>SUMIFS(Actual_CF[Actual_Acquisition],Actual_CF[ICG],CF_Gen_2[[#This Row],[ICG]],Actual_CF[Incurred],CF_Gen_2[[#This Row],[Incurred]])</f>
        <v>0</v>
      </c>
    </row>
    <row r="73" spans="1:30">
      <c r="A73" t="str">
        <f t="shared" si="4"/>
        <v>#2024#RC-Property</v>
      </c>
      <c r="B73">
        <f>_xlfn.XLOOKUP(CF_Gen_2[[#This Row],[ICG]],ICG[ICG],ICG[Cohort])</f>
        <v>2024</v>
      </c>
      <c r="C73" t="str">
        <f>_xlfn.XLOOKUP(CF_Gen_2[[#This Row],[ICG]],ICG[ICG],ICG[Portfolio])</f>
        <v>RC-Property</v>
      </c>
      <c r="D73" t="str">
        <f>_xlfn.XLOOKUP(CF_Gen_2[[#This Row],[ICG]],ICG[ICG],ICG[Contract])</f>
        <v>RC</v>
      </c>
      <c r="E73" s="2">
        <f t="shared" si="3"/>
        <v>45930</v>
      </c>
      <c r="F73">
        <v>72</v>
      </c>
      <c r="G73" s="2">
        <f>EOMONTH(DATE(YEAR(CF_Gen_2[[#This Row],[Valuation]])-1,12,31),CF_Gen_2[[#This Row],['#Incurred]]*3)</f>
        <v>52231</v>
      </c>
      <c r="H73" s="14">
        <f>SUMIFS(Expected_CF[Expected_Premium],Expected_CF[ICG],CF_Gen_2[[#This Row],[ICG]],Expected_CF[Incurred],CF_Gen_2[[#This Row],[Incurred]])</f>
        <v>0</v>
      </c>
      <c r="I73" s="14">
        <f>SUMIFS(Expected_CF[Expected_Commission],Expected_CF[ICG],CF_Gen_2[[#This Row],[ICG]],Expected_CF[Incurred],CF_Gen_2[[#This Row],[Incurred]])</f>
        <v>0</v>
      </c>
      <c r="J73" s="14">
        <f>IF(CF_Gen_2[[#This Row],[Contract]]="IC",SUMIFS(Expected_CF[Expected_Acquisition],Expected_CF[ICG],CF_Gen_2[[#This Row],[ICG]],Expected_CF[Incurred],CF_Gen_2[[#This Row],[Incurred]]),0)</f>
        <v>0</v>
      </c>
      <c r="K73" s="14">
        <f>SUMIFS(Earned[Earned_Premium],Earned[ICG],CF_Gen_2[[#This Row],[ICG]],Earned[Incurred],CF_Gen_2[[#This Row],[Incurred]])</f>
        <v>-307208396.01935512</v>
      </c>
      <c r="L73" s="14">
        <f>SUMIFS(Earned[Earned_Commission],Earned[ICG],CF_Gen_2[[#This Row],[ICG]],Earned[Incurred],CF_Gen_2[[#This Row],[Incurred]])</f>
        <v>94816692.978713021</v>
      </c>
      <c r="M73" s="18">
        <f>_xlfn.XLOOKUP(CF_Gen_2[[#This Row],[ICG]],Assumptions[ICG],Assumptions[Loss_Ratio])</f>
        <v>0.38</v>
      </c>
      <c r="N73" s="18">
        <f>_xlfn.XLOOKUP(CF_Gen_2[[#This Row],[ICG]],Assumptions[ICG],Assumptions[Risk_Adjustment_Ratio])</f>
        <v>0.13</v>
      </c>
      <c r="O73" s="18">
        <f>_xlfn.XLOOKUP(CF_Gen_2[[#This Row],[ICG]],Assumptions[ICG],Assumptions[PME_Ratio])</f>
        <v>0</v>
      </c>
      <c r="P73" s="18">
        <f>_xlfn.XLOOKUP(CF_Gen_2[[#This Row],[ICG]],Assumptions[ICG],Assumptions[ULAE_Ratio])</f>
        <v>0</v>
      </c>
      <c r="Q73" s="18">
        <f>_xlfn.XLOOKUP(CF_Gen_2[[#This Row],[ICG]],Assumptions[ICG],Assumptions[Cancellation_Ratio])</f>
        <v>7.0000000000000007E-2</v>
      </c>
      <c r="R73" s="18">
        <f>_xlfn.XLOOKUP(CF_Gen_2[[#This Row],[ICG]],Assumptions[ICG],Assumptions[Premium_Refund_Ratio])</f>
        <v>0.5</v>
      </c>
      <c r="S73" s="18">
        <f>IF(CF_Gen_2[[#This Row],[Contract]]="RC",_xlfn.XLOOKUP(CF_Gen_2[[#This Row],[ICG]],Assumptions[ICG],Assumptions[NPR_Ratio]),0)</f>
        <v>2.8000000000000001E-2</v>
      </c>
      <c r="T73" s="17">
        <f>T72*(1-CF_Gen_2[[#This Row],[Cancellation_Ratio]])</f>
        <v>5.7848133040731085E-3</v>
      </c>
      <c r="U73" s="19">
        <f>IF(CF_Gen_2[[#This Row],[Incurred]]&lt;=CF_Gen_2[[#This Row],[Valuation]],CF_Gen_2[[#This Row],[Expected_Premium]],-CF_Gen_2[[#This Row],[Probability_of_Inforce]]*CF_Gen_2[[#This Row],[Premium_Refund_Ratio]]*CF_Gen_2[[#This Row],[Cancellation_Ratio]]*SUM(K73:K$105))</f>
        <v>732577.92587803828</v>
      </c>
      <c r="V7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Row],[Cancellation_Ratio]]*SUM(L73:L$105))</f>
        <v>-208830.14862772962</v>
      </c>
      <c r="W73" s="19">
        <f>CF_Gen_2[[#This Row],[Expected_Acquisition]]</f>
        <v>0</v>
      </c>
      <c r="X7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3" s="19">
        <f>-CF_Gen_2[[#This Row],[Probability_of_Inforce]]*CF_Gen_2[[#This Row],[Earned_Premium]]*(1-CF_Gen_2[[#This Row],[Cancellation_Ratio]])*CF_Gen_2[[#This Row],[Loss_Ratio]]</f>
        <v>628042.41268131742</v>
      </c>
      <c r="Z73" s="19">
        <f>CF_Gen_2[[#This Row],[Exp_Claim]]*CF_Gen_2[[#This Row],[Risk_Adjustment_Ratio]]</f>
        <v>81645.513648571272</v>
      </c>
      <c r="AA73" s="19">
        <f>IF(CF_Gen_2[[#This Row],[Contract]]="RC",-CF_Gen_2[[#This Row],[NPR_Ratio]]*CF_Gen_2[[#This Row],[Exp_Claim]],0)</f>
        <v>-17585.187555076889</v>
      </c>
      <c r="AB73" s="19">
        <f>SUMIFS(Actual_CF[Actual_Premium],Actual_CF[ICG],CF_Gen_2[[#This Row],[ICG]],Actual_CF[Incurred],CF_Gen_2[[#This Row],[Incurred]])</f>
        <v>0</v>
      </c>
      <c r="AC73" s="19">
        <f>SUMIFS(Actual_CF[Actual_Commission],Actual_CF[ICG],CF_Gen_2[[#This Row],[ICG]],Actual_CF[Incurred],CF_Gen_2[[#This Row],[Incurred]])</f>
        <v>0</v>
      </c>
      <c r="AD73" s="19">
        <f>SUMIFS(Actual_CF[Actual_Acquisition],Actual_CF[ICG],CF_Gen_2[[#This Row],[ICG]],Actual_CF[Incurred],CF_Gen_2[[#This Row],[Incurred]])</f>
        <v>0</v>
      </c>
    </row>
    <row r="74" spans="1:30">
      <c r="A74" t="str">
        <f t="shared" si="4"/>
        <v>#2024#RC-Property</v>
      </c>
      <c r="B74">
        <f>_xlfn.XLOOKUP(CF_Gen_2[[#This Row],[ICG]],ICG[ICG],ICG[Cohort])</f>
        <v>2024</v>
      </c>
      <c r="C74" t="str">
        <f>_xlfn.XLOOKUP(CF_Gen_2[[#This Row],[ICG]],ICG[ICG],ICG[Portfolio])</f>
        <v>RC-Property</v>
      </c>
      <c r="D74" t="str">
        <f>_xlfn.XLOOKUP(CF_Gen_2[[#This Row],[ICG]],ICG[ICG],ICG[Contract])</f>
        <v>RC</v>
      </c>
      <c r="E74" s="2">
        <f t="shared" si="3"/>
        <v>45930</v>
      </c>
      <c r="F74">
        <v>73</v>
      </c>
      <c r="G74" s="2">
        <f>EOMONTH(DATE(YEAR(CF_Gen_2[[#This Row],[Valuation]])-1,12,31),CF_Gen_2[[#This Row],['#Incurred]]*3)</f>
        <v>52321</v>
      </c>
      <c r="H74" s="14">
        <f>SUMIFS(Expected_CF[Expected_Premium],Expected_CF[ICG],CF_Gen_2[[#This Row],[ICG]],Expected_CF[Incurred],CF_Gen_2[[#This Row],[Incurred]])</f>
        <v>0</v>
      </c>
      <c r="I74" s="14">
        <f>SUMIFS(Expected_CF[Expected_Commission],Expected_CF[ICG],CF_Gen_2[[#This Row],[ICG]],Expected_CF[Incurred],CF_Gen_2[[#This Row],[Incurred]])</f>
        <v>0</v>
      </c>
      <c r="J74" s="14">
        <f>IF(CF_Gen_2[[#This Row],[Contract]]="IC",SUMIFS(Expected_CF[Expected_Acquisition],Expected_CF[ICG],CF_Gen_2[[#This Row],[ICG]],Expected_CF[Incurred],CF_Gen_2[[#This Row],[Incurred]]),0)</f>
        <v>0</v>
      </c>
      <c r="K74" s="14">
        <f>SUMIFS(Earned[Earned_Premium],Earned[ICG],CF_Gen_2[[#This Row],[ICG]],Earned[Incurred],CF_Gen_2[[#This Row],[Incurred]])</f>
        <v>-293554689.52960604</v>
      </c>
      <c r="L74" s="14">
        <f>SUMIFS(Earned[Earned_Commission],Earned[ICG],CF_Gen_2[[#This Row],[ICG]],Earned[Incurred],CF_Gen_2[[#This Row],[Incurred]])</f>
        <v>90191488.443166032</v>
      </c>
      <c r="M74" s="18">
        <f>_xlfn.XLOOKUP(CF_Gen_2[[#This Row],[ICG]],Assumptions[ICG],Assumptions[Loss_Ratio])</f>
        <v>0.38</v>
      </c>
      <c r="N74" s="18">
        <f>_xlfn.XLOOKUP(CF_Gen_2[[#This Row],[ICG]],Assumptions[ICG],Assumptions[Risk_Adjustment_Ratio])</f>
        <v>0.13</v>
      </c>
      <c r="O74" s="18">
        <f>_xlfn.XLOOKUP(CF_Gen_2[[#This Row],[ICG]],Assumptions[ICG],Assumptions[PME_Ratio])</f>
        <v>0</v>
      </c>
      <c r="P74" s="18">
        <f>_xlfn.XLOOKUP(CF_Gen_2[[#This Row],[ICG]],Assumptions[ICG],Assumptions[ULAE_Ratio])</f>
        <v>0</v>
      </c>
      <c r="Q74" s="18">
        <f>_xlfn.XLOOKUP(CF_Gen_2[[#This Row],[ICG]],Assumptions[ICG],Assumptions[Cancellation_Ratio])</f>
        <v>7.0000000000000007E-2</v>
      </c>
      <c r="R74" s="18">
        <f>_xlfn.XLOOKUP(CF_Gen_2[[#This Row],[ICG]],Assumptions[ICG],Assumptions[Premium_Refund_Ratio])</f>
        <v>0.5</v>
      </c>
      <c r="S74" s="18">
        <f>IF(CF_Gen_2[[#This Row],[Contract]]="RC",_xlfn.XLOOKUP(CF_Gen_2[[#This Row],[ICG]],Assumptions[ICG],Assumptions[NPR_Ratio]),0)</f>
        <v>2.8000000000000001E-2</v>
      </c>
      <c r="T74" s="17">
        <f>T73*(1-CF_Gen_2[[#This Row],[Cancellation_Ratio]])</f>
        <v>5.3798763727879902E-3</v>
      </c>
      <c r="U74" s="19">
        <f>IF(CF_Gen_2[[#This Row],[Incurred]]&lt;=CF_Gen_2[[#This Row],[Valuation]],CF_Gen_2[[#This Row],[Expected_Premium]],-CF_Gen_2[[#This Row],[Probability_of_Inforce]]*CF_Gen_2[[#This Row],[Premium_Refund_Ratio]]*CF_Gen_2[[#This Row],[Cancellation_Ratio]]*SUM(K74:K$105))</f>
        <v>623451.45937224338</v>
      </c>
      <c r="V7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Row],[Cancellation_Ratio]]*SUM(L74:L$105))</f>
        <v>-176358.46520321604</v>
      </c>
      <c r="W74" s="19">
        <f>CF_Gen_2[[#This Row],[Expected_Acquisition]]</f>
        <v>0</v>
      </c>
      <c r="X7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4" s="19">
        <f>-CF_Gen_2[[#This Row],[Probability_of_Inforce]]*CF_Gen_2[[#This Row],[Earned_Premium]]*(1-CF_Gen_2[[#This Row],[Cancellation_Ratio]])*CF_Gen_2[[#This Row],[Loss_Ratio]]</f>
        <v>558120.35740279744</v>
      </c>
      <c r="Z74" s="19">
        <f>CF_Gen_2[[#This Row],[Exp_Claim]]*CF_Gen_2[[#This Row],[Risk_Adjustment_Ratio]]</f>
        <v>72555.646462363671</v>
      </c>
      <c r="AA74" s="19">
        <f>IF(CF_Gen_2[[#This Row],[Contract]]="RC",-CF_Gen_2[[#This Row],[NPR_Ratio]]*CF_Gen_2[[#This Row],[Exp_Claim]],0)</f>
        <v>-15627.370007278329</v>
      </c>
      <c r="AB74" s="19">
        <f>SUMIFS(Actual_CF[Actual_Premium],Actual_CF[ICG],CF_Gen_2[[#This Row],[ICG]],Actual_CF[Incurred],CF_Gen_2[[#This Row],[Incurred]])</f>
        <v>0</v>
      </c>
      <c r="AC74" s="19">
        <f>SUMIFS(Actual_CF[Actual_Commission],Actual_CF[ICG],CF_Gen_2[[#This Row],[ICG]],Actual_CF[Incurred],CF_Gen_2[[#This Row],[Incurred]])</f>
        <v>0</v>
      </c>
      <c r="AD74" s="19">
        <f>SUMIFS(Actual_CF[Actual_Acquisition],Actual_CF[ICG],CF_Gen_2[[#This Row],[ICG]],Actual_CF[Incurred],CF_Gen_2[[#This Row],[Incurred]])</f>
        <v>0</v>
      </c>
    </row>
    <row r="75" spans="1:30">
      <c r="A75" t="str">
        <f t="shared" si="4"/>
        <v>#2024#RC-Property</v>
      </c>
      <c r="B75">
        <f>_xlfn.XLOOKUP(CF_Gen_2[[#This Row],[ICG]],ICG[ICG],ICG[Cohort])</f>
        <v>2024</v>
      </c>
      <c r="C75" t="str">
        <f>_xlfn.XLOOKUP(CF_Gen_2[[#This Row],[ICG]],ICG[ICG],ICG[Portfolio])</f>
        <v>RC-Property</v>
      </c>
      <c r="D75" t="str">
        <f>_xlfn.XLOOKUP(CF_Gen_2[[#This Row],[ICG]],ICG[ICG],ICG[Contract])</f>
        <v>RC</v>
      </c>
      <c r="E75" s="2">
        <f t="shared" si="3"/>
        <v>45930</v>
      </c>
      <c r="F75">
        <v>74</v>
      </c>
      <c r="G75" s="2">
        <f>EOMONTH(DATE(YEAR(CF_Gen_2[[#This Row],[Valuation]])-1,12,31),CF_Gen_2[[#This Row],['#Incurred]]*3)</f>
        <v>52412</v>
      </c>
      <c r="H75" s="14">
        <f>SUMIFS(Expected_CF[Expected_Premium],Expected_CF[ICG],CF_Gen_2[[#This Row],[ICG]],Expected_CF[Incurred],CF_Gen_2[[#This Row],[Incurred]])</f>
        <v>0</v>
      </c>
      <c r="I75" s="14">
        <f>SUMIFS(Expected_CF[Expected_Commission],Expected_CF[ICG],CF_Gen_2[[#This Row],[ICG]],Expected_CF[Incurred],CF_Gen_2[[#This Row],[Incurred]])</f>
        <v>0</v>
      </c>
      <c r="J75" s="14">
        <f>IF(CF_Gen_2[[#This Row],[Contract]]="IC",SUMIFS(Expected_CF[Expected_Acquisition],Expected_CF[ICG],CF_Gen_2[[#This Row],[ICG]],Expected_CF[Incurred],CF_Gen_2[[#This Row],[Incurred]]),0)</f>
        <v>0</v>
      </c>
      <c r="K75" s="14">
        <f>SUMIFS(Earned[Earned_Premium],Earned[ICG],CF_Gen_2[[#This Row],[ICG]],Earned[Incurred],CF_Gen_2[[#This Row],[Incurred]])</f>
        <v>-279900983.03985697</v>
      </c>
      <c r="L75" s="14">
        <f>SUMIFS(Earned[Earned_Commission],Earned[ICG],CF_Gen_2[[#This Row],[ICG]],Earned[Incurred],CF_Gen_2[[#This Row],[Incurred]])</f>
        <v>85566283.907619059</v>
      </c>
      <c r="M75" s="18">
        <f>_xlfn.XLOOKUP(CF_Gen_2[[#This Row],[ICG]],Assumptions[ICG],Assumptions[Loss_Ratio])</f>
        <v>0.38</v>
      </c>
      <c r="N75" s="18">
        <f>_xlfn.XLOOKUP(CF_Gen_2[[#This Row],[ICG]],Assumptions[ICG],Assumptions[Risk_Adjustment_Ratio])</f>
        <v>0.13</v>
      </c>
      <c r="O75" s="18">
        <f>_xlfn.XLOOKUP(CF_Gen_2[[#This Row],[ICG]],Assumptions[ICG],Assumptions[PME_Ratio])</f>
        <v>0</v>
      </c>
      <c r="P75" s="18">
        <f>_xlfn.XLOOKUP(CF_Gen_2[[#This Row],[ICG]],Assumptions[ICG],Assumptions[ULAE_Ratio])</f>
        <v>0</v>
      </c>
      <c r="Q75" s="18">
        <f>_xlfn.XLOOKUP(CF_Gen_2[[#This Row],[ICG]],Assumptions[ICG],Assumptions[Cancellation_Ratio])</f>
        <v>7.0000000000000007E-2</v>
      </c>
      <c r="R75" s="18">
        <f>_xlfn.XLOOKUP(CF_Gen_2[[#This Row],[ICG]],Assumptions[ICG],Assumptions[Premium_Refund_Ratio])</f>
        <v>0.5</v>
      </c>
      <c r="S75" s="18">
        <f>IF(CF_Gen_2[[#This Row],[Contract]]="RC",_xlfn.XLOOKUP(CF_Gen_2[[#This Row],[ICG]],Assumptions[ICG],Assumptions[NPR_Ratio]),0)</f>
        <v>2.8000000000000001E-2</v>
      </c>
      <c r="T75" s="17">
        <f>T74*(1-CF_Gen_2[[#This Row],[Cancellation_Ratio]])</f>
        <v>5.0032850266928308E-3</v>
      </c>
      <c r="U75" s="19">
        <f>IF(CF_Gen_2[[#This Row],[Incurred]]&lt;=CF_Gen_2[[#This Row],[Valuation]],CF_Gen_2[[#This Row],[Expected_Premium]],-CF_Gen_2[[#This Row],[Probability_of_Inforce]]*CF_Gen_2[[#This Row],[Premium_Refund_Ratio]]*CF_Gen_2[[#This Row],[Cancellation_Ratio]]*SUM(K75:K$105))</f>
        <v>528404.03482382349</v>
      </c>
      <c r="V7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Row],[Cancellation_Ratio]]*SUM(L75:L$105))</f>
        <v>-148219.4923107918</v>
      </c>
      <c r="W75" s="19">
        <f>CF_Gen_2[[#This Row],[Expected_Acquisition]]</f>
        <v>0</v>
      </c>
      <c r="X7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5" s="19">
        <f>-CF_Gen_2[[#This Row],[Probability_of_Inforce]]*CF_Gen_2[[#This Row],[Earned_Premium]]*(1-CF_Gen_2[[#This Row],[Cancellation_Ratio]])*CF_Gen_2[[#This Row],[Loss_Ratio]]</f>
        <v>494909.98204113176</v>
      </c>
      <c r="Z75" s="19">
        <f>CF_Gen_2[[#This Row],[Exp_Claim]]*CF_Gen_2[[#This Row],[Risk_Adjustment_Ratio]]</f>
        <v>64338.297665347134</v>
      </c>
      <c r="AA75" s="19">
        <f>IF(CF_Gen_2[[#This Row],[Contract]]="RC",-CF_Gen_2[[#This Row],[NPR_Ratio]]*CF_Gen_2[[#This Row],[Exp_Claim]],0)</f>
        <v>-13857.479497151689</v>
      </c>
      <c r="AB75" s="19">
        <f>SUMIFS(Actual_CF[Actual_Premium],Actual_CF[ICG],CF_Gen_2[[#This Row],[ICG]],Actual_CF[Incurred],CF_Gen_2[[#This Row],[Incurred]])</f>
        <v>0</v>
      </c>
      <c r="AC75" s="19">
        <f>SUMIFS(Actual_CF[Actual_Commission],Actual_CF[ICG],CF_Gen_2[[#This Row],[ICG]],Actual_CF[Incurred],CF_Gen_2[[#This Row],[Incurred]])</f>
        <v>0</v>
      </c>
      <c r="AD75" s="19">
        <f>SUMIFS(Actual_CF[Actual_Acquisition],Actual_CF[ICG],CF_Gen_2[[#This Row],[ICG]],Actual_CF[Incurred],CF_Gen_2[[#This Row],[Incurred]])</f>
        <v>0</v>
      </c>
    </row>
    <row r="76" spans="1:30">
      <c r="A76" t="str">
        <f t="shared" si="4"/>
        <v>#2024#RC-Property</v>
      </c>
      <c r="B76">
        <f>_xlfn.XLOOKUP(CF_Gen_2[[#This Row],[ICG]],ICG[ICG],ICG[Cohort])</f>
        <v>2024</v>
      </c>
      <c r="C76" t="str">
        <f>_xlfn.XLOOKUP(CF_Gen_2[[#This Row],[ICG]],ICG[ICG],ICG[Portfolio])</f>
        <v>RC-Property</v>
      </c>
      <c r="D76" t="str">
        <f>_xlfn.XLOOKUP(CF_Gen_2[[#This Row],[ICG]],ICG[ICG],ICG[Contract])</f>
        <v>RC</v>
      </c>
      <c r="E76" s="2">
        <f t="shared" si="3"/>
        <v>45930</v>
      </c>
      <c r="F76">
        <v>75</v>
      </c>
      <c r="G76" s="2">
        <f>EOMONTH(DATE(YEAR(CF_Gen_2[[#This Row],[Valuation]])-1,12,31),CF_Gen_2[[#This Row],['#Incurred]]*3)</f>
        <v>52504</v>
      </c>
      <c r="H76" s="14">
        <f>SUMIFS(Expected_CF[Expected_Premium],Expected_CF[ICG],CF_Gen_2[[#This Row],[ICG]],Expected_CF[Incurred],CF_Gen_2[[#This Row],[Incurred]])</f>
        <v>0</v>
      </c>
      <c r="I76" s="14">
        <f>SUMIFS(Expected_CF[Expected_Commission],Expected_CF[ICG],CF_Gen_2[[#This Row],[ICG]],Expected_CF[Incurred],CF_Gen_2[[#This Row],[Incurred]])</f>
        <v>0</v>
      </c>
      <c r="J76" s="14">
        <f>IF(CF_Gen_2[[#This Row],[Contract]]="IC",SUMIFS(Expected_CF[Expected_Acquisition],Expected_CF[ICG],CF_Gen_2[[#This Row],[ICG]],Expected_CF[Incurred],CF_Gen_2[[#This Row],[Incurred]]),0)</f>
        <v>0</v>
      </c>
      <c r="K76" s="14">
        <f>SUMIFS(Earned[Earned_Premium],Earned[ICG],CF_Gen_2[[#This Row],[ICG]],Earned[Incurred],CF_Gen_2[[#This Row],[Incurred]])</f>
        <v>-266247276.55010778</v>
      </c>
      <c r="L76" s="14">
        <f>SUMIFS(Earned[Earned_Commission],Earned[ICG],CF_Gen_2[[#This Row],[ICG]],Earned[Incurred],CF_Gen_2[[#This Row],[Incurred]])</f>
        <v>80941079.372072071</v>
      </c>
      <c r="M76" s="18">
        <f>_xlfn.XLOOKUP(CF_Gen_2[[#This Row],[ICG]],Assumptions[ICG],Assumptions[Loss_Ratio])</f>
        <v>0.38</v>
      </c>
      <c r="N76" s="18">
        <f>_xlfn.XLOOKUP(CF_Gen_2[[#This Row],[ICG]],Assumptions[ICG],Assumptions[Risk_Adjustment_Ratio])</f>
        <v>0.13</v>
      </c>
      <c r="O76" s="18">
        <f>_xlfn.XLOOKUP(CF_Gen_2[[#This Row],[ICG]],Assumptions[ICG],Assumptions[PME_Ratio])</f>
        <v>0</v>
      </c>
      <c r="P76" s="18">
        <f>_xlfn.XLOOKUP(CF_Gen_2[[#This Row],[ICG]],Assumptions[ICG],Assumptions[ULAE_Ratio])</f>
        <v>0</v>
      </c>
      <c r="Q76" s="18">
        <f>_xlfn.XLOOKUP(CF_Gen_2[[#This Row],[ICG]],Assumptions[ICG],Assumptions[Cancellation_Ratio])</f>
        <v>7.0000000000000007E-2</v>
      </c>
      <c r="R76" s="18">
        <f>_xlfn.XLOOKUP(CF_Gen_2[[#This Row],[ICG]],Assumptions[ICG],Assumptions[Premium_Refund_Ratio])</f>
        <v>0.5</v>
      </c>
      <c r="S76" s="18">
        <f>IF(CF_Gen_2[[#This Row],[Contract]]="RC",_xlfn.XLOOKUP(CF_Gen_2[[#This Row],[ICG]],Assumptions[ICG],Assumptions[NPR_Ratio]),0)</f>
        <v>2.8000000000000001E-2</v>
      </c>
      <c r="T76" s="17">
        <f>T75*(1-CF_Gen_2[[#This Row],[Cancellation_Ratio]])</f>
        <v>4.6530550748243322E-3</v>
      </c>
      <c r="U76" s="19">
        <f>IF(CF_Gen_2[[#This Row],[Incurred]]&lt;=CF_Gen_2[[#This Row],[Valuation]],CF_Gen_2[[#This Row],[Expected_Premium]],-CF_Gen_2[[#This Row],[Probability_of_Inforce]]*CF_Gen_2[[#This Row],[Premium_Refund_Ratio]]*CF_Gen_2[[#This Row],[Cancellation_Ratio]]*SUM(K76:K$105))</f>
        <v>445831.93825078849</v>
      </c>
      <c r="V7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Row],[Cancellation_Ratio]]*SUM(L76:L$105))</f>
        <v>-123909.06574407914</v>
      </c>
      <c r="W76" s="19">
        <f>CF_Gen_2[[#This Row],[Expected_Acquisition]]</f>
        <v>0</v>
      </c>
      <c r="X7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6" s="19">
        <f>-CF_Gen_2[[#This Row],[Probability_of_Inforce]]*CF_Gen_2[[#This Row],[Earned_Premium]]*(1-CF_Gen_2[[#This Row],[Cancellation_Ratio]])*CF_Gen_2[[#This Row],[Loss_Ratio]]</f>
        <v>437814.26947882556</v>
      </c>
      <c r="Z76" s="19">
        <f>CF_Gen_2[[#This Row],[Exp_Claim]]*CF_Gen_2[[#This Row],[Risk_Adjustment_Ratio]]</f>
        <v>56915.855032247324</v>
      </c>
      <c r="AA76" s="19">
        <f>IF(CF_Gen_2[[#This Row],[Contract]]="RC",-CF_Gen_2[[#This Row],[NPR_Ratio]]*CF_Gen_2[[#This Row],[Exp_Claim]],0)</f>
        <v>-12258.799545407115</v>
      </c>
      <c r="AB76" s="19">
        <f>SUMIFS(Actual_CF[Actual_Premium],Actual_CF[ICG],CF_Gen_2[[#This Row],[ICG]],Actual_CF[Incurred],CF_Gen_2[[#This Row],[Incurred]])</f>
        <v>0</v>
      </c>
      <c r="AC76" s="19">
        <f>SUMIFS(Actual_CF[Actual_Commission],Actual_CF[ICG],CF_Gen_2[[#This Row],[ICG]],Actual_CF[Incurred],CF_Gen_2[[#This Row],[Incurred]])</f>
        <v>0</v>
      </c>
      <c r="AD76" s="19">
        <f>SUMIFS(Actual_CF[Actual_Acquisition],Actual_CF[ICG],CF_Gen_2[[#This Row],[ICG]],Actual_CF[Incurred],CF_Gen_2[[#This Row],[Incurred]])</f>
        <v>0</v>
      </c>
    </row>
    <row r="77" spans="1:30">
      <c r="A77" t="str">
        <f t="shared" si="4"/>
        <v>#2024#RC-Property</v>
      </c>
      <c r="B77">
        <f>_xlfn.XLOOKUP(CF_Gen_2[[#This Row],[ICG]],ICG[ICG],ICG[Cohort])</f>
        <v>2024</v>
      </c>
      <c r="C77" t="str">
        <f>_xlfn.XLOOKUP(CF_Gen_2[[#This Row],[ICG]],ICG[ICG],ICG[Portfolio])</f>
        <v>RC-Property</v>
      </c>
      <c r="D77" t="str">
        <f>_xlfn.XLOOKUP(CF_Gen_2[[#This Row],[ICG]],ICG[ICG],ICG[Contract])</f>
        <v>RC</v>
      </c>
      <c r="E77" s="2">
        <f t="shared" si="3"/>
        <v>45930</v>
      </c>
      <c r="F77">
        <v>76</v>
      </c>
      <c r="G77" s="2">
        <f>EOMONTH(DATE(YEAR(CF_Gen_2[[#This Row],[Valuation]])-1,12,31),CF_Gen_2[[#This Row],['#Incurred]]*3)</f>
        <v>52596</v>
      </c>
      <c r="H77" s="14">
        <f>SUMIFS(Expected_CF[Expected_Premium],Expected_CF[ICG],CF_Gen_2[[#This Row],[ICG]],Expected_CF[Incurred],CF_Gen_2[[#This Row],[Incurred]])</f>
        <v>0</v>
      </c>
      <c r="I77" s="14">
        <f>SUMIFS(Expected_CF[Expected_Commission],Expected_CF[ICG],CF_Gen_2[[#This Row],[ICG]],Expected_CF[Incurred],CF_Gen_2[[#This Row],[Incurred]])</f>
        <v>0</v>
      </c>
      <c r="J77" s="14">
        <f>IF(CF_Gen_2[[#This Row],[Contract]]="IC",SUMIFS(Expected_CF[Expected_Acquisition],Expected_CF[ICG],CF_Gen_2[[#This Row],[ICG]],Expected_CF[Incurred],CF_Gen_2[[#This Row],[Incurred]]),0)</f>
        <v>0</v>
      </c>
      <c r="K77" s="14">
        <f>SUMIFS(Earned[Earned_Premium],Earned[ICG],CF_Gen_2[[#This Row],[ICG]],Earned[Incurred],CF_Gen_2[[#This Row],[Incurred]])</f>
        <v>-252593570.06035864</v>
      </c>
      <c r="L77" s="14">
        <f>SUMIFS(Earned[Earned_Commission],Earned[ICG],CF_Gen_2[[#This Row],[ICG]],Earned[Incurred],CF_Gen_2[[#This Row],[Incurred]])</f>
        <v>76315874.836525112</v>
      </c>
      <c r="M77" s="18">
        <f>_xlfn.XLOOKUP(CF_Gen_2[[#This Row],[ICG]],Assumptions[ICG],Assumptions[Loss_Ratio])</f>
        <v>0.38</v>
      </c>
      <c r="N77" s="18">
        <f>_xlfn.XLOOKUP(CF_Gen_2[[#This Row],[ICG]],Assumptions[ICG],Assumptions[Risk_Adjustment_Ratio])</f>
        <v>0.13</v>
      </c>
      <c r="O77" s="18">
        <f>_xlfn.XLOOKUP(CF_Gen_2[[#This Row],[ICG]],Assumptions[ICG],Assumptions[PME_Ratio])</f>
        <v>0</v>
      </c>
      <c r="P77" s="18">
        <f>_xlfn.XLOOKUP(CF_Gen_2[[#This Row],[ICG]],Assumptions[ICG],Assumptions[ULAE_Ratio])</f>
        <v>0</v>
      </c>
      <c r="Q77" s="18">
        <f>_xlfn.XLOOKUP(CF_Gen_2[[#This Row],[ICG]],Assumptions[ICG],Assumptions[Cancellation_Ratio])</f>
        <v>7.0000000000000007E-2</v>
      </c>
      <c r="R77" s="18">
        <f>_xlfn.XLOOKUP(CF_Gen_2[[#This Row],[ICG]],Assumptions[ICG],Assumptions[Premium_Refund_Ratio])</f>
        <v>0.5</v>
      </c>
      <c r="S77" s="18">
        <f>IF(CF_Gen_2[[#This Row],[Contract]]="RC",_xlfn.XLOOKUP(CF_Gen_2[[#This Row],[ICG]],Assumptions[ICG],Assumptions[NPR_Ratio]),0)</f>
        <v>2.8000000000000001E-2</v>
      </c>
      <c r="T77" s="17">
        <f>T76*(1-CF_Gen_2[[#This Row],[Cancellation_Ratio]])</f>
        <v>4.3273412195866286E-3</v>
      </c>
      <c r="U77" s="19">
        <f>IF(CF_Gen_2[[#This Row],[Incurred]]&lt;=CF_Gen_2[[#This Row],[Valuation]],CF_Gen_2[[#This Row],[Expected_Premium]],-CF_Gen_2[[#This Row],[Probability_of_Inforce]]*CF_Gen_2[[#This Row],[Premium_Refund_Ratio]]*CF_Gen_2[[#This Row],[Cancellation_Ratio]]*SUM(K77:K$105))</f>
        <v>374298.70406860468</v>
      </c>
      <c r="V7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Row],[Cancellation_Ratio]]*SUM(L77:L$105))</f>
        <v>-102976.34272263257</v>
      </c>
      <c r="W77" s="19">
        <f>CF_Gen_2[[#This Row],[Expected_Acquisition]]</f>
        <v>0</v>
      </c>
      <c r="X7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7" s="19">
        <f>-CF_Gen_2[[#This Row],[Probability_of_Inforce]]*CF_Gen_2[[#This Row],[Earned_Premium]]*(1-CF_Gen_2[[#This Row],[Cancellation_Ratio]])*CF_Gen_2[[#This Row],[Loss_Ratio]]</f>
        <v>386286.89776324056</v>
      </c>
      <c r="Z77" s="19">
        <f>CF_Gen_2[[#This Row],[Exp_Claim]]*CF_Gen_2[[#This Row],[Risk_Adjustment_Ratio]]</f>
        <v>50217.296709221271</v>
      </c>
      <c r="AA77" s="19">
        <f>IF(CF_Gen_2[[#This Row],[Contract]]="RC",-CF_Gen_2[[#This Row],[NPR_Ratio]]*CF_Gen_2[[#This Row],[Exp_Claim]],0)</f>
        <v>-10816.033137370736</v>
      </c>
      <c r="AB77" s="19">
        <f>SUMIFS(Actual_CF[Actual_Premium],Actual_CF[ICG],CF_Gen_2[[#This Row],[ICG]],Actual_CF[Incurred],CF_Gen_2[[#This Row],[Incurred]])</f>
        <v>0</v>
      </c>
      <c r="AC77" s="19">
        <f>SUMIFS(Actual_CF[Actual_Commission],Actual_CF[ICG],CF_Gen_2[[#This Row],[ICG]],Actual_CF[Incurred],CF_Gen_2[[#This Row],[Incurred]])</f>
        <v>0</v>
      </c>
      <c r="AD77" s="19">
        <f>SUMIFS(Actual_CF[Actual_Acquisition],Actual_CF[ICG],CF_Gen_2[[#This Row],[ICG]],Actual_CF[Incurred],CF_Gen_2[[#This Row],[Incurred]])</f>
        <v>0</v>
      </c>
    </row>
    <row r="78" spans="1:30">
      <c r="A78" t="str">
        <f t="shared" si="4"/>
        <v>#2024#RC-Property</v>
      </c>
      <c r="B78">
        <f>_xlfn.XLOOKUP(CF_Gen_2[[#This Row],[ICG]],ICG[ICG],ICG[Cohort])</f>
        <v>2024</v>
      </c>
      <c r="C78" t="str">
        <f>_xlfn.XLOOKUP(CF_Gen_2[[#This Row],[ICG]],ICG[ICG],ICG[Portfolio])</f>
        <v>RC-Property</v>
      </c>
      <c r="D78" t="str">
        <f>_xlfn.XLOOKUP(CF_Gen_2[[#This Row],[ICG]],ICG[ICG],ICG[Contract])</f>
        <v>RC</v>
      </c>
      <c r="E78" s="2">
        <f t="shared" si="3"/>
        <v>45930</v>
      </c>
      <c r="F78">
        <v>77</v>
      </c>
      <c r="G78" s="2">
        <f>EOMONTH(DATE(YEAR(CF_Gen_2[[#This Row],[Valuation]])-1,12,31),CF_Gen_2[[#This Row],['#Incurred]]*3)</f>
        <v>52687</v>
      </c>
      <c r="H78" s="14">
        <f>SUMIFS(Expected_CF[Expected_Premium],Expected_CF[ICG],CF_Gen_2[[#This Row],[ICG]],Expected_CF[Incurred],CF_Gen_2[[#This Row],[Incurred]])</f>
        <v>0</v>
      </c>
      <c r="I78" s="14">
        <f>SUMIFS(Expected_CF[Expected_Commission],Expected_CF[ICG],CF_Gen_2[[#This Row],[ICG]],Expected_CF[Incurred],CF_Gen_2[[#This Row],[Incurred]])</f>
        <v>0</v>
      </c>
      <c r="J78" s="14">
        <f>IF(CF_Gen_2[[#This Row],[Contract]]="IC",SUMIFS(Expected_CF[Expected_Acquisition],Expected_CF[ICG],CF_Gen_2[[#This Row],[ICG]],Expected_CF[Incurred],CF_Gen_2[[#This Row],[Incurred]]),0)</f>
        <v>0</v>
      </c>
      <c r="K78" s="14">
        <f>SUMIFS(Earned[Earned_Premium],Earned[ICG],CF_Gen_2[[#This Row],[ICG]],Earned[Incurred],CF_Gen_2[[#This Row],[Incurred]])</f>
        <v>-238939863.57060954</v>
      </c>
      <c r="L78" s="14">
        <f>SUMIFS(Earned[Earned_Commission],Earned[ICG],CF_Gen_2[[#This Row],[ICG]],Earned[Incurred],CF_Gen_2[[#This Row],[Incurred]])</f>
        <v>71690670.300978139</v>
      </c>
      <c r="M78" s="18">
        <f>_xlfn.XLOOKUP(CF_Gen_2[[#This Row],[ICG]],Assumptions[ICG],Assumptions[Loss_Ratio])</f>
        <v>0.38</v>
      </c>
      <c r="N78" s="18">
        <f>_xlfn.XLOOKUP(CF_Gen_2[[#This Row],[ICG]],Assumptions[ICG],Assumptions[Risk_Adjustment_Ratio])</f>
        <v>0.13</v>
      </c>
      <c r="O78" s="18">
        <f>_xlfn.XLOOKUP(CF_Gen_2[[#This Row],[ICG]],Assumptions[ICG],Assumptions[PME_Ratio])</f>
        <v>0</v>
      </c>
      <c r="P78" s="18">
        <f>_xlfn.XLOOKUP(CF_Gen_2[[#This Row],[ICG]],Assumptions[ICG],Assumptions[ULAE_Ratio])</f>
        <v>0</v>
      </c>
      <c r="Q78" s="18">
        <f>_xlfn.XLOOKUP(CF_Gen_2[[#This Row],[ICG]],Assumptions[ICG],Assumptions[Cancellation_Ratio])</f>
        <v>7.0000000000000007E-2</v>
      </c>
      <c r="R78" s="18">
        <f>_xlfn.XLOOKUP(CF_Gen_2[[#This Row],[ICG]],Assumptions[ICG],Assumptions[Premium_Refund_Ratio])</f>
        <v>0.5</v>
      </c>
      <c r="S78" s="18">
        <f>IF(CF_Gen_2[[#This Row],[Contract]]="RC",_xlfn.XLOOKUP(CF_Gen_2[[#This Row],[ICG]],Assumptions[ICG],Assumptions[NPR_Ratio]),0)</f>
        <v>2.8000000000000001E-2</v>
      </c>
      <c r="T78" s="17">
        <f>T77*(1-CF_Gen_2[[#This Row],[Cancellation_Ratio]])</f>
        <v>4.0244273342155646E-3</v>
      </c>
      <c r="U78" s="19">
        <f>IF(CF_Gen_2[[#This Row],[Incurred]]&lt;=CF_Gen_2[[#This Row],[Valuation]],CF_Gen_2[[#This Row],[Expected_Premium]],-CF_Gen_2[[#This Row],[Probability_of_Inforce]]*CF_Gen_2[[#This Row],[Premium_Refund_Ratio]]*CF_Gen_2[[#This Row],[Cancellation_Ratio]]*SUM(K78:K$105))</f>
        <v>312518.73841087217</v>
      </c>
      <c r="V7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Row],[Cancellation_Ratio]]*SUM(L78:L$105))</f>
        <v>-85018.529486614309</v>
      </c>
      <c r="W78" s="19">
        <f>CF_Gen_2[[#This Row],[Expected_Acquisition]]</f>
        <v>0</v>
      </c>
      <c r="X7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8" s="19">
        <f>-CF_Gen_2[[#This Row],[Probability_of_Inforce]]*CF_Gen_2[[#This Row],[Earned_Premium]]*(1-CF_Gen_2[[#This Row],[Cancellation_Ratio]])*CF_Gen_2[[#This Row],[Loss_Ratio]]</f>
        <v>339828.06816739141</v>
      </c>
      <c r="Z78" s="19">
        <f>CF_Gen_2[[#This Row],[Exp_Claim]]*CF_Gen_2[[#This Row],[Risk_Adjustment_Ratio]]</f>
        <v>44177.648861760885</v>
      </c>
      <c r="AA78" s="19">
        <f>IF(CF_Gen_2[[#This Row],[Contract]]="RC",-CF_Gen_2[[#This Row],[NPR_Ratio]]*CF_Gen_2[[#This Row],[Exp_Claim]],0)</f>
        <v>-9515.185908686959</v>
      </c>
      <c r="AB78" s="19">
        <f>SUMIFS(Actual_CF[Actual_Premium],Actual_CF[ICG],CF_Gen_2[[#This Row],[ICG]],Actual_CF[Incurred],CF_Gen_2[[#This Row],[Incurred]])</f>
        <v>0</v>
      </c>
      <c r="AC78" s="19">
        <f>SUMIFS(Actual_CF[Actual_Commission],Actual_CF[ICG],CF_Gen_2[[#This Row],[ICG]],Actual_CF[Incurred],CF_Gen_2[[#This Row],[Incurred]])</f>
        <v>0</v>
      </c>
      <c r="AD78" s="19">
        <f>SUMIFS(Actual_CF[Actual_Acquisition],Actual_CF[ICG],CF_Gen_2[[#This Row],[ICG]],Actual_CF[Incurred],CF_Gen_2[[#This Row],[Incurred]])</f>
        <v>0</v>
      </c>
    </row>
    <row r="79" spans="1:30">
      <c r="A79" t="str">
        <f t="shared" si="4"/>
        <v>#2024#RC-Property</v>
      </c>
      <c r="B79">
        <f>_xlfn.XLOOKUP(CF_Gen_2[[#This Row],[ICG]],ICG[ICG],ICG[Cohort])</f>
        <v>2024</v>
      </c>
      <c r="C79" t="str">
        <f>_xlfn.XLOOKUP(CF_Gen_2[[#This Row],[ICG]],ICG[ICG],ICG[Portfolio])</f>
        <v>RC-Property</v>
      </c>
      <c r="D79" t="str">
        <f>_xlfn.XLOOKUP(CF_Gen_2[[#This Row],[ICG]],ICG[ICG],ICG[Contract])</f>
        <v>RC</v>
      </c>
      <c r="E79" s="2">
        <f t="shared" si="3"/>
        <v>45930</v>
      </c>
      <c r="F79">
        <v>78</v>
      </c>
      <c r="G79" s="2">
        <f>EOMONTH(DATE(YEAR(CF_Gen_2[[#This Row],[Valuation]])-1,12,31),CF_Gen_2[[#This Row],['#Incurred]]*3)</f>
        <v>52778</v>
      </c>
      <c r="H79" s="14">
        <f>SUMIFS(Expected_CF[Expected_Premium],Expected_CF[ICG],CF_Gen_2[[#This Row],[ICG]],Expected_CF[Incurred],CF_Gen_2[[#This Row],[Incurred]])</f>
        <v>0</v>
      </c>
      <c r="I79" s="14">
        <f>SUMIFS(Expected_CF[Expected_Commission],Expected_CF[ICG],CF_Gen_2[[#This Row],[ICG]],Expected_CF[Incurred],CF_Gen_2[[#This Row],[Incurred]])</f>
        <v>0</v>
      </c>
      <c r="J79" s="14">
        <f>IF(CF_Gen_2[[#This Row],[Contract]]="IC",SUMIFS(Expected_CF[Expected_Acquisition],Expected_CF[ICG],CF_Gen_2[[#This Row],[ICG]],Expected_CF[Incurred],CF_Gen_2[[#This Row],[Incurred]]),0)</f>
        <v>0</v>
      </c>
      <c r="K79" s="14">
        <f>SUMIFS(Earned[Earned_Premium],Earned[ICG],CF_Gen_2[[#This Row],[ICG]],Earned[Incurred],CF_Gen_2[[#This Row],[Incurred]])</f>
        <v>-225286157.08086044</v>
      </c>
      <c r="L79" s="14">
        <f>SUMIFS(Earned[Earned_Commission],Earned[ICG],CF_Gen_2[[#This Row],[ICG]],Earned[Incurred],CF_Gen_2[[#This Row],[Incurred]])</f>
        <v>67065465.765431158</v>
      </c>
      <c r="M79" s="18">
        <f>_xlfn.XLOOKUP(CF_Gen_2[[#This Row],[ICG]],Assumptions[ICG],Assumptions[Loss_Ratio])</f>
        <v>0.38</v>
      </c>
      <c r="N79" s="18">
        <f>_xlfn.XLOOKUP(CF_Gen_2[[#This Row],[ICG]],Assumptions[ICG],Assumptions[Risk_Adjustment_Ratio])</f>
        <v>0.13</v>
      </c>
      <c r="O79" s="18">
        <f>_xlfn.XLOOKUP(CF_Gen_2[[#This Row],[ICG]],Assumptions[ICG],Assumptions[PME_Ratio])</f>
        <v>0</v>
      </c>
      <c r="P79" s="18">
        <f>_xlfn.XLOOKUP(CF_Gen_2[[#This Row],[ICG]],Assumptions[ICG],Assumptions[ULAE_Ratio])</f>
        <v>0</v>
      </c>
      <c r="Q79" s="18">
        <f>_xlfn.XLOOKUP(CF_Gen_2[[#This Row],[ICG]],Assumptions[ICG],Assumptions[Cancellation_Ratio])</f>
        <v>7.0000000000000007E-2</v>
      </c>
      <c r="R79" s="18">
        <f>_xlfn.XLOOKUP(CF_Gen_2[[#This Row],[ICG]],Assumptions[ICG],Assumptions[Premium_Refund_Ratio])</f>
        <v>0.5</v>
      </c>
      <c r="S79" s="18">
        <f>IF(CF_Gen_2[[#This Row],[Contract]]="RC",_xlfn.XLOOKUP(CF_Gen_2[[#This Row],[ICG]],Assumptions[ICG],Assumptions[NPR_Ratio]),0)</f>
        <v>2.8000000000000001E-2</v>
      </c>
      <c r="T79" s="17">
        <f>T78*(1-CF_Gen_2[[#This Row],[Cancellation_Ratio]])</f>
        <v>3.7427174208204748E-3</v>
      </c>
      <c r="U79" s="19">
        <f>IF(CF_Gen_2[[#This Row],[Incurred]]&lt;=CF_Gen_2[[#This Row],[Valuation]],CF_Gen_2[[#This Row],[Expected_Premium]],-CF_Gen_2[[#This Row],[Probability_of_Inforce]]*CF_Gen_2[[#This Row],[Premium_Refund_Ratio]]*CF_Gen_2[[#This Row],[Cancellation_Ratio]]*SUM(K79:K$105))</f>
        <v>259342.47307511451</v>
      </c>
      <c r="V7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Row],[Cancellation_Ratio]]*SUM(L79:L$105))</f>
        <v>-69676.105199949394</v>
      </c>
      <c r="W79" s="19">
        <f>CF_Gen_2[[#This Row],[Expected_Acquisition]]</f>
        <v>0</v>
      </c>
      <c r="X7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79" s="19">
        <f>-CF_Gen_2[[#This Row],[Probability_of_Inforce]]*CF_Gen_2[[#This Row],[Earned_Premium]]*(1-CF_Gen_2[[#This Row],[Cancellation_Ratio]])*CF_Gen_2[[#This Row],[Loss_Ratio]]</f>
        <v>297980.66891592118</v>
      </c>
      <c r="Z79" s="19">
        <f>CF_Gen_2[[#This Row],[Exp_Claim]]*CF_Gen_2[[#This Row],[Risk_Adjustment_Ratio]]</f>
        <v>38737.486959069756</v>
      </c>
      <c r="AA79" s="19">
        <f>IF(CF_Gen_2[[#This Row],[Contract]]="RC",-CF_Gen_2[[#This Row],[NPR_Ratio]]*CF_Gen_2[[#This Row],[Exp_Claim]],0)</f>
        <v>-8343.4587296457939</v>
      </c>
      <c r="AB79" s="19">
        <f>SUMIFS(Actual_CF[Actual_Premium],Actual_CF[ICG],CF_Gen_2[[#This Row],[ICG]],Actual_CF[Incurred],CF_Gen_2[[#This Row],[Incurred]])</f>
        <v>0</v>
      </c>
      <c r="AC79" s="19">
        <f>SUMIFS(Actual_CF[Actual_Commission],Actual_CF[ICG],CF_Gen_2[[#This Row],[ICG]],Actual_CF[Incurred],CF_Gen_2[[#This Row],[Incurred]])</f>
        <v>0</v>
      </c>
      <c r="AD79" s="19">
        <f>SUMIFS(Actual_CF[Actual_Acquisition],Actual_CF[ICG],CF_Gen_2[[#This Row],[ICG]],Actual_CF[Incurred],CF_Gen_2[[#This Row],[Incurred]])</f>
        <v>0</v>
      </c>
    </row>
    <row r="80" spans="1:30">
      <c r="A80" t="str">
        <f t="shared" si="4"/>
        <v>#2024#RC-Property</v>
      </c>
      <c r="B80">
        <f>_xlfn.XLOOKUP(CF_Gen_2[[#This Row],[ICG]],ICG[ICG],ICG[Cohort])</f>
        <v>2024</v>
      </c>
      <c r="C80" t="str">
        <f>_xlfn.XLOOKUP(CF_Gen_2[[#This Row],[ICG]],ICG[ICG],ICG[Portfolio])</f>
        <v>RC-Property</v>
      </c>
      <c r="D80" t="str">
        <f>_xlfn.XLOOKUP(CF_Gen_2[[#This Row],[ICG]],ICG[ICG],ICG[Contract])</f>
        <v>RC</v>
      </c>
      <c r="E80" s="2">
        <f t="shared" si="3"/>
        <v>45930</v>
      </c>
      <c r="F80">
        <v>79</v>
      </c>
      <c r="G80" s="2">
        <f>EOMONTH(DATE(YEAR(CF_Gen_2[[#This Row],[Valuation]])-1,12,31),CF_Gen_2[[#This Row],['#Incurred]]*3)</f>
        <v>52870</v>
      </c>
      <c r="H80" s="14">
        <f>SUMIFS(Expected_CF[Expected_Premium],Expected_CF[ICG],CF_Gen_2[[#This Row],[ICG]],Expected_CF[Incurred],CF_Gen_2[[#This Row],[Incurred]])</f>
        <v>0</v>
      </c>
      <c r="I80" s="14">
        <f>SUMIFS(Expected_CF[Expected_Commission],Expected_CF[ICG],CF_Gen_2[[#This Row],[ICG]],Expected_CF[Incurred],CF_Gen_2[[#This Row],[Incurred]])</f>
        <v>0</v>
      </c>
      <c r="J80" s="14">
        <f>IF(CF_Gen_2[[#This Row],[Contract]]="IC",SUMIFS(Expected_CF[Expected_Acquisition],Expected_CF[ICG],CF_Gen_2[[#This Row],[ICG]],Expected_CF[Incurred],CF_Gen_2[[#This Row],[Incurred]]),0)</f>
        <v>0</v>
      </c>
      <c r="K80" s="14">
        <f>SUMIFS(Earned[Earned_Premium],Earned[ICG],CF_Gen_2[[#This Row],[ICG]],Earned[Incurred],CF_Gen_2[[#This Row],[Incurred]])</f>
        <v>-211632450.59111133</v>
      </c>
      <c r="L80" s="14">
        <f>SUMIFS(Earned[Earned_Commission],Earned[ICG],CF_Gen_2[[#This Row],[ICG]],Earned[Incurred],CF_Gen_2[[#This Row],[Incurred]])</f>
        <v>62440261.229884185</v>
      </c>
      <c r="M80" s="18">
        <f>_xlfn.XLOOKUP(CF_Gen_2[[#This Row],[ICG]],Assumptions[ICG],Assumptions[Loss_Ratio])</f>
        <v>0.38</v>
      </c>
      <c r="N80" s="18">
        <f>_xlfn.XLOOKUP(CF_Gen_2[[#This Row],[ICG]],Assumptions[ICG],Assumptions[Risk_Adjustment_Ratio])</f>
        <v>0.13</v>
      </c>
      <c r="O80" s="18">
        <f>_xlfn.XLOOKUP(CF_Gen_2[[#This Row],[ICG]],Assumptions[ICG],Assumptions[PME_Ratio])</f>
        <v>0</v>
      </c>
      <c r="P80" s="18">
        <f>_xlfn.XLOOKUP(CF_Gen_2[[#This Row],[ICG]],Assumptions[ICG],Assumptions[ULAE_Ratio])</f>
        <v>0</v>
      </c>
      <c r="Q80" s="18">
        <f>_xlfn.XLOOKUP(CF_Gen_2[[#This Row],[ICG]],Assumptions[ICG],Assumptions[Cancellation_Ratio])</f>
        <v>7.0000000000000007E-2</v>
      </c>
      <c r="R80" s="18">
        <f>_xlfn.XLOOKUP(CF_Gen_2[[#This Row],[ICG]],Assumptions[ICG],Assumptions[Premium_Refund_Ratio])</f>
        <v>0.5</v>
      </c>
      <c r="S80" s="18">
        <f>IF(CF_Gen_2[[#This Row],[Contract]]="RC",_xlfn.XLOOKUP(CF_Gen_2[[#This Row],[ICG]],Assumptions[ICG],Assumptions[NPR_Ratio]),0)</f>
        <v>2.8000000000000001E-2</v>
      </c>
      <c r="T80" s="17">
        <f>T79*(1-CF_Gen_2[[#This Row],[Cancellation_Ratio]])</f>
        <v>3.4807272013630416E-3</v>
      </c>
      <c r="U80" s="19">
        <f>IF(CF_Gen_2[[#This Row],[Incurred]]&lt;=CF_Gen_2[[#This Row],[Valuation]],CF_Gen_2[[#This Row],[Expected_Premium]],-CF_Gen_2[[#This Row],[Probability_of_Inforce]]*CF_Gen_2[[#This Row],[Premium_Refund_Ratio]]*CF_Gen_2[[#This Row],[Cancellation_Ratio]]*SUM(K80:K$105))</f>
        <v>213742.91203339005</v>
      </c>
      <c r="V8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Row],[Cancellation_Ratio]]*SUM(L80:L$105))</f>
        <v>-56628.49715228931</v>
      </c>
      <c r="W80" s="19">
        <f>CF_Gen_2[[#This Row],[Expected_Acquisition]]</f>
        <v>0</v>
      </c>
      <c r="X8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0" s="19">
        <f>-CF_Gen_2[[#This Row],[Probability_of_Inforce]]*CF_Gen_2[[#This Row],[Earned_Premium]]*(1-CF_Gen_2[[#This Row],[Cancellation_Ratio]])*CF_Gen_2[[#This Row],[Loss_Ratio]]</f>
        <v>260326.74802563663</v>
      </c>
      <c r="Z80" s="19">
        <f>CF_Gen_2[[#This Row],[Exp_Claim]]*CF_Gen_2[[#This Row],[Risk_Adjustment_Ratio]]</f>
        <v>33842.47724333276</v>
      </c>
      <c r="AA80" s="19">
        <f>IF(CF_Gen_2[[#This Row],[Contract]]="RC",-CF_Gen_2[[#This Row],[NPR_Ratio]]*CF_Gen_2[[#This Row],[Exp_Claim]],0)</f>
        <v>-7289.1489447178255</v>
      </c>
      <c r="AB80" s="19">
        <f>SUMIFS(Actual_CF[Actual_Premium],Actual_CF[ICG],CF_Gen_2[[#This Row],[ICG]],Actual_CF[Incurred],CF_Gen_2[[#This Row],[Incurred]])</f>
        <v>0</v>
      </c>
      <c r="AC80" s="19">
        <f>SUMIFS(Actual_CF[Actual_Commission],Actual_CF[ICG],CF_Gen_2[[#This Row],[ICG]],Actual_CF[Incurred],CF_Gen_2[[#This Row],[Incurred]])</f>
        <v>0</v>
      </c>
      <c r="AD80" s="19">
        <f>SUMIFS(Actual_CF[Actual_Acquisition],Actual_CF[ICG],CF_Gen_2[[#This Row],[ICG]],Actual_CF[Incurred],CF_Gen_2[[#This Row],[Incurred]])</f>
        <v>0</v>
      </c>
    </row>
    <row r="81" spans="1:30">
      <c r="A81" t="str">
        <f t="shared" si="4"/>
        <v>#2024#RC-Property</v>
      </c>
      <c r="B81">
        <f>_xlfn.XLOOKUP(CF_Gen_2[[#This Row],[ICG]],ICG[ICG],ICG[Cohort])</f>
        <v>2024</v>
      </c>
      <c r="C81" t="str">
        <f>_xlfn.XLOOKUP(CF_Gen_2[[#This Row],[ICG]],ICG[ICG],ICG[Portfolio])</f>
        <v>RC-Property</v>
      </c>
      <c r="D81" t="str">
        <f>_xlfn.XLOOKUP(CF_Gen_2[[#This Row],[ICG]],ICG[ICG],ICG[Contract])</f>
        <v>RC</v>
      </c>
      <c r="E81" s="2">
        <f t="shared" si="3"/>
        <v>45930</v>
      </c>
      <c r="F81">
        <v>80</v>
      </c>
      <c r="G81" s="2">
        <f>EOMONTH(DATE(YEAR(CF_Gen_2[[#This Row],[Valuation]])-1,12,31),CF_Gen_2[[#This Row],['#Incurred]]*3)</f>
        <v>52962</v>
      </c>
      <c r="H81" s="14">
        <f>SUMIFS(Expected_CF[Expected_Premium],Expected_CF[ICG],CF_Gen_2[[#This Row],[ICG]],Expected_CF[Incurred],CF_Gen_2[[#This Row],[Incurred]])</f>
        <v>0</v>
      </c>
      <c r="I81" s="14">
        <f>SUMIFS(Expected_CF[Expected_Commission],Expected_CF[ICG],CF_Gen_2[[#This Row],[ICG]],Expected_CF[Incurred],CF_Gen_2[[#This Row],[Incurred]])</f>
        <v>0</v>
      </c>
      <c r="J81" s="14">
        <f>IF(CF_Gen_2[[#This Row],[Contract]]="IC",SUMIFS(Expected_CF[Expected_Acquisition],Expected_CF[ICG],CF_Gen_2[[#This Row],[ICG]],Expected_CF[Incurred],CF_Gen_2[[#This Row],[Incurred]]),0)</f>
        <v>0</v>
      </c>
      <c r="K81" s="14">
        <f>SUMIFS(Earned[Earned_Premium],Earned[ICG],CF_Gen_2[[#This Row],[ICG]],Earned[Incurred],CF_Gen_2[[#This Row],[Incurred]])</f>
        <v>-197978744.1013622</v>
      </c>
      <c r="L81" s="14">
        <f>SUMIFS(Earned[Earned_Commission],Earned[ICG],CF_Gen_2[[#This Row],[ICG]],Earned[Incurred],CF_Gen_2[[#This Row],[Incurred]])</f>
        <v>57815056.694337204</v>
      </c>
      <c r="M81" s="18">
        <f>_xlfn.XLOOKUP(CF_Gen_2[[#This Row],[ICG]],Assumptions[ICG],Assumptions[Loss_Ratio])</f>
        <v>0.38</v>
      </c>
      <c r="N81" s="18">
        <f>_xlfn.XLOOKUP(CF_Gen_2[[#This Row],[ICG]],Assumptions[ICG],Assumptions[Risk_Adjustment_Ratio])</f>
        <v>0.13</v>
      </c>
      <c r="O81" s="18">
        <f>_xlfn.XLOOKUP(CF_Gen_2[[#This Row],[ICG]],Assumptions[ICG],Assumptions[PME_Ratio])</f>
        <v>0</v>
      </c>
      <c r="P81" s="18">
        <f>_xlfn.XLOOKUP(CF_Gen_2[[#This Row],[ICG]],Assumptions[ICG],Assumptions[ULAE_Ratio])</f>
        <v>0</v>
      </c>
      <c r="Q81" s="18">
        <f>_xlfn.XLOOKUP(CF_Gen_2[[#This Row],[ICG]],Assumptions[ICG],Assumptions[Cancellation_Ratio])</f>
        <v>7.0000000000000007E-2</v>
      </c>
      <c r="R81" s="18">
        <f>_xlfn.XLOOKUP(CF_Gen_2[[#This Row],[ICG]],Assumptions[ICG],Assumptions[Premium_Refund_Ratio])</f>
        <v>0.5</v>
      </c>
      <c r="S81" s="18">
        <f>IF(CF_Gen_2[[#This Row],[Contract]]="RC",_xlfn.XLOOKUP(CF_Gen_2[[#This Row],[ICG]],Assumptions[ICG],Assumptions[NPR_Ratio]),0)</f>
        <v>2.8000000000000001E-2</v>
      </c>
      <c r="T81" s="17">
        <f>T80*(1-CF_Gen_2[[#This Row],[Cancellation_Ratio]])</f>
        <v>3.2370762972676282E-3</v>
      </c>
      <c r="U81" s="19">
        <f>IF(CF_Gen_2[[#This Row],[Incurred]]&lt;=CF_Gen_2[[#This Row],[Valuation]],CF_Gen_2[[#This Row],[Expected_Premium]],-CF_Gen_2[[#This Row],[Probability_of_Inforce]]*CF_Gen_2[[#This Row],[Premium_Refund_Ratio]]*CF_Gen_2[[#This Row],[Cancellation_Ratio]]*SUM(K81:K$105))</f>
        <v>174803.4445571125</v>
      </c>
      <c r="V8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Row],[Cancellation_Ratio]]*SUM(L81:L$105))</f>
        <v>-45590.166214843062</v>
      </c>
      <c r="W81" s="19">
        <f>CF_Gen_2[[#This Row],[Expected_Acquisition]]</f>
        <v>0</v>
      </c>
      <c r="X8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1" s="19">
        <f>-CF_Gen_2[[#This Row],[Probability_of_Inforce]]*CF_Gen_2[[#This Row],[Earned_Premium]]*(1-CF_Gen_2[[#This Row],[Cancellation_Ratio]])*CF_Gen_2[[#This Row],[Loss_Ratio]]</f>
        <v>226484.27078230382</v>
      </c>
      <c r="Z81" s="19">
        <f>CF_Gen_2[[#This Row],[Exp_Claim]]*CF_Gen_2[[#This Row],[Risk_Adjustment_Ratio]]</f>
        <v>29442.955201699497</v>
      </c>
      <c r="AA81" s="19">
        <f>IF(CF_Gen_2[[#This Row],[Contract]]="RC",-CF_Gen_2[[#This Row],[NPR_Ratio]]*CF_Gen_2[[#This Row],[Exp_Claim]],0)</f>
        <v>-6341.5595819045075</v>
      </c>
      <c r="AB81" s="19">
        <f>SUMIFS(Actual_CF[Actual_Premium],Actual_CF[ICG],CF_Gen_2[[#This Row],[ICG]],Actual_CF[Incurred],CF_Gen_2[[#This Row],[Incurred]])</f>
        <v>0</v>
      </c>
      <c r="AC81" s="19">
        <f>SUMIFS(Actual_CF[Actual_Commission],Actual_CF[ICG],CF_Gen_2[[#This Row],[ICG]],Actual_CF[Incurred],CF_Gen_2[[#This Row],[Incurred]])</f>
        <v>0</v>
      </c>
      <c r="AD81" s="19">
        <f>SUMIFS(Actual_CF[Actual_Acquisition],Actual_CF[ICG],CF_Gen_2[[#This Row],[ICG]],Actual_CF[Incurred],CF_Gen_2[[#This Row],[Incurred]])</f>
        <v>0</v>
      </c>
    </row>
    <row r="82" spans="1:30">
      <c r="A82" t="str">
        <f t="shared" si="4"/>
        <v>#2024#RC-Property</v>
      </c>
      <c r="B82">
        <f>_xlfn.XLOOKUP(CF_Gen_2[[#This Row],[ICG]],ICG[ICG],ICG[Cohort])</f>
        <v>2024</v>
      </c>
      <c r="C82" t="str">
        <f>_xlfn.XLOOKUP(CF_Gen_2[[#This Row],[ICG]],ICG[ICG],ICG[Portfolio])</f>
        <v>RC-Property</v>
      </c>
      <c r="D82" t="str">
        <f>_xlfn.XLOOKUP(CF_Gen_2[[#This Row],[ICG]],ICG[ICG],ICG[Contract])</f>
        <v>RC</v>
      </c>
      <c r="E82" s="2">
        <f t="shared" si="3"/>
        <v>45930</v>
      </c>
      <c r="F82">
        <v>81</v>
      </c>
      <c r="G82" s="2">
        <f>EOMONTH(DATE(YEAR(CF_Gen_2[[#This Row],[Valuation]])-1,12,31),CF_Gen_2[[#This Row],['#Incurred]]*3)</f>
        <v>53052</v>
      </c>
      <c r="H82" s="14">
        <f>SUMIFS(Expected_CF[Expected_Premium],Expected_CF[ICG],CF_Gen_2[[#This Row],[ICG]],Expected_CF[Incurred],CF_Gen_2[[#This Row],[Incurred]])</f>
        <v>0</v>
      </c>
      <c r="I82" s="14">
        <f>SUMIFS(Expected_CF[Expected_Commission],Expected_CF[ICG],CF_Gen_2[[#This Row],[ICG]],Expected_CF[Incurred],CF_Gen_2[[#This Row],[Incurred]])</f>
        <v>0</v>
      </c>
      <c r="J82" s="14">
        <f>IF(CF_Gen_2[[#This Row],[Contract]]="IC",SUMIFS(Expected_CF[Expected_Acquisition],Expected_CF[ICG],CF_Gen_2[[#This Row],[ICG]],Expected_CF[Incurred],CF_Gen_2[[#This Row],[Incurred]]),0)</f>
        <v>0</v>
      </c>
      <c r="K82" s="14">
        <f>SUMIFS(Earned[Earned_Premium],Earned[ICG],CF_Gen_2[[#This Row],[ICG]],Earned[Incurred],CF_Gen_2[[#This Row],[Incurred]])</f>
        <v>-184325037.61161304</v>
      </c>
      <c r="L82" s="14">
        <f>SUMIFS(Earned[Earned_Commission],Earned[ICG],CF_Gen_2[[#This Row],[ICG]],Earned[Incurred],CF_Gen_2[[#This Row],[Incurred]])</f>
        <v>53189852.158790223</v>
      </c>
      <c r="M82" s="18">
        <f>_xlfn.XLOOKUP(CF_Gen_2[[#This Row],[ICG]],Assumptions[ICG],Assumptions[Loss_Ratio])</f>
        <v>0.38</v>
      </c>
      <c r="N82" s="18">
        <f>_xlfn.XLOOKUP(CF_Gen_2[[#This Row],[ICG]],Assumptions[ICG],Assumptions[Risk_Adjustment_Ratio])</f>
        <v>0.13</v>
      </c>
      <c r="O82" s="18">
        <f>_xlfn.XLOOKUP(CF_Gen_2[[#This Row],[ICG]],Assumptions[ICG],Assumptions[PME_Ratio])</f>
        <v>0</v>
      </c>
      <c r="P82" s="18">
        <f>_xlfn.XLOOKUP(CF_Gen_2[[#This Row],[ICG]],Assumptions[ICG],Assumptions[ULAE_Ratio])</f>
        <v>0</v>
      </c>
      <c r="Q82" s="18">
        <f>_xlfn.XLOOKUP(CF_Gen_2[[#This Row],[ICG]],Assumptions[ICG],Assumptions[Cancellation_Ratio])</f>
        <v>7.0000000000000007E-2</v>
      </c>
      <c r="R82" s="18">
        <f>_xlfn.XLOOKUP(CF_Gen_2[[#This Row],[ICG]],Assumptions[ICG],Assumptions[Premium_Refund_Ratio])</f>
        <v>0.5</v>
      </c>
      <c r="S82" s="18">
        <f>IF(CF_Gen_2[[#This Row],[Contract]]="RC",_xlfn.XLOOKUP(CF_Gen_2[[#This Row],[ICG]],Assumptions[ICG],Assumptions[NPR_Ratio]),0)</f>
        <v>2.8000000000000001E-2</v>
      </c>
      <c r="T82" s="17">
        <f>T81*(1-CF_Gen_2[[#This Row],[Cancellation_Ratio]])</f>
        <v>3.0104809564588941E-3</v>
      </c>
      <c r="U82" s="19">
        <f>IF(CF_Gen_2[[#This Row],[Incurred]]&lt;=CF_Gen_2[[#This Row],[Valuation]],CF_Gen_2[[#This Row],[Expected_Premium]],-CF_Gen_2[[#This Row],[Probability_of_Inforce]]*CF_Gen_2[[#This Row],[Premium_Refund_Ratio]]*CF_Gen_2[[#This Row],[Cancellation_Ratio]]*SUM(K82:K$105))</f>
        <v>141706.81007658661</v>
      </c>
      <c r="V8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Row],[Cancellation_Ratio]]*SUM(L82:L$105))</f>
        <v>-36307.065128682778</v>
      </c>
      <c r="W82" s="19">
        <f>CF_Gen_2[[#This Row],[Expected_Acquisition]]</f>
        <v>0</v>
      </c>
      <c r="X8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2" s="19">
        <f>-CF_Gen_2[[#This Row],[Probability_of_Inforce]]*CF_Gen_2[[#This Row],[Earned_Premium]]*(1-CF_Gen_2[[#This Row],[Cancellation_Ratio]])*CF_Gen_2[[#This Row],[Loss_Ratio]]</f>
        <v>196104.13928771197</v>
      </c>
      <c r="Z82" s="19">
        <f>CF_Gen_2[[#This Row],[Exp_Claim]]*CF_Gen_2[[#This Row],[Risk_Adjustment_Ratio]]</f>
        <v>25493.538107402557</v>
      </c>
      <c r="AA82" s="19">
        <f>IF(CF_Gen_2[[#This Row],[Contract]]="RC",-CF_Gen_2[[#This Row],[NPR_Ratio]]*CF_Gen_2[[#This Row],[Exp_Claim]],0)</f>
        <v>-5490.9159000559348</v>
      </c>
      <c r="AB82" s="19">
        <f>SUMIFS(Actual_CF[Actual_Premium],Actual_CF[ICG],CF_Gen_2[[#This Row],[ICG]],Actual_CF[Incurred],CF_Gen_2[[#This Row],[Incurred]])</f>
        <v>0</v>
      </c>
      <c r="AC82" s="19">
        <f>SUMIFS(Actual_CF[Actual_Commission],Actual_CF[ICG],CF_Gen_2[[#This Row],[ICG]],Actual_CF[Incurred],CF_Gen_2[[#This Row],[Incurred]])</f>
        <v>0</v>
      </c>
      <c r="AD82" s="19">
        <f>SUMIFS(Actual_CF[Actual_Acquisition],Actual_CF[ICG],CF_Gen_2[[#This Row],[ICG]],Actual_CF[Incurred],CF_Gen_2[[#This Row],[Incurred]])</f>
        <v>0</v>
      </c>
    </row>
    <row r="83" spans="1:30">
      <c r="A83" t="str">
        <f t="shared" si="4"/>
        <v>#2024#RC-Property</v>
      </c>
      <c r="B83">
        <f>_xlfn.XLOOKUP(CF_Gen_2[[#This Row],[ICG]],ICG[ICG],ICG[Cohort])</f>
        <v>2024</v>
      </c>
      <c r="C83" t="str">
        <f>_xlfn.XLOOKUP(CF_Gen_2[[#This Row],[ICG]],ICG[ICG],ICG[Portfolio])</f>
        <v>RC-Property</v>
      </c>
      <c r="D83" t="str">
        <f>_xlfn.XLOOKUP(CF_Gen_2[[#This Row],[ICG]],ICG[ICG],ICG[Contract])</f>
        <v>RC</v>
      </c>
      <c r="E83" s="2">
        <f t="shared" si="3"/>
        <v>45930</v>
      </c>
      <c r="F83">
        <v>82</v>
      </c>
      <c r="G83" s="2">
        <f>EOMONTH(DATE(YEAR(CF_Gen_2[[#This Row],[Valuation]])-1,12,31),CF_Gen_2[[#This Row],['#Incurred]]*3)</f>
        <v>53143</v>
      </c>
      <c r="H83" s="14">
        <f>SUMIFS(Expected_CF[Expected_Premium],Expected_CF[ICG],CF_Gen_2[[#This Row],[ICG]],Expected_CF[Incurred],CF_Gen_2[[#This Row],[Incurred]])</f>
        <v>0</v>
      </c>
      <c r="I83" s="14">
        <f>SUMIFS(Expected_CF[Expected_Commission],Expected_CF[ICG],CF_Gen_2[[#This Row],[ICG]],Expected_CF[Incurred],CF_Gen_2[[#This Row],[Incurred]])</f>
        <v>0</v>
      </c>
      <c r="J83" s="14">
        <f>IF(CF_Gen_2[[#This Row],[Contract]]="IC",SUMIFS(Expected_CF[Expected_Acquisition],Expected_CF[ICG],CF_Gen_2[[#This Row],[ICG]],Expected_CF[Incurred],CF_Gen_2[[#This Row],[Incurred]]),0)</f>
        <v>0</v>
      </c>
      <c r="K83" s="14">
        <f>SUMIFS(Earned[Earned_Premium],Earned[ICG],CF_Gen_2[[#This Row],[ICG]],Earned[Incurred],CF_Gen_2[[#This Row],[Incurred]])</f>
        <v>-170671331.12186393</v>
      </c>
      <c r="L83" s="14">
        <f>SUMIFS(Earned[Earned_Commission],Earned[ICG],CF_Gen_2[[#This Row],[ICG]],Earned[Incurred],CF_Gen_2[[#This Row],[Incurred]])</f>
        <v>48564647.62324325</v>
      </c>
      <c r="M83" s="18">
        <f>_xlfn.XLOOKUP(CF_Gen_2[[#This Row],[ICG]],Assumptions[ICG],Assumptions[Loss_Ratio])</f>
        <v>0.38</v>
      </c>
      <c r="N83" s="18">
        <f>_xlfn.XLOOKUP(CF_Gen_2[[#This Row],[ICG]],Assumptions[ICG],Assumptions[Risk_Adjustment_Ratio])</f>
        <v>0.13</v>
      </c>
      <c r="O83" s="18">
        <f>_xlfn.XLOOKUP(CF_Gen_2[[#This Row],[ICG]],Assumptions[ICG],Assumptions[PME_Ratio])</f>
        <v>0</v>
      </c>
      <c r="P83" s="18">
        <f>_xlfn.XLOOKUP(CF_Gen_2[[#This Row],[ICG]],Assumptions[ICG],Assumptions[ULAE_Ratio])</f>
        <v>0</v>
      </c>
      <c r="Q83" s="18">
        <f>_xlfn.XLOOKUP(CF_Gen_2[[#This Row],[ICG]],Assumptions[ICG],Assumptions[Cancellation_Ratio])</f>
        <v>7.0000000000000007E-2</v>
      </c>
      <c r="R83" s="18">
        <f>_xlfn.XLOOKUP(CF_Gen_2[[#This Row],[ICG]],Assumptions[ICG],Assumptions[Premium_Refund_Ratio])</f>
        <v>0.5</v>
      </c>
      <c r="S83" s="18">
        <f>IF(CF_Gen_2[[#This Row],[Contract]]="RC",_xlfn.XLOOKUP(CF_Gen_2[[#This Row],[ICG]],Assumptions[ICG],Assumptions[NPR_Ratio]),0)</f>
        <v>2.8000000000000001E-2</v>
      </c>
      <c r="T83" s="17">
        <f>T82*(1-CF_Gen_2[[#This Row],[Cancellation_Ratio]])</f>
        <v>2.7997472895067714E-3</v>
      </c>
      <c r="U83" s="19">
        <f>IF(CF_Gen_2[[#This Row],[Incurred]]&lt;=CF_Gen_2[[#This Row],[Valuation]],CF_Gen_2[[#This Row],[Expected_Premium]],-CF_Gen_2[[#This Row],[Probability_of_Inforce]]*CF_Gen_2[[#This Row],[Premium_Refund_Ratio]]*CF_Gen_2[[#This Row],[Cancellation_Ratio]]*SUM(K83:K$105))</f>
        <v>113725.11001577841</v>
      </c>
      <c r="V8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Row],[Cancellation_Ratio]]*SUM(L83:L$105))</f>
        <v>-28553.43551529562</v>
      </c>
      <c r="W83" s="19">
        <f>CF_Gen_2[[#This Row],[Expected_Acquisition]]</f>
        <v>0</v>
      </c>
      <c r="X8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3" s="19">
        <f>-CF_Gen_2[[#This Row],[Probability_of_Inforce]]*CF_Gen_2[[#This Row],[Earned_Premium]]*(1-CF_Gen_2[[#This Row],[Cancellation_Ratio]])*CF_Gen_2[[#This Row],[Loss_Ratio]]</f>
        <v>168867.45327552976</v>
      </c>
      <c r="Z83" s="19">
        <f>CF_Gen_2[[#This Row],[Exp_Claim]]*CF_Gen_2[[#This Row],[Risk_Adjustment_Ratio]]</f>
        <v>21952.768925818869</v>
      </c>
      <c r="AA83" s="19">
        <f>IF(CF_Gen_2[[#This Row],[Contract]]="RC",-CF_Gen_2[[#This Row],[NPR_Ratio]]*CF_Gen_2[[#This Row],[Exp_Claim]],0)</f>
        <v>-4728.2886917148335</v>
      </c>
      <c r="AB83" s="19">
        <f>SUMIFS(Actual_CF[Actual_Premium],Actual_CF[ICG],CF_Gen_2[[#This Row],[ICG]],Actual_CF[Incurred],CF_Gen_2[[#This Row],[Incurred]])</f>
        <v>0</v>
      </c>
      <c r="AC83" s="19">
        <f>SUMIFS(Actual_CF[Actual_Commission],Actual_CF[ICG],CF_Gen_2[[#This Row],[ICG]],Actual_CF[Incurred],CF_Gen_2[[#This Row],[Incurred]])</f>
        <v>0</v>
      </c>
      <c r="AD83" s="19">
        <f>SUMIFS(Actual_CF[Actual_Acquisition],Actual_CF[ICG],CF_Gen_2[[#This Row],[ICG]],Actual_CF[Incurred],CF_Gen_2[[#This Row],[Incurred]])</f>
        <v>0</v>
      </c>
    </row>
    <row r="84" spans="1:30">
      <c r="A84" t="str">
        <f t="shared" si="4"/>
        <v>#2024#RC-Property</v>
      </c>
      <c r="B84">
        <f>_xlfn.XLOOKUP(CF_Gen_2[[#This Row],[ICG]],ICG[ICG],ICG[Cohort])</f>
        <v>2024</v>
      </c>
      <c r="C84" t="str">
        <f>_xlfn.XLOOKUP(CF_Gen_2[[#This Row],[ICG]],ICG[ICG],ICG[Portfolio])</f>
        <v>RC-Property</v>
      </c>
      <c r="D84" t="str">
        <f>_xlfn.XLOOKUP(CF_Gen_2[[#This Row],[ICG]],ICG[ICG],ICG[Contract])</f>
        <v>RC</v>
      </c>
      <c r="E84" s="2">
        <f t="shared" si="3"/>
        <v>45930</v>
      </c>
      <c r="F84">
        <v>83</v>
      </c>
      <c r="G84" s="2">
        <f>EOMONTH(DATE(YEAR(CF_Gen_2[[#This Row],[Valuation]])-1,12,31),CF_Gen_2[[#This Row],['#Incurred]]*3)</f>
        <v>53235</v>
      </c>
      <c r="H84" s="14">
        <f>SUMIFS(Expected_CF[Expected_Premium],Expected_CF[ICG],CF_Gen_2[[#This Row],[ICG]],Expected_CF[Incurred],CF_Gen_2[[#This Row],[Incurred]])</f>
        <v>0</v>
      </c>
      <c r="I84" s="14">
        <f>SUMIFS(Expected_CF[Expected_Commission],Expected_CF[ICG],CF_Gen_2[[#This Row],[ICG]],Expected_CF[Incurred],CF_Gen_2[[#This Row],[Incurred]])</f>
        <v>0</v>
      </c>
      <c r="J84" s="14">
        <f>IF(CF_Gen_2[[#This Row],[Contract]]="IC",SUMIFS(Expected_CF[Expected_Acquisition],Expected_CF[ICG],CF_Gen_2[[#This Row],[ICG]],Expected_CF[Incurred],CF_Gen_2[[#This Row],[Incurred]]),0)</f>
        <v>0</v>
      </c>
      <c r="K84" s="14">
        <f>SUMIFS(Earned[Earned_Premium],Earned[ICG],CF_Gen_2[[#This Row],[ICG]],Earned[Incurred],CF_Gen_2[[#This Row],[Incurred]])</f>
        <v>-157017624.6321148</v>
      </c>
      <c r="L84" s="14">
        <f>SUMIFS(Earned[Earned_Commission],Earned[ICG],CF_Gen_2[[#This Row],[ICG]],Earned[Incurred],CF_Gen_2[[#This Row],[Incurred]])</f>
        <v>43939443.087696269</v>
      </c>
      <c r="M84" s="18">
        <f>_xlfn.XLOOKUP(CF_Gen_2[[#This Row],[ICG]],Assumptions[ICG],Assumptions[Loss_Ratio])</f>
        <v>0.38</v>
      </c>
      <c r="N84" s="18">
        <f>_xlfn.XLOOKUP(CF_Gen_2[[#This Row],[ICG]],Assumptions[ICG],Assumptions[Risk_Adjustment_Ratio])</f>
        <v>0.13</v>
      </c>
      <c r="O84" s="18">
        <f>_xlfn.XLOOKUP(CF_Gen_2[[#This Row],[ICG]],Assumptions[ICG],Assumptions[PME_Ratio])</f>
        <v>0</v>
      </c>
      <c r="P84" s="18">
        <f>_xlfn.XLOOKUP(CF_Gen_2[[#This Row],[ICG]],Assumptions[ICG],Assumptions[ULAE_Ratio])</f>
        <v>0</v>
      </c>
      <c r="Q84" s="18">
        <f>_xlfn.XLOOKUP(CF_Gen_2[[#This Row],[ICG]],Assumptions[ICG],Assumptions[Cancellation_Ratio])</f>
        <v>7.0000000000000007E-2</v>
      </c>
      <c r="R84" s="18">
        <f>_xlfn.XLOOKUP(CF_Gen_2[[#This Row],[ICG]],Assumptions[ICG],Assumptions[Premium_Refund_Ratio])</f>
        <v>0.5</v>
      </c>
      <c r="S84" s="18">
        <f>IF(CF_Gen_2[[#This Row],[Contract]]="RC",_xlfn.XLOOKUP(CF_Gen_2[[#This Row],[ICG]],Assumptions[ICG],Assumptions[NPR_Ratio]),0)</f>
        <v>2.8000000000000001E-2</v>
      </c>
      <c r="T84" s="17">
        <f>T83*(1-CF_Gen_2[[#This Row],[Cancellation_Ratio]])</f>
        <v>2.6037649792412972E-3</v>
      </c>
      <c r="U84" s="19">
        <f>IF(CF_Gen_2[[#This Row],[Incurred]]&lt;=CF_Gen_2[[#This Row],[Valuation]],CF_Gen_2[[#This Row],[Expected_Premium]],-CF_Gen_2[[#This Row],[Probability_of_Inforce]]*CF_Gen_2[[#This Row],[Premium_Refund_Ratio]]*CF_Gen_2[[#This Row],[Cancellation_Ratio]]*SUM(K84:K$105))</f>
        <v>90210.771091927731</v>
      </c>
      <c r="V8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Row],[Cancellation_Ratio]]*SUM(L84:L$105))</f>
        <v>-22128.912524354102</v>
      </c>
      <c r="W84" s="19">
        <f>CF_Gen_2[[#This Row],[Expected_Acquisition]]</f>
        <v>0</v>
      </c>
      <c r="X8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4" s="19">
        <f>-CF_Gen_2[[#This Row],[Probability_of_Inforce]]*CF_Gen_2[[#This Row],[Earned_Premium]]*(1-CF_Gen_2[[#This Row],[Cancellation_Ratio]])*CF_Gen_2[[#This Row],[Loss_Ratio]]</f>
        <v>144482.99302254323</v>
      </c>
      <c r="Z84" s="19">
        <f>CF_Gen_2[[#This Row],[Exp_Claim]]*CF_Gen_2[[#This Row],[Risk_Adjustment_Ratio]]</f>
        <v>18782.78909293062</v>
      </c>
      <c r="AA84" s="19">
        <f>IF(CF_Gen_2[[#This Row],[Contract]]="RC",-CF_Gen_2[[#This Row],[NPR_Ratio]]*CF_Gen_2[[#This Row],[Exp_Claim]],0)</f>
        <v>-4045.5238046312106</v>
      </c>
      <c r="AB84" s="19">
        <f>SUMIFS(Actual_CF[Actual_Premium],Actual_CF[ICG],CF_Gen_2[[#This Row],[ICG]],Actual_CF[Incurred],CF_Gen_2[[#This Row],[Incurred]])</f>
        <v>0</v>
      </c>
      <c r="AC84" s="19">
        <f>SUMIFS(Actual_CF[Actual_Commission],Actual_CF[ICG],CF_Gen_2[[#This Row],[ICG]],Actual_CF[Incurred],CF_Gen_2[[#This Row],[Incurred]])</f>
        <v>0</v>
      </c>
      <c r="AD84" s="19">
        <f>SUMIFS(Actual_CF[Actual_Acquisition],Actual_CF[ICG],CF_Gen_2[[#This Row],[ICG]],Actual_CF[Incurred],CF_Gen_2[[#This Row],[Incurred]])</f>
        <v>0</v>
      </c>
    </row>
    <row r="85" spans="1:30">
      <c r="A85" t="str">
        <f t="shared" si="4"/>
        <v>#2024#RC-Property</v>
      </c>
      <c r="B85">
        <f>_xlfn.XLOOKUP(CF_Gen_2[[#This Row],[ICG]],ICG[ICG],ICG[Cohort])</f>
        <v>2024</v>
      </c>
      <c r="C85" t="str">
        <f>_xlfn.XLOOKUP(CF_Gen_2[[#This Row],[ICG]],ICG[ICG],ICG[Portfolio])</f>
        <v>RC-Property</v>
      </c>
      <c r="D85" t="str">
        <f>_xlfn.XLOOKUP(CF_Gen_2[[#This Row],[ICG]],ICG[ICG],ICG[Contract])</f>
        <v>RC</v>
      </c>
      <c r="E85" s="2">
        <f t="shared" si="3"/>
        <v>45930</v>
      </c>
      <c r="F85">
        <v>84</v>
      </c>
      <c r="G85" s="2">
        <f>EOMONTH(DATE(YEAR(CF_Gen_2[[#This Row],[Valuation]])-1,12,31),CF_Gen_2[[#This Row],['#Incurred]]*3)</f>
        <v>53327</v>
      </c>
      <c r="H85" s="14">
        <f>SUMIFS(Expected_CF[Expected_Premium],Expected_CF[ICG],CF_Gen_2[[#This Row],[ICG]],Expected_CF[Incurred],CF_Gen_2[[#This Row],[Incurred]])</f>
        <v>0</v>
      </c>
      <c r="I85" s="14">
        <f>SUMIFS(Expected_CF[Expected_Commission],Expected_CF[ICG],CF_Gen_2[[#This Row],[ICG]],Expected_CF[Incurred],CF_Gen_2[[#This Row],[Incurred]])</f>
        <v>0</v>
      </c>
      <c r="J85" s="14">
        <f>IF(CF_Gen_2[[#This Row],[Contract]]="IC",SUMIFS(Expected_CF[Expected_Acquisition],Expected_CF[ICG],CF_Gen_2[[#This Row],[ICG]],Expected_CF[Incurred],CF_Gen_2[[#This Row],[Incurred]]),0)</f>
        <v>0</v>
      </c>
      <c r="K85" s="14">
        <f>SUMIFS(Earned[Earned_Premium],Earned[ICG],CF_Gen_2[[#This Row],[ICG]],Earned[Incurred],CF_Gen_2[[#This Row],[Incurred]])</f>
        <v>-143363918.14236569</v>
      </c>
      <c r="L85" s="14">
        <f>SUMIFS(Earned[Earned_Commission],Earned[ICG],CF_Gen_2[[#This Row],[ICG]],Earned[Incurred],CF_Gen_2[[#This Row],[Incurred]])</f>
        <v>39314238.552149296</v>
      </c>
      <c r="M85" s="18">
        <f>_xlfn.XLOOKUP(CF_Gen_2[[#This Row],[ICG]],Assumptions[ICG],Assumptions[Loss_Ratio])</f>
        <v>0.38</v>
      </c>
      <c r="N85" s="18">
        <f>_xlfn.XLOOKUP(CF_Gen_2[[#This Row],[ICG]],Assumptions[ICG],Assumptions[Risk_Adjustment_Ratio])</f>
        <v>0.13</v>
      </c>
      <c r="O85" s="18">
        <f>_xlfn.XLOOKUP(CF_Gen_2[[#This Row],[ICG]],Assumptions[ICG],Assumptions[PME_Ratio])</f>
        <v>0</v>
      </c>
      <c r="P85" s="18">
        <f>_xlfn.XLOOKUP(CF_Gen_2[[#This Row],[ICG]],Assumptions[ICG],Assumptions[ULAE_Ratio])</f>
        <v>0</v>
      </c>
      <c r="Q85" s="18">
        <f>_xlfn.XLOOKUP(CF_Gen_2[[#This Row],[ICG]],Assumptions[ICG],Assumptions[Cancellation_Ratio])</f>
        <v>7.0000000000000007E-2</v>
      </c>
      <c r="R85" s="18">
        <f>_xlfn.XLOOKUP(CF_Gen_2[[#This Row],[ICG]],Assumptions[ICG],Assumptions[Premium_Refund_Ratio])</f>
        <v>0.5</v>
      </c>
      <c r="S85" s="18">
        <f>IF(CF_Gen_2[[#This Row],[Contract]]="RC",_xlfn.XLOOKUP(CF_Gen_2[[#This Row],[ICG]],Assumptions[ICG],Assumptions[NPR_Ratio]),0)</f>
        <v>2.8000000000000001E-2</v>
      </c>
      <c r="T85" s="17">
        <f>T84*(1-CF_Gen_2[[#This Row],[Cancellation_Ratio]])</f>
        <v>2.4215014306944063E-3</v>
      </c>
      <c r="U85" s="19">
        <f>IF(CF_Gen_2[[#This Row],[Incurred]]&lt;=CF_Gen_2[[#This Row],[Valuation]],CF_Gen_2[[#This Row],[Expected_Premium]],-CF_Gen_2[[#This Row],[Probability_of_Inforce]]*CF_Gen_2[[#This Row],[Premium_Refund_Ratio]]*CF_Gen_2[[#This Row],[Cancellation_Ratio]]*SUM(K85:K$105))</f>
        <v>70588.37302131117</v>
      </c>
      <c r="V8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Row],[Cancellation_Ratio]]*SUM(L85:L$105))</f>
        <v>-16855.908797122294</v>
      </c>
      <c r="W85" s="19">
        <f>CF_Gen_2[[#This Row],[Expected_Acquisition]]</f>
        <v>0</v>
      </c>
      <c r="X8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5" s="19">
        <f>-CF_Gen_2[[#This Row],[Probability_of_Inforce]]*CF_Gen_2[[#This Row],[Earned_Premium]]*(1-CF_Gen_2[[#This Row],[Cancellation_Ratio]])*CF_Gen_2[[#This Row],[Loss_Ratio]]</f>
        <v>122684.90668392475</v>
      </c>
      <c r="Z85" s="19">
        <f>CF_Gen_2[[#This Row],[Exp_Claim]]*CF_Gen_2[[#This Row],[Risk_Adjustment_Ratio]]</f>
        <v>15949.037868910218</v>
      </c>
      <c r="AA85" s="19">
        <f>IF(CF_Gen_2[[#This Row],[Contract]]="RC",-CF_Gen_2[[#This Row],[NPR_Ratio]]*CF_Gen_2[[#This Row],[Exp_Claim]],0)</f>
        <v>-3435.1773871498931</v>
      </c>
      <c r="AB85" s="19">
        <f>SUMIFS(Actual_CF[Actual_Premium],Actual_CF[ICG],CF_Gen_2[[#This Row],[ICG]],Actual_CF[Incurred],CF_Gen_2[[#This Row],[Incurred]])</f>
        <v>0</v>
      </c>
      <c r="AC85" s="19">
        <f>SUMIFS(Actual_CF[Actual_Commission],Actual_CF[ICG],CF_Gen_2[[#This Row],[ICG]],Actual_CF[Incurred],CF_Gen_2[[#This Row],[Incurred]])</f>
        <v>0</v>
      </c>
      <c r="AD85" s="19">
        <f>SUMIFS(Actual_CF[Actual_Acquisition],Actual_CF[ICG],CF_Gen_2[[#This Row],[ICG]],Actual_CF[Incurred],CF_Gen_2[[#This Row],[Incurred]])</f>
        <v>0</v>
      </c>
    </row>
    <row r="86" spans="1:30">
      <c r="A86" t="str">
        <f t="shared" si="4"/>
        <v>#2024#RC-Property</v>
      </c>
      <c r="B86">
        <f>_xlfn.XLOOKUP(CF_Gen_2[[#This Row],[ICG]],ICG[ICG],ICG[Cohort])</f>
        <v>2024</v>
      </c>
      <c r="C86" t="str">
        <f>_xlfn.XLOOKUP(CF_Gen_2[[#This Row],[ICG]],ICG[ICG],ICG[Portfolio])</f>
        <v>RC-Property</v>
      </c>
      <c r="D86" t="str">
        <f>_xlfn.XLOOKUP(CF_Gen_2[[#This Row],[ICG]],ICG[ICG],ICG[Contract])</f>
        <v>RC</v>
      </c>
      <c r="E86" s="2">
        <f t="shared" si="3"/>
        <v>45930</v>
      </c>
      <c r="F86">
        <v>85</v>
      </c>
      <c r="G86" s="2">
        <f>EOMONTH(DATE(YEAR(CF_Gen_2[[#This Row],[Valuation]])-1,12,31),CF_Gen_2[[#This Row],['#Incurred]]*3)</f>
        <v>53417</v>
      </c>
      <c r="H86" s="14">
        <f>SUMIFS(Expected_CF[Expected_Premium],Expected_CF[ICG],CF_Gen_2[[#This Row],[ICG]],Expected_CF[Incurred],CF_Gen_2[[#This Row],[Incurred]])</f>
        <v>0</v>
      </c>
      <c r="I86" s="14">
        <f>SUMIFS(Expected_CF[Expected_Commission],Expected_CF[ICG],CF_Gen_2[[#This Row],[ICG]],Expected_CF[Incurred],CF_Gen_2[[#This Row],[Incurred]])</f>
        <v>0</v>
      </c>
      <c r="J86" s="14">
        <f>IF(CF_Gen_2[[#This Row],[Contract]]="IC",SUMIFS(Expected_CF[Expected_Acquisition],Expected_CF[ICG],CF_Gen_2[[#This Row],[ICG]],Expected_CF[Incurred],CF_Gen_2[[#This Row],[Incurred]]),0)</f>
        <v>0</v>
      </c>
      <c r="K86" s="14">
        <f>SUMIFS(Earned[Earned_Premium],Earned[ICG],CF_Gen_2[[#This Row],[ICG]],Earned[Incurred],CF_Gen_2[[#This Row],[Incurred]])</f>
        <v>-129710211.65261658</v>
      </c>
      <c r="L86" s="14">
        <f>SUMIFS(Earned[Earned_Commission],Earned[ICG],CF_Gen_2[[#This Row],[ICG]],Earned[Incurred],CF_Gen_2[[#This Row],[Incurred]])</f>
        <v>34689034.016602322</v>
      </c>
      <c r="M86" s="18">
        <f>_xlfn.XLOOKUP(CF_Gen_2[[#This Row],[ICG]],Assumptions[ICG],Assumptions[Loss_Ratio])</f>
        <v>0.38</v>
      </c>
      <c r="N86" s="18">
        <f>_xlfn.XLOOKUP(CF_Gen_2[[#This Row],[ICG]],Assumptions[ICG],Assumptions[Risk_Adjustment_Ratio])</f>
        <v>0.13</v>
      </c>
      <c r="O86" s="18">
        <f>_xlfn.XLOOKUP(CF_Gen_2[[#This Row],[ICG]],Assumptions[ICG],Assumptions[PME_Ratio])</f>
        <v>0</v>
      </c>
      <c r="P86" s="18">
        <f>_xlfn.XLOOKUP(CF_Gen_2[[#This Row],[ICG]],Assumptions[ICG],Assumptions[ULAE_Ratio])</f>
        <v>0</v>
      </c>
      <c r="Q86" s="18">
        <f>_xlfn.XLOOKUP(CF_Gen_2[[#This Row],[ICG]],Assumptions[ICG],Assumptions[Cancellation_Ratio])</f>
        <v>7.0000000000000007E-2</v>
      </c>
      <c r="R86" s="18">
        <f>_xlfn.XLOOKUP(CF_Gen_2[[#This Row],[ICG]],Assumptions[ICG],Assumptions[Premium_Refund_Ratio])</f>
        <v>0.5</v>
      </c>
      <c r="S86" s="18">
        <f>IF(CF_Gen_2[[#This Row],[Contract]]="RC",_xlfn.XLOOKUP(CF_Gen_2[[#This Row],[ICG]],Assumptions[ICG],Assumptions[NPR_Ratio]),0)</f>
        <v>2.8000000000000001E-2</v>
      </c>
      <c r="T86" s="17">
        <f>T85*(1-CF_Gen_2[[#This Row],[Cancellation_Ratio]])</f>
        <v>2.2519963305457978E-3</v>
      </c>
      <c r="U86" s="19">
        <f>IF(CF_Gen_2[[#This Row],[Incurred]]&lt;=CF_Gen_2[[#This Row],[Valuation]],CF_Gen_2[[#This Row],[Expected_Premium]],-CF_Gen_2[[#This Row],[Probability_of_Inforce]]*CF_Gen_2[[#This Row],[Premium_Refund_Ratio]]*CF_Gen_2[[#This Row],[Cancellation_Ratio]]*SUM(K86:K$105))</f>
        <v>54347.261294194745</v>
      </c>
      <c r="V8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Row],[Cancellation_Ratio]]*SUM(L86:L$105))</f>
        <v>-12577.251947806253</v>
      </c>
      <c r="W86" s="19">
        <f>CF_Gen_2[[#This Row],[Expected_Acquisition]]</f>
        <v>0</v>
      </c>
      <c r="X8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6" s="19">
        <f>-CF_Gen_2[[#This Row],[Probability_of_Inforce]]*CF_Gen_2[[#This Row],[Earned_Premium]]*(1-CF_Gen_2[[#This Row],[Cancellation_Ratio]])*CF_Gen_2[[#This Row],[Loss_Ratio]]</f>
        <v>103230.58576690238</v>
      </c>
      <c r="Z86" s="19">
        <f>CF_Gen_2[[#This Row],[Exp_Claim]]*CF_Gen_2[[#This Row],[Risk_Adjustment_Ratio]]</f>
        <v>13419.97614969731</v>
      </c>
      <c r="AA86" s="19">
        <f>IF(CF_Gen_2[[#This Row],[Contract]]="RC",-CF_Gen_2[[#This Row],[NPR_Ratio]]*CF_Gen_2[[#This Row],[Exp_Claim]],0)</f>
        <v>-2890.4564014732669</v>
      </c>
      <c r="AB86" s="19">
        <f>SUMIFS(Actual_CF[Actual_Premium],Actual_CF[ICG],CF_Gen_2[[#This Row],[ICG]],Actual_CF[Incurred],CF_Gen_2[[#This Row],[Incurred]])</f>
        <v>0</v>
      </c>
      <c r="AC86" s="19">
        <f>SUMIFS(Actual_CF[Actual_Commission],Actual_CF[ICG],CF_Gen_2[[#This Row],[ICG]],Actual_CF[Incurred],CF_Gen_2[[#This Row],[Incurred]])</f>
        <v>0</v>
      </c>
      <c r="AD86" s="19">
        <f>SUMIFS(Actual_CF[Actual_Acquisition],Actual_CF[ICG],CF_Gen_2[[#This Row],[ICG]],Actual_CF[Incurred],CF_Gen_2[[#This Row],[Incurred]])</f>
        <v>0</v>
      </c>
    </row>
    <row r="87" spans="1:30">
      <c r="A87" t="str">
        <f t="shared" si="4"/>
        <v>#2024#RC-Property</v>
      </c>
      <c r="B87">
        <f>_xlfn.XLOOKUP(CF_Gen_2[[#This Row],[ICG]],ICG[ICG],ICG[Cohort])</f>
        <v>2024</v>
      </c>
      <c r="C87" t="str">
        <f>_xlfn.XLOOKUP(CF_Gen_2[[#This Row],[ICG]],ICG[ICG],ICG[Portfolio])</f>
        <v>RC-Property</v>
      </c>
      <c r="D87" t="str">
        <f>_xlfn.XLOOKUP(CF_Gen_2[[#This Row],[ICG]],ICG[ICG],ICG[Contract])</f>
        <v>RC</v>
      </c>
      <c r="E87" s="2">
        <f t="shared" si="3"/>
        <v>45930</v>
      </c>
      <c r="F87">
        <v>86</v>
      </c>
      <c r="G87" s="2">
        <f>EOMONTH(DATE(YEAR(CF_Gen_2[[#This Row],[Valuation]])-1,12,31),CF_Gen_2[[#This Row],['#Incurred]]*3)</f>
        <v>53508</v>
      </c>
      <c r="H87" s="14">
        <f>SUMIFS(Expected_CF[Expected_Premium],Expected_CF[ICG],CF_Gen_2[[#This Row],[ICG]],Expected_CF[Incurred],CF_Gen_2[[#This Row],[Incurred]])</f>
        <v>0</v>
      </c>
      <c r="I87" s="14">
        <f>SUMIFS(Expected_CF[Expected_Commission],Expected_CF[ICG],CF_Gen_2[[#This Row],[ICG]],Expected_CF[Incurred],CF_Gen_2[[#This Row],[Incurred]])</f>
        <v>0</v>
      </c>
      <c r="J87" s="14">
        <f>IF(CF_Gen_2[[#This Row],[Contract]]="IC",SUMIFS(Expected_CF[Expected_Acquisition],Expected_CF[ICG],CF_Gen_2[[#This Row],[ICG]],Expected_CF[Incurred],CF_Gen_2[[#This Row],[Incurred]]),0)</f>
        <v>0</v>
      </c>
      <c r="K87" s="14">
        <f>SUMIFS(Earned[Earned_Premium],Earned[ICG],CF_Gen_2[[#This Row],[ICG]],Earned[Incurred],CF_Gen_2[[#This Row],[Incurred]])</f>
        <v>-116056505.16286746</v>
      </c>
      <c r="L87" s="14">
        <f>SUMIFS(Earned[Earned_Commission],Earned[ICG],CF_Gen_2[[#This Row],[ICG]],Earned[Incurred],CF_Gen_2[[#This Row],[Incurred]])</f>
        <v>30063829.481055349</v>
      </c>
      <c r="M87" s="18">
        <f>_xlfn.XLOOKUP(CF_Gen_2[[#This Row],[ICG]],Assumptions[ICG],Assumptions[Loss_Ratio])</f>
        <v>0.38</v>
      </c>
      <c r="N87" s="18">
        <f>_xlfn.XLOOKUP(CF_Gen_2[[#This Row],[ICG]],Assumptions[ICG],Assumptions[Risk_Adjustment_Ratio])</f>
        <v>0.13</v>
      </c>
      <c r="O87" s="18">
        <f>_xlfn.XLOOKUP(CF_Gen_2[[#This Row],[ICG]],Assumptions[ICG],Assumptions[PME_Ratio])</f>
        <v>0</v>
      </c>
      <c r="P87" s="18">
        <f>_xlfn.XLOOKUP(CF_Gen_2[[#This Row],[ICG]],Assumptions[ICG],Assumptions[ULAE_Ratio])</f>
        <v>0</v>
      </c>
      <c r="Q87" s="18">
        <f>_xlfn.XLOOKUP(CF_Gen_2[[#This Row],[ICG]],Assumptions[ICG],Assumptions[Cancellation_Ratio])</f>
        <v>7.0000000000000007E-2</v>
      </c>
      <c r="R87" s="18">
        <f>_xlfn.XLOOKUP(CF_Gen_2[[#This Row],[ICG]],Assumptions[ICG],Assumptions[Premium_Refund_Ratio])</f>
        <v>0.5</v>
      </c>
      <c r="S87" s="18">
        <f>IF(CF_Gen_2[[#This Row],[Contract]]="RC",_xlfn.XLOOKUP(CF_Gen_2[[#This Row],[ICG]],Assumptions[ICG],Assumptions[NPR_Ratio]),0)</f>
        <v>2.8000000000000001E-2</v>
      </c>
      <c r="T87" s="17">
        <f>T86*(1-CF_Gen_2[[#This Row],[Cancellation_Ratio]])</f>
        <v>2.0943565874075917E-3</v>
      </c>
      <c r="U87" s="19">
        <f>IF(CF_Gen_2[[#This Row],[Incurred]]&lt;=CF_Gen_2[[#This Row],[Valuation]],CF_Gen_2[[#This Row],[Expected_Premium]],-CF_Gen_2[[#This Row],[Probability_of_Inforce]]*CF_Gen_2[[#This Row],[Premium_Refund_Ratio]]*CF_Gen_2[[#This Row],[Cancellation_Ratio]]*SUM(K87:K$105))</f>
        <v>41034.872735596931</v>
      </c>
      <c r="V8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Row],[Cancellation_Ratio]]*SUM(L87:L$105))</f>
        <v>-9154.0520698381151</v>
      </c>
      <c r="W87" s="19">
        <f>CF_Gen_2[[#This Row],[Expected_Acquisition]]</f>
        <v>0</v>
      </c>
      <c r="X8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7" s="19">
        <f>-CF_Gen_2[[#This Row],[Probability_of_Inforce]]*CF_Gen_2[[#This Row],[Earned_Premium]]*(1-CF_Gen_2[[#This Row],[Cancellation_Ratio]])*CF_Gen_2[[#This Row],[Loss_Ratio]]</f>
        <v>85898.713735511934</v>
      </c>
      <c r="Z87" s="19">
        <f>CF_Gen_2[[#This Row],[Exp_Claim]]*CF_Gen_2[[#This Row],[Risk_Adjustment_Ratio]]</f>
        <v>11166.832785616552</v>
      </c>
      <c r="AA87" s="19">
        <f>IF(CF_Gen_2[[#This Row],[Contract]]="RC",-CF_Gen_2[[#This Row],[NPR_Ratio]]*CF_Gen_2[[#This Row],[Exp_Claim]],0)</f>
        <v>-2405.1639845943341</v>
      </c>
      <c r="AB87" s="19">
        <f>SUMIFS(Actual_CF[Actual_Premium],Actual_CF[ICG],CF_Gen_2[[#This Row],[ICG]],Actual_CF[Incurred],CF_Gen_2[[#This Row],[Incurred]])</f>
        <v>0</v>
      </c>
      <c r="AC87" s="19">
        <f>SUMIFS(Actual_CF[Actual_Commission],Actual_CF[ICG],CF_Gen_2[[#This Row],[ICG]],Actual_CF[Incurred],CF_Gen_2[[#This Row],[Incurred]])</f>
        <v>0</v>
      </c>
      <c r="AD87" s="19">
        <f>SUMIFS(Actual_CF[Actual_Acquisition],Actual_CF[ICG],CF_Gen_2[[#This Row],[ICG]],Actual_CF[Incurred],CF_Gen_2[[#This Row],[Incurred]])</f>
        <v>0</v>
      </c>
    </row>
    <row r="88" spans="1:30">
      <c r="A88" t="str">
        <f t="shared" si="4"/>
        <v>#2024#RC-Property</v>
      </c>
      <c r="B88">
        <f>_xlfn.XLOOKUP(CF_Gen_2[[#This Row],[ICG]],ICG[ICG],ICG[Cohort])</f>
        <v>2024</v>
      </c>
      <c r="C88" t="str">
        <f>_xlfn.XLOOKUP(CF_Gen_2[[#This Row],[ICG]],ICG[ICG],ICG[Portfolio])</f>
        <v>RC-Property</v>
      </c>
      <c r="D88" t="str">
        <f>_xlfn.XLOOKUP(CF_Gen_2[[#This Row],[ICG]],ICG[ICG],ICG[Contract])</f>
        <v>RC</v>
      </c>
      <c r="E88" s="2">
        <f t="shared" si="3"/>
        <v>45930</v>
      </c>
      <c r="F88">
        <v>87</v>
      </c>
      <c r="G88" s="2">
        <f>EOMONTH(DATE(YEAR(CF_Gen_2[[#This Row],[Valuation]])-1,12,31),CF_Gen_2[[#This Row],['#Incurred]]*3)</f>
        <v>53600</v>
      </c>
      <c r="H88" s="14">
        <f>SUMIFS(Expected_CF[Expected_Premium],Expected_CF[ICG],CF_Gen_2[[#This Row],[ICG]],Expected_CF[Incurred],CF_Gen_2[[#This Row],[Incurred]])</f>
        <v>0</v>
      </c>
      <c r="I88" s="14">
        <f>SUMIFS(Expected_CF[Expected_Commission],Expected_CF[ICG],CF_Gen_2[[#This Row],[ICG]],Expected_CF[Incurred],CF_Gen_2[[#This Row],[Incurred]])</f>
        <v>0</v>
      </c>
      <c r="J88" s="14">
        <f>IF(CF_Gen_2[[#This Row],[Contract]]="IC",SUMIFS(Expected_CF[Expected_Acquisition],Expected_CF[ICG],CF_Gen_2[[#This Row],[ICG]],Expected_CF[Incurred],CF_Gen_2[[#This Row],[Incurred]]),0)</f>
        <v>0</v>
      </c>
      <c r="K88" s="14">
        <f>SUMIFS(Earned[Earned_Premium],Earned[ICG],CF_Gen_2[[#This Row],[ICG]],Earned[Incurred],CF_Gen_2[[#This Row],[Incurred]])</f>
        <v>-102402798.67311834</v>
      </c>
      <c r="L88" s="14">
        <f>SUMIFS(Earned[Earned_Commission],Earned[ICG],CF_Gen_2[[#This Row],[ICG]],Earned[Incurred],CF_Gen_2[[#This Row],[Incurred]])</f>
        <v>25438624.945508372</v>
      </c>
      <c r="M88" s="18">
        <f>_xlfn.XLOOKUP(CF_Gen_2[[#This Row],[ICG]],Assumptions[ICG],Assumptions[Loss_Ratio])</f>
        <v>0.38</v>
      </c>
      <c r="N88" s="18">
        <f>_xlfn.XLOOKUP(CF_Gen_2[[#This Row],[ICG]],Assumptions[ICG],Assumptions[Risk_Adjustment_Ratio])</f>
        <v>0.13</v>
      </c>
      <c r="O88" s="18">
        <f>_xlfn.XLOOKUP(CF_Gen_2[[#This Row],[ICG]],Assumptions[ICG],Assumptions[PME_Ratio])</f>
        <v>0</v>
      </c>
      <c r="P88" s="18">
        <f>_xlfn.XLOOKUP(CF_Gen_2[[#This Row],[ICG]],Assumptions[ICG],Assumptions[ULAE_Ratio])</f>
        <v>0</v>
      </c>
      <c r="Q88" s="18">
        <f>_xlfn.XLOOKUP(CF_Gen_2[[#This Row],[ICG]],Assumptions[ICG],Assumptions[Cancellation_Ratio])</f>
        <v>7.0000000000000007E-2</v>
      </c>
      <c r="R88" s="18">
        <f>_xlfn.XLOOKUP(CF_Gen_2[[#This Row],[ICG]],Assumptions[ICG],Assumptions[Premium_Refund_Ratio])</f>
        <v>0.5</v>
      </c>
      <c r="S88" s="18">
        <f>IF(CF_Gen_2[[#This Row],[Contract]]="RC",_xlfn.XLOOKUP(CF_Gen_2[[#This Row],[ICG]],Assumptions[ICG],Assumptions[NPR_Ratio]),0)</f>
        <v>2.8000000000000001E-2</v>
      </c>
      <c r="T88" s="17">
        <f>T87*(1-CF_Gen_2[[#This Row],[Cancellation_Ratio]])</f>
        <v>1.9477516262890601E-3</v>
      </c>
      <c r="U88" s="19">
        <f>IF(CF_Gen_2[[#This Row],[Incurred]]&lt;=CF_Gen_2[[#This Row],[Valuation]],CF_Gen_2[[#This Row],[Expected_Premium]],-CF_Gen_2[[#This Row],[Probability_of_Inforce]]*CF_Gen_2[[#This Row],[Premium_Refund_Ratio]]*CF_Gen_2[[#This Row],[Cancellation_Ratio]]*SUM(K88:K$105))</f>
        <v>30250.708010571154</v>
      </c>
      <c r="V8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Row],[Cancellation_Ratio]]*SUM(L88:L$105))</f>
        <v>-6463.777878202357</v>
      </c>
      <c r="W88" s="19">
        <f>CF_Gen_2[[#This Row],[Expected_Acquisition]]</f>
        <v>0</v>
      </c>
      <c r="X8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8" s="19">
        <f>-CF_Gen_2[[#This Row],[Probability_of_Inforce]]*CF_Gen_2[[#This Row],[Earned_Premium]]*(1-CF_Gen_2[[#This Row],[Cancellation_Ratio]])*CF_Gen_2[[#This Row],[Loss_Ratio]]</f>
        <v>70487.4739182583</v>
      </c>
      <c r="Z88" s="19">
        <f>CF_Gen_2[[#This Row],[Exp_Claim]]*CF_Gen_2[[#This Row],[Risk_Adjustment_Ratio]]</f>
        <v>9163.3716093735784</v>
      </c>
      <c r="AA88" s="19">
        <f>IF(CF_Gen_2[[#This Row],[Contract]]="RC",-CF_Gen_2[[#This Row],[NPR_Ratio]]*CF_Gen_2[[#This Row],[Exp_Claim]],0)</f>
        <v>-1973.6492697112324</v>
      </c>
      <c r="AB88" s="19">
        <f>SUMIFS(Actual_CF[Actual_Premium],Actual_CF[ICG],CF_Gen_2[[#This Row],[ICG]],Actual_CF[Incurred],CF_Gen_2[[#This Row],[Incurred]])</f>
        <v>0</v>
      </c>
      <c r="AC88" s="19">
        <f>SUMIFS(Actual_CF[Actual_Commission],Actual_CF[ICG],CF_Gen_2[[#This Row],[ICG]],Actual_CF[Incurred],CF_Gen_2[[#This Row],[Incurred]])</f>
        <v>0</v>
      </c>
      <c r="AD88" s="19">
        <f>SUMIFS(Actual_CF[Actual_Acquisition],Actual_CF[ICG],CF_Gen_2[[#This Row],[ICG]],Actual_CF[Incurred],CF_Gen_2[[#This Row],[Incurred]])</f>
        <v>0</v>
      </c>
    </row>
    <row r="89" spans="1:30">
      <c r="A89" t="str">
        <f t="shared" si="4"/>
        <v>#2024#RC-Property</v>
      </c>
      <c r="B89">
        <f>_xlfn.XLOOKUP(CF_Gen_2[[#This Row],[ICG]],ICG[ICG],ICG[Cohort])</f>
        <v>2024</v>
      </c>
      <c r="C89" t="str">
        <f>_xlfn.XLOOKUP(CF_Gen_2[[#This Row],[ICG]],ICG[ICG],ICG[Portfolio])</f>
        <v>RC-Property</v>
      </c>
      <c r="D89" t="str">
        <f>_xlfn.XLOOKUP(CF_Gen_2[[#This Row],[ICG]],ICG[ICG],ICG[Contract])</f>
        <v>RC</v>
      </c>
      <c r="E89" s="2">
        <f t="shared" si="3"/>
        <v>45930</v>
      </c>
      <c r="F89">
        <v>88</v>
      </c>
      <c r="G89" s="2">
        <f>EOMONTH(DATE(YEAR(CF_Gen_2[[#This Row],[Valuation]])-1,12,31),CF_Gen_2[[#This Row],['#Incurred]]*3)</f>
        <v>53692</v>
      </c>
      <c r="H89" s="14">
        <f>SUMIFS(Expected_CF[Expected_Premium],Expected_CF[ICG],CF_Gen_2[[#This Row],[ICG]],Expected_CF[Incurred],CF_Gen_2[[#This Row],[Incurred]])</f>
        <v>0</v>
      </c>
      <c r="I89" s="14">
        <f>SUMIFS(Expected_CF[Expected_Commission],Expected_CF[ICG],CF_Gen_2[[#This Row],[ICG]],Expected_CF[Incurred],CF_Gen_2[[#This Row],[Incurred]])</f>
        <v>0</v>
      </c>
      <c r="J89" s="14">
        <f>IF(CF_Gen_2[[#This Row],[Contract]]="IC",SUMIFS(Expected_CF[Expected_Acquisition],Expected_CF[ICG],CF_Gen_2[[#This Row],[ICG]],Expected_CF[Incurred],CF_Gen_2[[#This Row],[Incurred]]),0)</f>
        <v>0</v>
      </c>
      <c r="K89" s="14">
        <f>SUMIFS(Earned[Earned_Premium],Earned[ICG],CF_Gen_2[[#This Row],[ICG]],Earned[Incurred],CF_Gen_2[[#This Row],[Incurred]])</f>
        <v>-88749092.183369234</v>
      </c>
      <c r="L89" s="14">
        <f>SUMIFS(Earned[Earned_Commission],Earned[ICG],CF_Gen_2[[#This Row],[ICG]],Earned[Incurred],CF_Gen_2[[#This Row],[Incurred]])</f>
        <v>20813420.409961391</v>
      </c>
      <c r="M89" s="18">
        <f>_xlfn.XLOOKUP(CF_Gen_2[[#This Row],[ICG]],Assumptions[ICG],Assumptions[Loss_Ratio])</f>
        <v>0.38</v>
      </c>
      <c r="N89" s="18">
        <f>_xlfn.XLOOKUP(CF_Gen_2[[#This Row],[ICG]],Assumptions[ICG],Assumptions[Risk_Adjustment_Ratio])</f>
        <v>0.13</v>
      </c>
      <c r="O89" s="18">
        <f>_xlfn.XLOOKUP(CF_Gen_2[[#This Row],[ICG]],Assumptions[ICG],Assumptions[PME_Ratio])</f>
        <v>0</v>
      </c>
      <c r="P89" s="18">
        <f>_xlfn.XLOOKUP(CF_Gen_2[[#This Row],[ICG]],Assumptions[ICG],Assumptions[ULAE_Ratio])</f>
        <v>0</v>
      </c>
      <c r="Q89" s="18">
        <f>_xlfn.XLOOKUP(CF_Gen_2[[#This Row],[ICG]],Assumptions[ICG],Assumptions[Cancellation_Ratio])</f>
        <v>7.0000000000000007E-2</v>
      </c>
      <c r="R89" s="18">
        <f>_xlfn.XLOOKUP(CF_Gen_2[[#This Row],[ICG]],Assumptions[ICG],Assumptions[Premium_Refund_Ratio])</f>
        <v>0.5</v>
      </c>
      <c r="S89" s="18">
        <f>IF(CF_Gen_2[[#This Row],[Contract]]="RC",_xlfn.XLOOKUP(CF_Gen_2[[#This Row],[ICG]],Assumptions[ICG],Assumptions[NPR_Ratio]),0)</f>
        <v>2.8000000000000001E-2</v>
      </c>
      <c r="T89" s="17">
        <f>T88*(1-CF_Gen_2[[#This Row],[Cancellation_Ratio]])</f>
        <v>1.8114090124488258E-3</v>
      </c>
      <c r="U89" s="19">
        <f>IF(CF_Gen_2[[#This Row],[Incurred]]&lt;=CF_Gen_2[[#This Row],[Valuation]],CF_Gen_2[[#This Row],[Expected_Premium]],-CF_Gen_2[[#This Row],[Probability_of_Inforce]]*CF_Gen_2[[#This Row],[Premium_Refund_Ratio]]*CF_Gen_2[[#This Row],[Cancellation_Ratio]]*SUM(K89:K$105))</f>
        <v>21640.891115254748</v>
      </c>
      <c r="V8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Row],[Cancellation_Ratio]]*SUM(L89:L$105))</f>
        <v>-4398.5220195572128</v>
      </c>
      <c r="W89" s="19">
        <f>CF_Gen_2[[#This Row],[Expected_Acquisition]]</f>
        <v>0</v>
      </c>
      <c r="X8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89" s="19">
        <f>-CF_Gen_2[[#This Row],[Probability_of_Inforce]]*CF_Gen_2[[#This Row],[Earned_Premium]]*(1-CF_Gen_2[[#This Row],[Cancellation_Ratio]])*CF_Gen_2[[#This Row],[Loss_Ratio]]</f>
        <v>56812.903978116192</v>
      </c>
      <c r="Z89" s="19">
        <f>CF_Gen_2[[#This Row],[Exp_Claim]]*CF_Gen_2[[#This Row],[Risk_Adjustment_Ratio]]</f>
        <v>7385.6775171551053</v>
      </c>
      <c r="AA89" s="19">
        <f>IF(CF_Gen_2[[#This Row],[Contract]]="RC",-CF_Gen_2[[#This Row],[NPR_Ratio]]*CF_Gen_2[[#This Row],[Exp_Claim]],0)</f>
        <v>-1590.7613113872535</v>
      </c>
      <c r="AB89" s="19">
        <f>SUMIFS(Actual_CF[Actual_Premium],Actual_CF[ICG],CF_Gen_2[[#This Row],[ICG]],Actual_CF[Incurred],CF_Gen_2[[#This Row],[Incurred]])</f>
        <v>0</v>
      </c>
      <c r="AC89" s="19">
        <f>SUMIFS(Actual_CF[Actual_Commission],Actual_CF[ICG],CF_Gen_2[[#This Row],[ICG]],Actual_CF[Incurred],CF_Gen_2[[#This Row],[Incurred]])</f>
        <v>0</v>
      </c>
      <c r="AD89" s="19">
        <f>SUMIFS(Actual_CF[Actual_Acquisition],Actual_CF[ICG],CF_Gen_2[[#This Row],[ICG]],Actual_CF[Incurred],CF_Gen_2[[#This Row],[Incurred]])</f>
        <v>0</v>
      </c>
    </row>
    <row r="90" spans="1:30">
      <c r="A90" t="str">
        <f t="shared" si="4"/>
        <v>#2024#RC-Property</v>
      </c>
      <c r="B90">
        <f>_xlfn.XLOOKUP(CF_Gen_2[[#This Row],[ICG]],ICG[ICG],ICG[Cohort])</f>
        <v>2024</v>
      </c>
      <c r="C90" t="str">
        <f>_xlfn.XLOOKUP(CF_Gen_2[[#This Row],[ICG]],ICG[ICG],ICG[Portfolio])</f>
        <v>RC-Property</v>
      </c>
      <c r="D90" t="str">
        <f>_xlfn.XLOOKUP(CF_Gen_2[[#This Row],[ICG]],ICG[ICG],ICG[Contract])</f>
        <v>RC</v>
      </c>
      <c r="E90" s="2">
        <f t="shared" si="3"/>
        <v>45930</v>
      </c>
      <c r="F90">
        <v>89</v>
      </c>
      <c r="G90" s="2">
        <f>EOMONTH(DATE(YEAR(CF_Gen_2[[#This Row],[Valuation]])-1,12,31),CF_Gen_2[[#This Row],['#Incurred]]*3)</f>
        <v>53782</v>
      </c>
      <c r="H90" s="14">
        <f>SUMIFS(Expected_CF[Expected_Premium],Expected_CF[ICG],CF_Gen_2[[#This Row],[ICG]],Expected_CF[Incurred],CF_Gen_2[[#This Row],[Incurred]])</f>
        <v>0</v>
      </c>
      <c r="I90" s="14">
        <f>SUMIFS(Expected_CF[Expected_Commission],Expected_CF[ICG],CF_Gen_2[[#This Row],[ICG]],Expected_CF[Incurred],CF_Gen_2[[#This Row],[Incurred]])</f>
        <v>0</v>
      </c>
      <c r="J90" s="14">
        <f>IF(CF_Gen_2[[#This Row],[Contract]]="IC",SUMIFS(Expected_CF[Expected_Acquisition],Expected_CF[ICG],CF_Gen_2[[#This Row],[ICG]],Expected_CF[Incurred],CF_Gen_2[[#This Row],[Incurred]]),0)</f>
        <v>0</v>
      </c>
      <c r="K90" s="14">
        <f>SUMIFS(Earned[Earned_Premium],Earned[ICG],CF_Gen_2[[#This Row],[ICG]],Earned[Incurred],CF_Gen_2[[#This Row],[Incurred]])</f>
        <v>-75095385.69362013</v>
      </c>
      <c r="L90" s="14">
        <f>SUMIFS(Earned[Earned_Commission],Earned[ICG],CF_Gen_2[[#This Row],[ICG]],Earned[Incurred],CF_Gen_2[[#This Row],[Incurred]])</f>
        <v>16188215.874414414</v>
      </c>
      <c r="M90" s="18">
        <f>_xlfn.XLOOKUP(CF_Gen_2[[#This Row],[ICG]],Assumptions[ICG],Assumptions[Loss_Ratio])</f>
        <v>0.38</v>
      </c>
      <c r="N90" s="18">
        <f>_xlfn.XLOOKUP(CF_Gen_2[[#This Row],[ICG]],Assumptions[ICG],Assumptions[Risk_Adjustment_Ratio])</f>
        <v>0.13</v>
      </c>
      <c r="O90" s="18">
        <f>_xlfn.XLOOKUP(CF_Gen_2[[#This Row],[ICG]],Assumptions[ICG],Assumptions[PME_Ratio])</f>
        <v>0</v>
      </c>
      <c r="P90" s="18">
        <f>_xlfn.XLOOKUP(CF_Gen_2[[#This Row],[ICG]],Assumptions[ICG],Assumptions[ULAE_Ratio])</f>
        <v>0</v>
      </c>
      <c r="Q90" s="18">
        <f>_xlfn.XLOOKUP(CF_Gen_2[[#This Row],[ICG]],Assumptions[ICG],Assumptions[Cancellation_Ratio])</f>
        <v>7.0000000000000007E-2</v>
      </c>
      <c r="R90" s="18">
        <f>_xlfn.XLOOKUP(CF_Gen_2[[#This Row],[ICG]],Assumptions[ICG],Assumptions[Premium_Refund_Ratio])</f>
        <v>0.5</v>
      </c>
      <c r="S90" s="18">
        <f>IF(CF_Gen_2[[#This Row],[Contract]]="RC",_xlfn.XLOOKUP(CF_Gen_2[[#This Row],[ICG]],Assumptions[ICG],Assumptions[NPR_Ratio]),0)</f>
        <v>2.8000000000000001E-2</v>
      </c>
      <c r="T90" s="17">
        <f>T89*(1-CF_Gen_2[[#This Row],[Cancellation_Ratio]])</f>
        <v>1.6846103815774079E-3</v>
      </c>
      <c r="U90" s="19">
        <f>IF(CF_Gen_2[[#This Row],[Incurred]]&lt;=CF_Gen_2[[#This Row],[Valuation]],CF_Gen_2[[#This Row],[Expected_Premium]],-CF_Gen_2[[#This Row],[Probability_of_Inforce]]*CF_Gen_2[[#This Row],[Premium_Refund_Ratio]]*CF_Gen_2[[#This Row],[Cancellation_Ratio]]*SUM(K90:K$105))</f>
        <v>14893.261265518315</v>
      </c>
      <c r="V9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Row],[Cancellation_Ratio]]*SUM(L90:L$105))</f>
        <v>-2863.4378347317456</v>
      </c>
      <c r="W90" s="19">
        <f>CF_Gen_2[[#This Row],[Expected_Acquisition]]</f>
        <v>0</v>
      </c>
      <c r="X9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0" s="19">
        <f>-CF_Gen_2[[#This Row],[Probability_of_Inforce]]*CF_Gen_2[[#This Row],[Earned_Premium]]*(1-CF_Gen_2[[#This Row],[Cancellation_Ratio]])*CF_Gen_2[[#This Row],[Loss_Ratio]]</f>
        <v>44707.385207394516</v>
      </c>
      <c r="Z90" s="19">
        <f>CF_Gen_2[[#This Row],[Exp_Claim]]*CF_Gen_2[[#This Row],[Risk_Adjustment_Ratio]]</f>
        <v>5811.9600769612871</v>
      </c>
      <c r="AA90" s="19">
        <f>IF(CF_Gen_2[[#This Row],[Contract]]="RC",-CF_Gen_2[[#This Row],[NPR_Ratio]]*CF_Gen_2[[#This Row],[Exp_Claim]],0)</f>
        <v>-1251.8067858070465</v>
      </c>
      <c r="AB90" s="19">
        <f>SUMIFS(Actual_CF[Actual_Premium],Actual_CF[ICG],CF_Gen_2[[#This Row],[ICG]],Actual_CF[Incurred],CF_Gen_2[[#This Row],[Incurred]])</f>
        <v>0</v>
      </c>
      <c r="AC90" s="19">
        <f>SUMIFS(Actual_CF[Actual_Commission],Actual_CF[ICG],CF_Gen_2[[#This Row],[ICG]],Actual_CF[Incurred],CF_Gen_2[[#This Row],[Incurred]])</f>
        <v>0</v>
      </c>
      <c r="AD90" s="19">
        <f>SUMIFS(Actual_CF[Actual_Acquisition],Actual_CF[ICG],CF_Gen_2[[#This Row],[ICG]],Actual_CF[Incurred],CF_Gen_2[[#This Row],[Incurred]])</f>
        <v>0</v>
      </c>
    </row>
    <row r="91" spans="1:30">
      <c r="A91" t="str">
        <f t="shared" si="4"/>
        <v>#2024#RC-Property</v>
      </c>
      <c r="B91">
        <f>_xlfn.XLOOKUP(CF_Gen_2[[#This Row],[ICG]],ICG[ICG],ICG[Cohort])</f>
        <v>2024</v>
      </c>
      <c r="C91" t="str">
        <f>_xlfn.XLOOKUP(CF_Gen_2[[#This Row],[ICG]],ICG[ICG],ICG[Portfolio])</f>
        <v>RC-Property</v>
      </c>
      <c r="D91" t="str">
        <f>_xlfn.XLOOKUP(CF_Gen_2[[#This Row],[ICG]],ICG[ICG],ICG[Contract])</f>
        <v>RC</v>
      </c>
      <c r="E91" s="2">
        <f t="shared" si="3"/>
        <v>45930</v>
      </c>
      <c r="F91">
        <v>90</v>
      </c>
      <c r="G91" s="2">
        <f>EOMONTH(DATE(YEAR(CF_Gen_2[[#This Row],[Valuation]])-1,12,31),CF_Gen_2[[#This Row],['#Incurred]]*3)</f>
        <v>53873</v>
      </c>
      <c r="H91" s="14">
        <f>SUMIFS(Expected_CF[Expected_Premium],Expected_CF[ICG],CF_Gen_2[[#This Row],[ICG]],Expected_CF[Incurred],CF_Gen_2[[#This Row],[Incurred]])</f>
        <v>0</v>
      </c>
      <c r="I91" s="14">
        <f>SUMIFS(Expected_CF[Expected_Commission],Expected_CF[ICG],CF_Gen_2[[#This Row],[ICG]],Expected_CF[Incurred],CF_Gen_2[[#This Row],[Incurred]])</f>
        <v>0</v>
      </c>
      <c r="J91" s="14">
        <f>IF(CF_Gen_2[[#This Row],[Contract]]="IC",SUMIFS(Expected_CF[Expected_Acquisition],Expected_CF[ICG],CF_Gen_2[[#This Row],[ICG]],Expected_CF[Incurred],CF_Gen_2[[#This Row],[Incurred]]),0)</f>
        <v>0</v>
      </c>
      <c r="K91" s="14">
        <f>SUMIFS(Earned[Earned_Premium],Earned[ICG],CF_Gen_2[[#This Row],[ICG]],Earned[Incurred],CF_Gen_2[[#This Row],[Incurred]])</f>
        <v>-61441679.203871019</v>
      </c>
      <c r="L91" s="14">
        <f>SUMIFS(Earned[Earned_Commission],Earned[ICG],CF_Gen_2[[#This Row],[ICG]],Earned[Incurred],CF_Gen_2[[#This Row],[Incurred]])</f>
        <v>12141161.905810811</v>
      </c>
      <c r="M91" s="18">
        <f>_xlfn.XLOOKUP(CF_Gen_2[[#This Row],[ICG]],Assumptions[ICG],Assumptions[Loss_Ratio])</f>
        <v>0.38</v>
      </c>
      <c r="N91" s="18">
        <f>_xlfn.XLOOKUP(CF_Gen_2[[#This Row],[ICG]],Assumptions[ICG],Assumptions[Risk_Adjustment_Ratio])</f>
        <v>0.13</v>
      </c>
      <c r="O91" s="18">
        <f>_xlfn.XLOOKUP(CF_Gen_2[[#This Row],[ICG]],Assumptions[ICG],Assumptions[PME_Ratio])</f>
        <v>0</v>
      </c>
      <c r="P91" s="18">
        <f>_xlfn.XLOOKUP(CF_Gen_2[[#This Row],[ICG]],Assumptions[ICG],Assumptions[ULAE_Ratio])</f>
        <v>0</v>
      </c>
      <c r="Q91" s="18">
        <f>_xlfn.XLOOKUP(CF_Gen_2[[#This Row],[ICG]],Assumptions[ICG],Assumptions[Cancellation_Ratio])</f>
        <v>7.0000000000000007E-2</v>
      </c>
      <c r="R91" s="18">
        <f>_xlfn.XLOOKUP(CF_Gen_2[[#This Row],[ICG]],Assumptions[ICG],Assumptions[Premium_Refund_Ratio])</f>
        <v>0.5</v>
      </c>
      <c r="S91" s="18">
        <f>IF(CF_Gen_2[[#This Row],[Contract]]="RC",_xlfn.XLOOKUP(CF_Gen_2[[#This Row],[ICG]],Assumptions[ICG],Assumptions[NPR_Ratio]),0)</f>
        <v>2.8000000000000001E-2</v>
      </c>
      <c r="T91" s="17">
        <f>T90*(1-CF_Gen_2[[#This Row],[Cancellation_Ratio]])</f>
        <v>1.5666876548669892E-3</v>
      </c>
      <c r="U91" s="19">
        <f>IF(CF_Gen_2[[#This Row],[Incurred]]&lt;=CF_Gen_2[[#This Row],[Valuation]],CF_Gen_2[[#This Row],[Expected_Premium]],-CF_Gen_2[[#This Row],[Probability_of_Inforce]]*CF_Gen_2[[#This Row],[Premium_Refund_Ratio]]*CF_Gen_2[[#This Row],[Cancellation_Ratio]]*SUM(K91:K$105))</f>
        <v>9732.9474973035904</v>
      </c>
      <c r="V9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Row],[Cancellation_Ratio]]*SUM(L91:L$105))</f>
        <v>-1775.3314575336822</v>
      </c>
      <c r="W91" s="19">
        <f>CF_Gen_2[[#This Row],[Expected_Acquisition]]</f>
        <v>0</v>
      </c>
      <c r="X9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1" s="19">
        <f>-CF_Gen_2[[#This Row],[Probability_of_Inforce]]*CF_Gen_2[[#This Row],[Earned_Premium]]*(1-CF_Gen_2[[#This Row],[Cancellation_Ratio]])*CF_Gen_2[[#This Row],[Loss_Ratio]]</f>
        <v>34018.255835081101</v>
      </c>
      <c r="Z91" s="19">
        <f>CF_Gen_2[[#This Row],[Exp_Claim]]*CF_Gen_2[[#This Row],[Risk_Adjustment_Ratio]]</f>
        <v>4422.373258560543</v>
      </c>
      <c r="AA91" s="19">
        <f>IF(CF_Gen_2[[#This Row],[Contract]]="RC",-CF_Gen_2[[#This Row],[NPR_Ratio]]*CF_Gen_2[[#This Row],[Exp_Claim]],0)</f>
        <v>-952.51116338227087</v>
      </c>
      <c r="AB91" s="19">
        <f>SUMIFS(Actual_CF[Actual_Premium],Actual_CF[ICG],CF_Gen_2[[#This Row],[ICG]],Actual_CF[Incurred],CF_Gen_2[[#This Row],[Incurred]])</f>
        <v>0</v>
      </c>
      <c r="AC91" s="19">
        <f>SUMIFS(Actual_CF[Actual_Commission],Actual_CF[ICG],CF_Gen_2[[#This Row],[ICG]],Actual_CF[Incurred],CF_Gen_2[[#This Row],[Incurred]])</f>
        <v>0</v>
      </c>
      <c r="AD91" s="19">
        <f>SUMIFS(Actual_CF[Actual_Acquisition],Actual_CF[ICG],CF_Gen_2[[#This Row],[ICG]],Actual_CF[Incurred],CF_Gen_2[[#This Row],[Incurred]])</f>
        <v>0</v>
      </c>
    </row>
    <row r="92" spans="1:30">
      <c r="A92" t="str">
        <f t="shared" si="4"/>
        <v>#2024#RC-Property</v>
      </c>
      <c r="B92">
        <f>_xlfn.XLOOKUP(CF_Gen_2[[#This Row],[ICG]],ICG[ICG],ICG[Cohort])</f>
        <v>2024</v>
      </c>
      <c r="C92" t="str">
        <f>_xlfn.XLOOKUP(CF_Gen_2[[#This Row],[ICG]],ICG[ICG],ICG[Portfolio])</f>
        <v>RC-Property</v>
      </c>
      <c r="D92" t="str">
        <f>_xlfn.XLOOKUP(CF_Gen_2[[#This Row],[ICG]],ICG[ICG],ICG[Contract])</f>
        <v>RC</v>
      </c>
      <c r="E92" s="2">
        <f t="shared" si="3"/>
        <v>45930</v>
      </c>
      <c r="F92">
        <v>91</v>
      </c>
      <c r="G92" s="2">
        <f>EOMONTH(DATE(YEAR(CF_Gen_2[[#This Row],[Valuation]])-1,12,31),CF_Gen_2[[#This Row],['#Incurred]]*3)</f>
        <v>53965</v>
      </c>
      <c r="H92" s="14">
        <f>SUMIFS(Expected_CF[Expected_Premium],Expected_CF[ICG],CF_Gen_2[[#This Row],[ICG]],Expected_CF[Incurred],CF_Gen_2[[#This Row],[Incurred]])</f>
        <v>0</v>
      </c>
      <c r="I92" s="14">
        <f>SUMIFS(Expected_CF[Expected_Commission],Expected_CF[ICG],CF_Gen_2[[#This Row],[ICG]],Expected_CF[Incurred],CF_Gen_2[[#This Row],[Incurred]])</f>
        <v>0</v>
      </c>
      <c r="J92" s="14">
        <f>IF(CF_Gen_2[[#This Row],[Contract]]="IC",SUMIFS(Expected_CF[Expected_Acquisition],Expected_CF[ICG],CF_Gen_2[[#This Row],[ICG]],Expected_CF[Incurred],CF_Gen_2[[#This Row],[Incurred]]),0)</f>
        <v>0</v>
      </c>
      <c r="K92" s="14">
        <f>SUMIFS(Earned[Earned_Premium],Earned[ICG],CF_Gen_2[[#This Row],[ICG]],Earned[Incurred],CF_Gen_2[[#This Row],[Incurred]])</f>
        <v>-47787972.714121893</v>
      </c>
      <c r="L92" s="14">
        <f>SUMIFS(Earned[Earned_Commission],Earned[ICG],CF_Gen_2[[#This Row],[ICG]],Earned[Incurred],CF_Gen_2[[#This Row],[Incurred]])</f>
        <v>8672258.5041505788</v>
      </c>
      <c r="M92" s="18">
        <f>_xlfn.XLOOKUP(CF_Gen_2[[#This Row],[ICG]],Assumptions[ICG],Assumptions[Loss_Ratio])</f>
        <v>0.38</v>
      </c>
      <c r="N92" s="18">
        <f>_xlfn.XLOOKUP(CF_Gen_2[[#This Row],[ICG]],Assumptions[ICG],Assumptions[Risk_Adjustment_Ratio])</f>
        <v>0.13</v>
      </c>
      <c r="O92" s="18">
        <f>_xlfn.XLOOKUP(CF_Gen_2[[#This Row],[ICG]],Assumptions[ICG],Assumptions[PME_Ratio])</f>
        <v>0</v>
      </c>
      <c r="P92" s="18">
        <f>_xlfn.XLOOKUP(CF_Gen_2[[#This Row],[ICG]],Assumptions[ICG],Assumptions[ULAE_Ratio])</f>
        <v>0</v>
      </c>
      <c r="Q92" s="18">
        <f>_xlfn.XLOOKUP(CF_Gen_2[[#This Row],[ICG]],Assumptions[ICG],Assumptions[Cancellation_Ratio])</f>
        <v>7.0000000000000007E-2</v>
      </c>
      <c r="R92" s="18">
        <f>_xlfn.XLOOKUP(CF_Gen_2[[#This Row],[ICG]],Assumptions[ICG],Assumptions[Premium_Refund_Ratio])</f>
        <v>0.5</v>
      </c>
      <c r="S92" s="18">
        <f>IF(CF_Gen_2[[#This Row],[Contract]]="RC",_xlfn.XLOOKUP(CF_Gen_2[[#This Row],[ICG]],Assumptions[ICG],Assumptions[NPR_Ratio]),0)</f>
        <v>2.8000000000000001E-2</v>
      </c>
      <c r="T92" s="17">
        <f>T91*(1-CF_Gen_2[[#This Row],[Cancellation_Ratio]])</f>
        <v>1.4570195190262997E-3</v>
      </c>
      <c r="U92" s="19">
        <f>IF(CF_Gen_2[[#This Row],[Incurred]]&lt;=CF_Gen_2[[#This Row],[Valuation]],CF_Gen_2[[#This Row],[Expected_Premium]],-CF_Gen_2[[#This Row],[Probability_of_Inforce]]*CF_Gen_2[[#This Row],[Premium_Refund_Ratio]]*CF_Gen_2[[#This Row],[Cancellation_Ratio]]*SUM(K92:K$105))</f>
        <v>5918.3807666296061</v>
      </c>
      <c r="V9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Row],[Cancellation_Ratio]]*SUM(L92:L$105))</f>
        <v>-1031.9114096914527</v>
      </c>
      <c r="W92" s="19">
        <f>CF_Gen_2[[#This Row],[Expected_Acquisition]]</f>
        <v>0</v>
      </c>
      <c r="X9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2" s="19">
        <f>-CF_Gen_2[[#This Row],[Probability_of_Inforce]]*CF_Gen_2[[#This Row],[Earned_Premium]]*(1-CF_Gen_2[[#This Row],[Cancellation_Ratio]])*CF_Gen_2[[#This Row],[Loss_Ratio]]</f>
        <v>24606.53838737532</v>
      </c>
      <c r="Z92" s="19">
        <f>CF_Gen_2[[#This Row],[Exp_Claim]]*CF_Gen_2[[#This Row],[Risk_Adjustment_Ratio]]</f>
        <v>3198.8499903587917</v>
      </c>
      <c r="AA92" s="19">
        <f>IF(CF_Gen_2[[#This Row],[Contract]]="RC",-CF_Gen_2[[#This Row],[NPR_Ratio]]*CF_Gen_2[[#This Row],[Exp_Claim]],0)</f>
        <v>-688.983074846509</v>
      </c>
      <c r="AB92" s="19">
        <f>SUMIFS(Actual_CF[Actual_Premium],Actual_CF[ICG],CF_Gen_2[[#This Row],[ICG]],Actual_CF[Incurred],CF_Gen_2[[#This Row],[Incurred]])</f>
        <v>0</v>
      </c>
      <c r="AC92" s="19">
        <f>SUMIFS(Actual_CF[Actual_Commission],Actual_CF[ICG],CF_Gen_2[[#This Row],[ICG]],Actual_CF[Incurred],CF_Gen_2[[#This Row],[Incurred]])</f>
        <v>0</v>
      </c>
      <c r="AD92" s="19">
        <f>SUMIFS(Actual_CF[Actual_Acquisition],Actual_CF[ICG],CF_Gen_2[[#This Row],[ICG]],Actual_CF[Incurred],CF_Gen_2[[#This Row],[Incurred]])</f>
        <v>0</v>
      </c>
    </row>
    <row r="93" spans="1:30">
      <c r="A93" t="str">
        <f t="shared" si="4"/>
        <v>#2024#RC-Property</v>
      </c>
      <c r="B93">
        <f>_xlfn.XLOOKUP(CF_Gen_2[[#This Row],[ICG]],ICG[ICG],ICG[Cohort])</f>
        <v>2024</v>
      </c>
      <c r="C93" t="str">
        <f>_xlfn.XLOOKUP(CF_Gen_2[[#This Row],[ICG]],ICG[ICG],ICG[Portfolio])</f>
        <v>RC-Property</v>
      </c>
      <c r="D93" t="str">
        <f>_xlfn.XLOOKUP(CF_Gen_2[[#This Row],[ICG]],ICG[ICG],ICG[Contract])</f>
        <v>RC</v>
      </c>
      <c r="E93" s="2">
        <f t="shared" si="3"/>
        <v>45930</v>
      </c>
      <c r="F93">
        <v>92</v>
      </c>
      <c r="G93" s="2">
        <f>EOMONTH(DATE(YEAR(CF_Gen_2[[#This Row],[Valuation]])-1,12,31),CF_Gen_2[[#This Row],['#Incurred]]*3)</f>
        <v>54057</v>
      </c>
      <c r="H93" s="14">
        <f>SUMIFS(Expected_CF[Expected_Premium],Expected_CF[ICG],CF_Gen_2[[#This Row],[ICG]],Expected_CF[Incurred],CF_Gen_2[[#This Row],[Incurred]])</f>
        <v>0</v>
      </c>
      <c r="I93" s="14">
        <f>SUMIFS(Expected_CF[Expected_Commission],Expected_CF[ICG],CF_Gen_2[[#This Row],[ICG]],Expected_CF[Incurred],CF_Gen_2[[#This Row],[Incurred]])</f>
        <v>0</v>
      </c>
      <c r="J93" s="14">
        <f>IF(CF_Gen_2[[#This Row],[Contract]]="IC",SUMIFS(Expected_CF[Expected_Acquisition],Expected_CF[ICG],CF_Gen_2[[#This Row],[ICG]],Expected_CF[Incurred],CF_Gen_2[[#This Row],[Incurred]]),0)</f>
        <v>0</v>
      </c>
      <c r="K93" s="14">
        <f>SUMIFS(Earned[Earned_Premium],Earned[ICG],CF_Gen_2[[#This Row],[ICG]],Earned[Incurred],CF_Gen_2[[#This Row],[Incurred]])</f>
        <v>-34134266.224372782</v>
      </c>
      <c r="L93" s="14">
        <f>SUMIFS(Earned[Earned_Commission],Earned[ICG],CF_Gen_2[[#This Row],[ICG]],Earned[Incurred],CF_Gen_2[[#This Row],[Incurred]])</f>
        <v>5781505.6694337195</v>
      </c>
      <c r="M93" s="18">
        <f>_xlfn.XLOOKUP(CF_Gen_2[[#This Row],[ICG]],Assumptions[ICG],Assumptions[Loss_Ratio])</f>
        <v>0.38</v>
      </c>
      <c r="N93" s="18">
        <f>_xlfn.XLOOKUP(CF_Gen_2[[#This Row],[ICG]],Assumptions[ICG],Assumptions[Risk_Adjustment_Ratio])</f>
        <v>0.13</v>
      </c>
      <c r="O93" s="18">
        <f>_xlfn.XLOOKUP(CF_Gen_2[[#This Row],[ICG]],Assumptions[ICG],Assumptions[PME_Ratio])</f>
        <v>0</v>
      </c>
      <c r="P93" s="18">
        <f>_xlfn.XLOOKUP(CF_Gen_2[[#This Row],[ICG]],Assumptions[ICG],Assumptions[ULAE_Ratio])</f>
        <v>0</v>
      </c>
      <c r="Q93" s="18">
        <f>_xlfn.XLOOKUP(CF_Gen_2[[#This Row],[ICG]],Assumptions[ICG],Assumptions[Cancellation_Ratio])</f>
        <v>7.0000000000000007E-2</v>
      </c>
      <c r="R93" s="18">
        <f>_xlfn.XLOOKUP(CF_Gen_2[[#This Row],[ICG]],Assumptions[ICG],Assumptions[Premium_Refund_Ratio])</f>
        <v>0.5</v>
      </c>
      <c r="S93" s="18">
        <f>IF(CF_Gen_2[[#This Row],[Contract]]="RC",_xlfn.XLOOKUP(CF_Gen_2[[#This Row],[ICG]],Assumptions[ICG],Assumptions[NPR_Ratio]),0)</f>
        <v>2.8000000000000001E-2</v>
      </c>
      <c r="T93" s="17">
        <f>T92*(1-CF_Gen_2[[#This Row],[Cancellation_Ratio]])</f>
        <v>1.3550281526944587E-3</v>
      </c>
      <c r="U93" s="19">
        <f>IF(CF_Gen_2[[#This Row],[Incurred]]&lt;=CF_Gen_2[[#This Row],[Valuation]],CF_Gen_2[[#This Row],[Expected_Premium]],-CF_Gen_2[[#This Row],[Probability_of_Inforce]]*CF_Gen_2[[#This Row],[Premium_Refund_Ratio]]*CF_Gen_2[[#This Row],[Cancellation_Ratio]]*SUM(K93:K$105))</f>
        <v>3237.7024193914904</v>
      </c>
      <c r="V9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Row],[Cancellation_Ratio]]*SUM(L93:L$105))</f>
        <v>-548.38720629317186</v>
      </c>
      <c r="W93" s="19">
        <f>CF_Gen_2[[#This Row],[Expected_Acquisition]]</f>
        <v>0</v>
      </c>
      <c r="X9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3" s="19">
        <f>-CF_Gen_2[[#This Row],[Probability_of_Inforce]]*CF_Gen_2[[#This Row],[Earned_Premium]]*(1-CF_Gen_2[[#This Row],[Cancellation_Ratio]])*CF_Gen_2[[#This Row],[Loss_Ratio]]</f>
        <v>16345.771928756463</v>
      </c>
      <c r="Z93" s="19">
        <f>CF_Gen_2[[#This Row],[Exp_Claim]]*CF_Gen_2[[#This Row],[Risk_Adjustment_Ratio]]</f>
        <v>2124.9503507383401</v>
      </c>
      <c r="AA93" s="19">
        <f>IF(CF_Gen_2[[#This Row],[Contract]]="RC",-CF_Gen_2[[#This Row],[NPR_Ratio]]*CF_Gen_2[[#This Row],[Exp_Claim]],0)</f>
        <v>-457.68161400518096</v>
      </c>
      <c r="AB93" s="19">
        <f>SUMIFS(Actual_CF[Actual_Premium],Actual_CF[ICG],CF_Gen_2[[#This Row],[ICG]],Actual_CF[Incurred],CF_Gen_2[[#This Row],[Incurred]])</f>
        <v>0</v>
      </c>
      <c r="AC93" s="19">
        <f>SUMIFS(Actual_CF[Actual_Commission],Actual_CF[ICG],CF_Gen_2[[#This Row],[ICG]],Actual_CF[Incurred],CF_Gen_2[[#This Row],[Incurred]])</f>
        <v>0</v>
      </c>
      <c r="AD93" s="19">
        <f>SUMIFS(Actual_CF[Actual_Acquisition],Actual_CF[ICG],CF_Gen_2[[#This Row],[ICG]],Actual_CF[Incurred],CF_Gen_2[[#This Row],[Incurred]])</f>
        <v>0</v>
      </c>
    </row>
    <row r="94" spans="1:30">
      <c r="A94" t="str">
        <f t="shared" si="4"/>
        <v>#2024#RC-Property</v>
      </c>
      <c r="B94">
        <f>_xlfn.XLOOKUP(CF_Gen_2[[#This Row],[ICG]],ICG[ICG],ICG[Cohort])</f>
        <v>2024</v>
      </c>
      <c r="C94" t="str">
        <f>_xlfn.XLOOKUP(CF_Gen_2[[#This Row],[ICG]],ICG[ICG],ICG[Portfolio])</f>
        <v>RC-Property</v>
      </c>
      <c r="D94" t="str">
        <f>_xlfn.XLOOKUP(CF_Gen_2[[#This Row],[ICG]],ICG[ICG],ICG[Contract])</f>
        <v>RC</v>
      </c>
      <c r="E94" s="2">
        <f t="shared" si="3"/>
        <v>45930</v>
      </c>
      <c r="F94">
        <v>93</v>
      </c>
      <c r="G94" s="2">
        <f>EOMONTH(DATE(YEAR(CF_Gen_2[[#This Row],[Valuation]])-1,12,31),CF_Gen_2[[#This Row],['#Incurred]]*3)</f>
        <v>54148</v>
      </c>
      <c r="H94" s="14">
        <f>SUMIFS(Expected_CF[Expected_Premium],Expected_CF[ICG],CF_Gen_2[[#This Row],[ICG]],Expected_CF[Incurred],CF_Gen_2[[#This Row],[Incurred]])</f>
        <v>0</v>
      </c>
      <c r="I94" s="14">
        <f>SUMIFS(Expected_CF[Expected_Commission],Expected_CF[ICG],CF_Gen_2[[#This Row],[ICG]],Expected_CF[Incurred],CF_Gen_2[[#This Row],[Incurred]])</f>
        <v>0</v>
      </c>
      <c r="J94" s="14">
        <f>IF(CF_Gen_2[[#This Row],[Contract]]="IC",SUMIFS(Expected_CF[Expected_Acquisition],Expected_CF[ICG],CF_Gen_2[[#This Row],[ICG]],Expected_CF[Incurred],CF_Gen_2[[#This Row],[Incurred]]),0)</f>
        <v>0</v>
      </c>
      <c r="K94" s="14">
        <f>SUMIFS(Earned[Earned_Premium],Earned[ICG],CF_Gen_2[[#This Row],[ICG]],Earned[Incurred],CF_Gen_2[[#This Row],[Incurred]])</f>
        <v>-20480559.734623674</v>
      </c>
      <c r="L94" s="14">
        <f>SUMIFS(Earned[Earned_Commission],Earned[ICG],CF_Gen_2[[#This Row],[ICG]],Earned[Incurred],CF_Gen_2[[#This Row],[Incurred]])</f>
        <v>3468903.4016602314</v>
      </c>
      <c r="M94" s="18">
        <f>_xlfn.XLOOKUP(CF_Gen_2[[#This Row],[ICG]],Assumptions[ICG],Assumptions[Loss_Ratio])</f>
        <v>0.38</v>
      </c>
      <c r="N94" s="18">
        <f>_xlfn.XLOOKUP(CF_Gen_2[[#This Row],[ICG]],Assumptions[ICG],Assumptions[Risk_Adjustment_Ratio])</f>
        <v>0.13</v>
      </c>
      <c r="O94" s="18">
        <f>_xlfn.XLOOKUP(CF_Gen_2[[#This Row],[ICG]],Assumptions[ICG],Assumptions[PME_Ratio])</f>
        <v>0</v>
      </c>
      <c r="P94" s="18">
        <f>_xlfn.XLOOKUP(CF_Gen_2[[#This Row],[ICG]],Assumptions[ICG],Assumptions[ULAE_Ratio])</f>
        <v>0</v>
      </c>
      <c r="Q94" s="18">
        <f>_xlfn.XLOOKUP(CF_Gen_2[[#This Row],[ICG]],Assumptions[ICG],Assumptions[Cancellation_Ratio])</f>
        <v>7.0000000000000007E-2</v>
      </c>
      <c r="R94" s="18">
        <f>_xlfn.XLOOKUP(CF_Gen_2[[#This Row],[ICG]],Assumptions[ICG],Assumptions[Premium_Refund_Ratio])</f>
        <v>0.5</v>
      </c>
      <c r="S94" s="18">
        <f>IF(CF_Gen_2[[#This Row],[Contract]]="RC",_xlfn.XLOOKUP(CF_Gen_2[[#This Row],[ICG]],Assumptions[ICG],Assumptions[NPR_Ratio]),0)</f>
        <v>2.8000000000000001E-2</v>
      </c>
      <c r="T94" s="17">
        <f>T93*(1-CF_Gen_2[[#This Row],[Cancellation_Ratio]])</f>
        <v>1.2601761820058466E-3</v>
      </c>
      <c r="U94" s="19">
        <f>IF(CF_Gen_2[[#This Row],[Incurred]]&lt;=CF_Gen_2[[#This Row],[Valuation]],CF_Gen_2[[#This Row],[Expected_Premium]],-CF_Gen_2[[#This Row],[Probability_of_Inforce]]*CF_Gen_2[[#This Row],[Premium_Refund_Ratio]]*CF_Gen_2[[#This Row],[Cancellation_Ratio]]*SUM(K94:K$105))</f>
        <v>1505.5316250170431</v>
      </c>
      <c r="V9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Row],[Cancellation_Ratio]]*SUM(L94:L$105))</f>
        <v>-255.00005092632492</v>
      </c>
      <c r="W94" s="19">
        <f>CF_Gen_2[[#This Row],[Expected_Acquisition]]</f>
        <v>0</v>
      </c>
      <c r="X9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4" s="19">
        <f>-CF_Gen_2[[#This Row],[Probability_of_Inforce]]*CF_Gen_2[[#This Row],[Earned_Premium]]*(1-CF_Gen_2[[#This Row],[Cancellation_Ratio]])*CF_Gen_2[[#This Row],[Loss_Ratio]]</f>
        <v>9120.9407362461079</v>
      </c>
      <c r="Z94" s="19">
        <f>CF_Gen_2[[#This Row],[Exp_Claim]]*CF_Gen_2[[#This Row],[Risk_Adjustment_Ratio]]</f>
        <v>1185.7222957119941</v>
      </c>
      <c r="AA94" s="19">
        <f>IF(CF_Gen_2[[#This Row],[Contract]]="RC",-CF_Gen_2[[#This Row],[NPR_Ratio]]*CF_Gen_2[[#This Row],[Exp_Claim]],0)</f>
        <v>-255.38634061489103</v>
      </c>
      <c r="AB94" s="19">
        <f>SUMIFS(Actual_CF[Actual_Premium],Actual_CF[ICG],CF_Gen_2[[#This Row],[ICG]],Actual_CF[Incurred],CF_Gen_2[[#This Row],[Incurred]])</f>
        <v>0</v>
      </c>
      <c r="AC94" s="19">
        <f>SUMIFS(Actual_CF[Actual_Commission],Actual_CF[ICG],CF_Gen_2[[#This Row],[ICG]],Actual_CF[Incurred],CF_Gen_2[[#This Row],[Incurred]])</f>
        <v>0</v>
      </c>
      <c r="AD94" s="19">
        <f>SUMIFS(Actual_CF[Actual_Acquisition],Actual_CF[ICG],CF_Gen_2[[#This Row],[ICG]],Actual_CF[Incurred],CF_Gen_2[[#This Row],[Incurred]])</f>
        <v>0</v>
      </c>
    </row>
    <row r="95" spans="1:30">
      <c r="A95" t="str">
        <f t="shared" si="4"/>
        <v>#2024#RC-Property</v>
      </c>
      <c r="B95">
        <f>_xlfn.XLOOKUP(CF_Gen_2[[#This Row],[ICG]],ICG[ICG],ICG[Cohort])</f>
        <v>2024</v>
      </c>
      <c r="C95" t="str">
        <f>_xlfn.XLOOKUP(CF_Gen_2[[#This Row],[ICG]],ICG[ICG],ICG[Portfolio])</f>
        <v>RC-Property</v>
      </c>
      <c r="D95" t="str">
        <f>_xlfn.XLOOKUP(CF_Gen_2[[#This Row],[ICG]],ICG[ICG],ICG[Contract])</f>
        <v>RC</v>
      </c>
      <c r="E95" s="2">
        <f t="shared" si="3"/>
        <v>45930</v>
      </c>
      <c r="F95">
        <v>94</v>
      </c>
      <c r="G95" s="2">
        <f>EOMONTH(DATE(YEAR(CF_Gen_2[[#This Row],[Valuation]])-1,12,31),CF_Gen_2[[#This Row],['#Incurred]]*3)</f>
        <v>54239</v>
      </c>
      <c r="H95" s="14">
        <f>SUMIFS(Expected_CF[Expected_Premium],Expected_CF[ICG],CF_Gen_2[[#This Row],[ICG]],Expected_CF[Incurred],CF_Gen_2[[#This Row],[Incurred]])</f>
        <v>0</v>
      </c>
      <c r="I95" s="14">
        <f>SUMIFS(Expected_CF[Expected_Commission],Expected_CF[ICG],CF_Gen_2[[#This Row],[ICG]],Expected_CF[Incurred],CF_Gen_2[[#This Row],[Incurred]])</f>
        <v>0</v>
      </c>
      <c r="J95" s="14">
        <f>IF(CF_Gen_2[[#This Row],[Contract]]="IC",SUMIFS(Expected_CF[Expected_Acquisition],Expected_CF[ICG],CF_Gen_2[[#This Row],[ICG]],Expected_CF[Incurred],CF_Gen_2[[#This Row],[Incurred]]),0)</f>
        <v>0</v>
      </c>
      <c r="K95" s="14">
        <f>SUMIFS(Earned[Earned_Premium],Earned[ICG],CF_Gen_2[[#This Row],[ICG]],Earned[Incurred],CF_Gen_2[[#This Row],[Incurred]])</f>
        <v>-10240279.867311837</v>
      </c>
      <c r="L95" s="14">
        <f>SUMIFS(Earned[Earned_Commission],Earned[ICG],CF_Gen_2[[#This Row],[ICG]],Earned[Incurred],CF_Gen_2[[#This Row],[Incurred]])</f>
        <v>1734451.7008301157</v>
      </c>
      <c r="M95" s="18">
        <f>_xlfn.XLOOKUP(CF_Gen_2[[#This Row],[ICG]],Assumptions[ICG],Assumptions[Loss_Ratio])</f>
        <v>0.38</v>
      </c>
      <c r="N95" s="18">
        <f>_xlfn.XLOOKUP(CF_Gen_2[[#This Row],[ICG]],Assumptions[ICG],Assumptions[Risk_Adjustment_Ratio])</f>
        <v>0.13</v>
      </c>
      <c r="O95" s="18">
        <f>_xlfn.XLOOKUP(CF_Gen_2[[#This Row],[ICG]],Assumptions[ICG],Assumptions[PME_Ratio])</f>
        <v>0</v>
      </c>
      <c r="P95" s="18">
        <f>_xlfn.XLOOKUP(CF_Gen_2[[#This Row],[ICG]],Assumptions[ICG],Assumptions[ULAE_Ratio])</f>
        <v>0</v>
      </c>
      <c r="Q95" s="18">
        <f>_xlfn.XLOOKUP(CF_Gen_2[[#This Row],[ICG]],Assumptions[ICG],Assumptions[Cancellation_Ratio])</f>
        <v>7.0000000000000007E-2</v>
      </c>
      <c r="R95" s="18">
        <f>_xlfn.XLOOKUP(CF_Gen_2[[#This Row],[ICG]],Assumptions[ICG],Assumptions[Premium_Refund_Ratio])</f>
        <v>0.5</v>
      </c>
      <c r="S95" s="18">
        <f>IF(CF_Gen_2[[#This Row],[Contract]]="RC",_xlfn.XLOOKUP(CF_Gen_2[[#This Row],[ICG]],Assumptions[ICG],Assumptions[NPR_Ratio]),0)</f>
        <v>2.8000000000000001E-2</v>
      </c>
      <c r="T95" s="17">
        <f>T94*(1-CF_Gen_2[[#This Row],[Cancellation_Ratio]])</f>
        <v>1.1719638492654373E-3</v>
      </c>
      <c r="U95" s="19">
        <f>IF(CF_Gen_2[[#This Row],[Incurred]]&lt;=CF_Gen_2[[#This Row],[Valuation]],CF_Gen_2[[#This Row],[Expected_Premium]],-CF_Gen_2[[#This Row],[Probability_of_Inforce]]*CF_Gen_2[[#This Row],[Premium_Refund_Ratio]]*CF_Gen_2[[#This Row],[Cancellation_Ratio]]*SUM(K95:K$105))</f>
        <v>560.05776450634005</v>
      </c>
      <c r="V9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Row],[Cancellation_Ratio]]*SUM(L95:L$105))</f>
        <v>-94.860018944592881</v>
      </c>
      <c r="W95" s="19">
        <f>CF_Gen_2[[#This Row],[Expected_Acquisition]]</f>
        <v>0</v>
      </c>
      <c r="X9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5" s="19">
        <f>-CF_Gen_2[[#This Row],[Probability_of_Inforce]]*CF_Gen_2[[#This Row],[Earned_Premium]]*(1-CF_Gen_2[[#This Row],[Cancellation_Ratio]])*CF_Gen_2[[#This Row],[Loss_Ratio]]</f>
        <v>4241.2374423544397</v>
      </c>
      <c r="Z95" s="19">
        <f>CF_Gen_2[[#This Row],[Exp_Claim]]*CF_Gen_2[[#This Row],[Risk_Adjustment_Ratio]]</f>
        <v>551.36086750607717</v>
      </c>
      <c r="AA95" s="19">
        <f>IF(CF_Gen_2[[#This Row],[Contract]]="RC",-CF_Gen_2[[#This Row],[NPR_Ratio]]*CF_Gen_2[[#This Row],[Exp_Claim]],0)</f>
        <v>-118.75464838592431</v>
      </c>
      <c r="AB95" s="19">
        <f>SUMIFS(Actual_CF[Actual_Premium],Actual_CF[ICG],CF_Gen_2[[#This Row],[ICG]],Actual_CF[Incurred],CF_Gen_2[[#This Row],[Incurred]])</f>
        <v>0</v>
      </c>
      <c r="AC95" s="19">
        <f>SUMIFS(Actual_CF[Actual_Commission],Actual_CF[ICG],CF_Gen_2[[#This Row],[ICG]],Actual_CF[Incurred],CF_Gen_2[[#This Row],[Incurred]])</f>
        <v>0</v>
      </c>
      <c r="AD95" s="19">
        <f>SUMIFS(Actual_CF[Actual_Acquisition],Actual_CF[ICG],CF_Gen_2[[#This Row],[ICG]],Actual_CF[Incurred],CF_Gen_2[[#This Row],[Incurred]])</f>
        <v>0</v>
      </c>
    </row>
    <row r="96" spans="1:30">
      <c r="A96" t="str">
        <f t="shared" si="4"/>
        <v>#2024#RC-Property</v>
      </c>
      <c r="B96">
        <f>_xlfn.XLOOKUP(CF_Gen_2[[#This Row],[ICG]],ICG[ICG],ICG[Cohort])</f>
        <v>2024</v>
      </c>
      <c r="C96" t="str">
        <f>_xlfn.XLOOKUP(CF_Gen_2[[#This Row],[ICG]],ICG[ICG],ICG[Portfolio])</f>
        <v>RC-Property</v>
      </c>
      <c r="D96" t="str">
        <f>_xlfn.XLOOKUP(CF_Gen_2[[#This Row],[ICG]],ICG[ICG],ICG[Contract])</f>
        <v>RC</v>
      </c>
      <c r="E96" s="2">
        <f t="shared" si="3"/>
        <v>45930</v>
      </c>
      <c r="F96">
        <v>95</v>
      </c>
      <c r="G96" s="2">
        <f>EOMONTH(DATE(YEAR(CF_Gen_2[[#This Row],[Valuation]])-1,12,31),CF_Gen_2[[#This Row],['#Incurred]]*3)</f>
        <v>54331</v>
      </c>
      <c r="H96" s="14">
        <f>SUMIFS(Expected_CF[Expected_Premium],Expected_CF[ICG],CF_Gen_2[[#This Row],[ICG]],Expected_CF[Incurred],CF_Gen_2[[#This Row],[Incurred]])</f>
        <v>0</v>
      </c>
      <c r="I96" s="14">
        <f>SUMIFS(Expected_CF[Expected_Commission],Expected_CF[ICG],CF_Gen_2[[#This Row],[ICG]],Expected_CF[Incurred],CF_Gen_2[[#This Row],[Incurred]])</f>
        <v>0</v>
      </c>
      <c r="J96" s="14">
        <f>IF(CF_Gen_2[[#This Row],[Contract]]="IC",SUMIFS(Expected_CF[Expected_Acquisition],Expected_CF[ICG],CF_Gen_2[[#This Row],[ICG]],Expected_CF[Incurred],CF_Gen_2[[#This Row],[Incurred]]),0)</f>
        <v>0</v>
      </c>
      <c r="K96" s="14">
        <f>SUMIFS(Earned[Earned_Premium],Earned[ICG],CF_Gen_2[[#This Row],[ICG]],Earned[Incurred],CF_Gen_2[[#This Row],[Incurred]])</f>
        <v>-3413426.6224372783</v>
      </c>
      <c r="L96" s="14">
        <f>SUMIFS(Earned[Earned_Commission],Earned[ICG],CF_Gen_2[[#This Row],[ICG]],Earned[Incurred],CF_Gen_2[[#This Row],[Incurred]])</f>
        <v>578150.56694337202</v>
      </c>
      <c r="M96" s="18">
        <f>_xlfn.XLOOKUP(CF_Gen_2[[#This Row],[ICG]],Assumptions[ICG],Assumptions[Loss_Ratio])</f>
        <v>0.38</v>
      </c>
      <c r="N96" s="18">
        <f>_xlfn.XLOOKUP(CF_Gen_2[[#This Row],[ICG]],Assumptions[ICG],Assumptions[Risk_Adjustment_Ratio])</f>
        <v>0.13</v>
      </c>
      <c r="O96" s="18">
        <f>_xlfn.XLOOKUP(CF_Gen_2[[#This Row],[ICG]],Assumptions[ICG],Assumptions[PME_Ratio])</f>
        <v>0</v>
      </c>
      <c r="P96" s="18">
        <f>_xlfn.XLOOKUP(CF_Gen_2[[#This Row],[ICG]],Assumptions[ICG],Assumptions[ULAE_Ratio])</f>
        <v>0</v>
      </c>
      <c r="Q96" s="18">
        <f>_xlfn.XLOOKUP(CF_Gen_2[[#This Row],[ICG]],Assumptions[ICG],Assumptions[Cancellation_Ratio])</f>
        <v>7.0000000000000007E-2</v>
      </c>
      <c r="R96" s="18">
        <f>_xlfn.XLOOKUP(CF_Gen_2[[#This Row],[ICG]],Assumptions[ICG],Assumptions[Premium_Refund_Ratio])</f>
        <v>0.5</v>
      </c>
      <c r="S96" s="18">
        <f>IF(CF_Gen_2[[#This Row],[Contract]]="RC",_xlfn.XLOOKUP(CF_Gen_2[[#This Row],[ICG]],Assumptions[ICG],Assumptions[NPR_Ratio]),0)</f>
        <v>2.8000000000000001E-2</v>
      </c>
      <c r="T96" s="17">
        <f>T95*(1-CF_Gen_2[[#This Row],[Cancellation_Ratio]])</f>
        <v>1.0899263798168565E-3</v>
      </c>
      <c r="U96" s="19">
        <f>IF(CF_Gen_2[[#This Row],[Incurred]]&lt;=CF_Gen_2[[#This Row],[Valuation]],CF_Gen_2[[#This Row],[Expected_Premium]],-CF_Gen_2[[#This Row],[Probability_of_Inforce]]*CF_Gen_2[[#This Row],[Premium_Refund_Ratio]]*CF_Gen_2[[#This Row],[Cancellation_Ratio]]*SUM(K96:K$105))</f>
        <v>130.21343024772401</v>
      </c>
      <c r="V96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Row],[Cancellation_Ratio]]*SUM(L96:L$105))</f>
        <v>-22.054954404617845</v>
      </c>
      <c r="W96" s="19">
        <f>CF_Gen_2[[#This Row],[Expected_Acquisition]]</f>
        <v>0</v>
      </c>
      <c r="X96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6" s="19">
        <f>-CF_Gen_2[[#This Row],[Probability_of_Inforce]]*CF_Gen_2[[#This Row],[Earned_Premium]]*(1-CF_Gen_2[[#This Row],[Cancellation_Ratio]])*CF_Gen_2[[#This Row],[Loss_Ratio]]</f>
        <v>1314.7836071298759</v>
      </c>
      <c r="Z96" s="19">
        <f>CF_Gen_2[[#This Row],[Exp_Claim]]*CF_Gen_2[[#This Row],[Risk_Adjustment_Ratio]]</f>
        <v>170.92186892688389</v>
      </c>
      <c r="AA96" s="19">
        <f>IF(CF_Gen_2[[#This Row],[Contract]]="RC",-CF_Gen_2[[#This Row],[NPR_Ratio]]*CF_Gen_2[[#This Row],[Exp_Claim]],0)</f>
        <v>-36.813940999636529</v>
      </c>
      <c r="AB96" s="19">
        <f>SUMIFS(Actual_CF[Actual_Premium],Actual_CF[ICG],CF_Gen_2[[#This Row],[ICG]],Actual_CF[Incurred],CF_Gen_2[[#This Row],[Incurred]])</f>
        <v>0</v>
      </c>
      <c r="AC96" s="19">
        <f>SUMIFS(Actual_CF[Actual_Commission],Actual_CF[ICG],CF_Gen_2[[#This Row],[ICG]],Actual_CF[Incurred],CF_Gen_2[[#This Row],[Incurred]])</f>
        <v>0</v>
      </c>
      <c r="AD96" s="19">
        <f>SUMIFS(Actual_CF[Actual_Acquisition],Actual_CF[ICG],CF_Gen_2[[#This Row],[ICG]],Actual_CF[Incurred],CF_Gen_2[[#This Row],[Incurred]])</f>
        <v>0</v>
      </c>
    </row>
    <row r="97" spans="1:30">
      <c r="A97" t="str">
        <f t="shared" si="4"/>
        <v>#2024#RC-Property</v>
      </c>
      <c r="B97">
        <f>_xlfn.XLOOKUP(CF_Gen_2[[#This Row],[ICG]],ICG[ICG],ICG[Cohort])</f>
        <v>2024</v>
      </c>
      <c r="C97" t="str">
        <f>_xlfn.XLOOKUP(CF_Gen_2[[#This Row],[ICG]],ICG[ICG],ICG[Portfolio])</f>
        <v>RC-Property</v>
      </c>
      <c r="D97" t="str">
        <f>_xlfn.XLOOKUP(CF_Gen_2[[#This Row],[ICG]],ICG[ICG],ICG[Contract])</f>
        <v>RC</v>
      </c>
      <c r="E97" s="2">
        <f t="shared" si="3"/>
        <v>45930</v>
      </c>
      <c r="F97">
        <v>96</v>
      </c>
      <c r="G97" s="2">
        <f>EOMONTH(DATE(YEAR(CF_Gen_2[[#This Row],[Valuation]])-1,12,31),CF_Gen_2[[#This Row],['#Incurred]]*3)</f>
        <v>54423</v>
      </c>
      <c r="H97" s="14">
        <f>SUMIFS(Expected_CF[Expected_Premium],Expected_CF[ICG],CF_Gen_2[[#This Row],[ICG]],Expected_CF[Incurred],CF_Gen_2[[#This Row],[Incurred]])</f>
        <v>0</v>
      </c>
      <c r="I97" s="14">
        <f>SUMIFS(Expected_CF[Expected_Commission],Expected_CF[ICG],CF_Gen_2[[#This Row],[ICG]],Expected_CF[Incurred],CF_Gen_2[[#This Row],[Incurred]])</f>
        <v>0</v>
      </c>
      <c r="J97" s="14">
        <f>IF(CF_Gen_2[[#This Row],[Contract]]="IC",SUMIFS(Expected_CF[Expected_Acquisition],Expected_CF[ICG],CF_Gen_2[[#This Row],[ICG]],Expected_CF[Incurred],CF_Gen_2[[#This Row],[Incurred]]),0)</f>
        <v>0</v>
      </c>
      <c r="K97" s="14">
        <f>SUMIFS(Earned[Earned_Premium],Earned[ICG],CF_Gen_2[[#This Row],[ICG]],Earned[Incurred],CF_Gen_2[[#This Row],[Incurred]])</f>
        <v>0</v>
      </c>
      <c r="L97" s="14">
        <f>SUMIFS(Earned[Earned_Commission],Earned[ICG],CF_Gen_2[[#This Row],[ICG]],Earned[Incurred],CF_Gen_2[[#This Row],[Incurred]])</f>
        <v>0</v>
      </c>
      <c r="M97" s="18">
        <f>_xlfn.XLOOKUP(CF_Gen_2[[#This Row],[ICG]],Assumptions[ICG],Assumptions[Loss_Ratio])</f>
        <v>0.38</v>
      </c>
      <c r="N97" s="18">
        <f>_xlfn.XLOOKUP(CF_Gen_2[[#This Row],[ICG]],Assumptions[ICG],Assumptions[Risk_Adjustment_Ratio])</f>
        <v>0.13</v>
      </c>
      <c r="O97" s="18">
        <f>_xlfn.XLOOKUP(CF_Gen_2[[#This Row],[ICG]],Assumptions[ICG],Assumptions[PME_Ratio])</f>
        <v>0</v>
      </c>
      <c r="P97" s="18">
        <f>_xlfn.XLOOKUP(CF_Gen_2[[#This Row],[ICG]],Assumptions[ICG],Assumptions[ULAE_Ratio])</f>
        <v>0</v>
      </c>
      <c r="Q97" s="18">
        <f>_xlfn.XLOOKUP(CF_Gen_2[[#This Row],[ICG]],Assumptions[ICG],Assumptions[Cancellation_Ratio])</f>
        <v>7.0000000000000007E-2</v>
      </c>
      <c r="R97" s="18">
        <f>_xlfn.XLOOKUP(CF_Gen_2[[#This Row],[ICG]],Assumptions[ICG],Assumptions[Premium_Refund_Ratio])</f>
        <v>0.5</v>
      </c>
      <c r="S97" s="18">
        <f>IF(CF_Gen_2[[#This Row],[Contract]]="RC",_xlfn.XLOOKUP(CF_Gen_2[[#This Row],[ICG]],Assumptions[ICG],Assumptions[NPR_Ratio]),0)</f>
        <v>2.8000000000000001E-2</v>
      </c>
      <c r="T97" s="17">
        <f>T96*(1-CF_Gen_2[[#This Row],[Cancellation_Ratio]])</f>
        <v>1.0136315332296764E-3</v>
      </c>
      <c r="U97" s="19">
        <f>IF(CF_Gen_2[[#This Row],[Incurred]]&lt;=CF_Gen_2[[#This Row],[Valuation]],CF_Gen_2[[#This Row],[Expected_Premium]],-CF_Gen_2[[#This Row],[Probability_of_Inforce]]*CF_Gen_2[[#This Row],[Premium_Refund_Ratio]]*CF_Gen_2[[#This Row],[Cancellation_Ratio]]*SUM(K97:K$105))</f>
        <v>0</v>
      </c>
      <c r="V97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Row],[Cancellation_Ratio]]*SUM(L97:L$105))</f>
        <v>0</v>
      </c>
      <c r="W97" s="19">
        <f>CF_Gen_2[[#This Row],[Expected_Acquisition]]</f>
        <v>0</v>
      </c>
      <c r="X97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7" s="19">
        <f>-CF_Gen_2[[#This Row],[Probability_of_Inforce]]*CF_Gen_2[[#This Row],[Earned_Premium]]*(1-CF_Gen_2[[#This Row],[Cancellation_Ratio]])*CF_Gen_2[[#This Row],[Loss_Ratio]]</f>
        <v>0</v>
      </c>
      <c r="Z97" s="19">
        <f>CF_Gen_2[[#This Row],[Exp_Claim]]*CF_Gen_2[[#This Row],[Risk_Adjustment_Ratio]]</f>
        <v>0</v>
      </c>
      <c r="AA97" s="19">
        <f>IF(CF_Gen_2[[#This Row],[Contract]]="RC",-CF_Gen_2[[#This Row],[NPR_Ratio]]*CF_Gen_2[[#This Row],[Exp_Claim]],0)</f>
        <v>0</v>
      </c>
      <c r="AB97" s="19">
        <f>SUMIFS(Actual_CF[Actual_Premium],Actual_CF[ICG],CF_Gen_2[[#This Row],[ICG]],Actual_CF[Incurred],CF_Gen_2[[#This Row],[Incurred]])</f>
        <v>0</v>
      </c>
      <c r="AC97" s="19">
        <f>SUMIFS(Actual_CF[Actual_Commission],Actual_CF[ICG],CF_Gen_2[[#This Row],[ICG]],Actual_CF[Incurred],CF_Gen_2[[#This Row],[Incurred]])</f>
        <v>0</v>
      </c>
      <c r="AD97" s="19">
        <f>SUMIFS(Actual_CF[Actual_Acquisition],Actual_CF[ICG],CF_Gen_2[[#This Row],[ICG]],Actual_CF[Incurred],CF_Gen_2[[#This Row],[Incurred]])</f>
        <v>0</v>
      </c>
    </row>
    <row r="98" spans="1:30">
      <c r="A98" t="str">
        <f t="shared" si="4"/>
        <v>#2024#RC-Property</v>
      </c>
      <c r="B98">
        <f>_xlfn.XLOOKUP(CF_Gen_2[[#This Row],[ICG]],ICG[ICG],ICG[Cohort])</f>
        <v>2024</v>
      </c>
      <c r="C98" t="str">
        <f>_xlfn.XLOOKUP(CF_Gen_2[[#This Row],[ICG]],ICG[ICG],ICG[Portfolio])</f>
        <v>RC-Property</v>
      </c>
      <c r="D98" t="str">
        <f>_xlfn.XLOOKUP(CF_Gen_2[[#This Row],[ICG]],ICG[ICG],ICG[Contract])</f>
        <v>RC</v>
      </c>
      <c r="E98" s="2">
        <f t="shared" si="3"/>
        <v>45930</v>
      </c>
      <c r="F98">
        <v>97</v>
      </c>
      <c r="G98" s="2">
        <f>EOMONTH(DATE(YEAR(CF_Gen_2[[#This Row],[Valuation]])-1,12,31),CF_Gen_2[[#This Row],['#Incurred]]*3)</f>
        <v>54513</v>
      </c>
      <c r="H98" s="14">
        <f>SUMIFS(Expected_CF[Expected_Premium],Expected_CF[ICG],CF_Gen_2[[#This Row],[ICG]],Expected_CF[Incurred],CF_Gen_2[[#This Row],[Incurred]])</f>
        <v>0</v>
      </c>
      <c r="I98" s="14">
        <f>SUMIFS(Expected_CF[Expected_Commission],Expected_CF[ICG],CF_Gen_2[[#This Row],[ICG]],Expected_CF[Incurred],CF_Gen_2[[#This Row],[Incurred]])</f>
        <v>0</v>
      </c>
      <c r="J98" s="14">
        <f>IF(CF_Gen_2[[#This Row],[Contract]]="IC",SUMIFS(Expected_CF[Expected_Acquisition],Expected_CF[ICG],CF_Gen_2[[#This Row],[ICG]],Expected_CF[Incurred],CF_Gen_2[[#This Row],[Incurred]]),0)</f>
        <v>0</v>
      </c>
      <c r="K98" s="14">
        <f>SUMIFS(Earned[Earned_Premium],Earned[ICG],CF_Gen_2[[#This Row],[ICG]],Earned[Incurred],CF_Gen_2[[#This Row],[Incurred]])</f>
        <v>0</v>
      </c>
      <c r="L98" s="14">
        <f>SUMIFS(Earned[Earned_Commission],Earned[ICG],CF_Gen_2[[#This Row],[ICG]],Earned[Incurred],CF_Gen_2[[#This Row],[Incurred]])</f>
        <v>0</v>
      </c>
      <c r="M98" s="18">
        <f>_xlfn.XLOOKUP(CF_Gen_2[[#This Row],[ICG]],Assumptions[ICG],Assumptions[Loss_Ratio])</f>
        <v>0.38</v>
      </c>
      <c r="N98" s="18">
        <f>_xlfn.XLOOKUP(CF_Gen_2[[#This Row],[ICG]],Assumptions[ICG],Assumptions[Risk_Adjustment_Ratio])</f>
        <v>0.13</v>
      </c>
      <c r="O98" s="18">
        <f>_xlfn.XLOOKUP(CF_Gen_2[[#This Row],[ICG]],Assumptions[ICG],Assumptions[PME_Ratio])</f>
        <v>0</v>
      </c>
      <c r="P98" s="18">
        <f>_xlfn.XLOOKUP(CF_Gen_2[[#This Row],[ICG]],Assumptions[ICG],Assumptions[ULAE_Ratio])</f>
        <v>0</v>
      </c>
      <c r="Q98" s="18">
        <f>_xlfn.XLOOKUP(CF_Gen_2[[#This Row],[ICG]],Assumptions[ICG],Assumptions[Cancellation_Ratio])</f>
        <v>7.0000000000000007E-2</v>
      </c>
      <c r="R98" s="18">
        <f>_xlfn.XLOOKUP(CF_Gen_2[[#This Row],[ICG]],Assumptions[ICG],Assumptions[Premium_Refund_Ratio])</f>
        <v>0.5</v>
      </c>
      <c r="S98" s="18">
        <f>IF(CF_Gen_2[[#This Row],[Contract]]="RC",_xlfn.XLOOKUP(CF_Gen_2[[#This Row],[ICG]],Assumptions[ICG],Assumptions[NPR_Ratio]),0)</f>
        <v>2.8000000000000001E-2</v>
      </c>
      <c r="T98" s="17">
        <f>T97*(1-CF_Gen_2[[#This Row],[Cancellation_Ratio]])</f>
        <v>9.4267732590359898E-4</v>
      </c>
      <c r="U98" s="19">
        <f>IF(CF_Gen_2[[#This Row],[Incurred]]&lt;=CF_Gen_2[[#This Row],[Valuation]],CF_Gen_2[[#This Row],[Expected_Premium]],-CF_Gen_2[[#This Row],[Probability_of_Inforce]]*CF_Gen_2[[#This Row],[Premium_Refund_Ratio]]*CF_Gen_2[[#This Row],[Cancellation_Ratio]]*SUM(K98:K$105))</f>
        <v>0</v>
      </c>
      <c r="V98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Row],[Cancellation_Ratio]]*SUM(L98:L$105))</f>
        <v>0</v>
      </c>
      <c r="W98" s="19">
        <f>CF_Gen_2[[#This Row],[Expected_Acquisition]]</f>
        <v>0</v>
      </c>
      <c r="X98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8" s="19">
        <f>-CF_Gen_2[[#This Row],[Probability_of_Inforce]]*CF_Gen_2[[#This Row],[Earned_Premium]]*(1-CF_Gen_2[[#This Row],[Cancellation_Ratio]])*CF_Gen_2[[#This Row],[Loss_Ratio]]</f>
        <v>0</v>
      </c>
      <c r="Z98" s="19">
        <f>CF_Gen_2[[#This Row],[Exp_Claim]]*CF_Gen_2[[#This Row],[Risk_Adjustment_Ratio]]</f>
        <v>0</v>
      </c>
      <c r="AA98" s="19">
        <f>IF(CF_Gen_2[[#This Row],[Contract]]="RC",-CF_Gen_2[[#This Row],[NPR_Ratio]]*CF_Gen_2[[#This Row],[Exp_Claim]],0)</f>
        <v>0</v>
      </c>
      <c r="AB98" s="19">
        <f>SUMIFS(Actual_CF[Actual_Premium],Actual_CF[ICG],CF_Gen_2[[#This Row],[ICG]],Actual_CF[Incurred],CF_Gen_2[[#This Row],[Incurred]])</f>
        <v>0</v>
      </c>
      <c r="AC98" s="19">
        <f>SUMIFS(Actual_CF[Actual_Commission],Actual_CF[ICG],CF_Gen_2[[#This Row],[ICG]],Actual_CF[Incurred],CF_Gen_2[[#This Row],[Incurred]])</f>
        <v>0</v>
      </c>
      <c r="AD98" s="19">
        <f>SUMIFS(Actual_CF[Actual_Acquisition],Actual_CF[ICG],CF_Gen_2[[#This Row],[ICG]],Actual_CF[Incurred],CF_Gen_2[[#This Row],[Incurred]])</f>
        <v>0</v>
      </c>
    </row>
    <row r="99" spans="1:30">
      <c r="A99" t="str">
        <f t="shared" si="4"/>
        <v>#2024#RC-Property</v>
      </c>
      <c r="B99">
        <f>_xlfn.XLOOKUP(CF_Gen_2[[#This Row],[ICG]],ICG[ICG],ICG[Cohort])</f>
        <v>2024</v>
      </c>
      <c r="C99" t="str">
        <f>_xlfn.XLOOKUP(CF_Gen_2[[#This Row],[ICG]],ICG[ICG],ICG[Portfolio])</f>
        <v>RC-Property</v>
      </c>
      <c r="D99" t="str">
        <f>_xlfn.XLOOKUP(CF_Gen_2[[#This Row],[ICG]],ICG[ICG],ICG[Contract])</f>
        <v>RC</v>
      </c>
      <c r="E99" s="2">
        <f t="shared" si="3"/>
        <v>45930</v>
      </c>
      <c r="F99">
        <v>98</v>
      </c>
      <c r="G99" s="2">
        <f>EOMONTH(DATE(YEAR(CF_Gen_2[[#This Row],[Valuation]])-1,12,31),CF_Gen_2[[#This Row],['#Incurred]]*3)</f>
        <v>54604</v>
      </c>
      <c r="H99" s="14">
        <f>SUMIFS(Expected_CF[Expected_Premium],Expected_CF[ICG],CF_Gen_2[[#This Row],[ICG]],Expected_CF[Incurred],CF_Gen_2[[#This Row],[Incurred]])</f>
        <v>0</v>
      </c>
      <c r="I99" s="14">
        <f>SUMIFS(Expected_CF[Expected_Commission],Expected_CF[ICG],CF_Gen_2[[#This Row],[ICG]],Expected_CF[Incurred],CF_Gen_2[[#This Row],[Incurred]])</f>
        <v>0</v>
      </c>
      <c r="J99" s="14">
        <f>IF(CF_Gen_2[[#This Row],[Contract]]="IC",SUMIFS(Expected_CF[Expected_Acquisition],Expected_CF[ICG],CF_Gen_2[[#This Row],[ICG]],Expected_CF[Incurred],CF_Gen_2[[#This Row],[Incurred]]),0)</f>
        <v>0</v>
      </c>
      <c r="K99" s="14">
        <f>SUMIFS(Earned[Earned_Premium],Earned[ICG],CF_Gen_2[[#This Row],[ICG]],Earned[Incurred],CF_Gen_2[[#This Row],[Incurred]])</f>
        <v>0</v>
      </c>
      <c r="L99" s="14">
        <f>SUMIFS(Earned[Earned_Commission],Earned[ICG],CF_Gen_2[[#This Row],[ICG]],Earned[Incurred],CF_Gen_2[[#This Row],[Incurred]])</f>
        <v>0</v>
      </c>
      <c r="M99" s="18">
        <f>_xlfn.XLOOKUP(CF_Gen_2[[#This Row],[ICG]],Assumptions[ICG],Assumptions[Loss_Ratio])</f>
        <v>0.38</v>
      </c>
      <c r="N99" s="18">
        <f>_xlfn.XLOOKUP(CF_Gen_2[[#This Row],[ICG]],Assumptions[ICG],Assumptions[Risk_Adjustment_Ratio])</f>
        <v>0.13</v>
      </c>
      <c r="O99" s="18">
        <f>_xlfn.XLOOKUP(CF_Gen_2[[#This Row],[ICG]],Assumptions[ICG],Assumptions[PME_Ratio])</f>
        <v>0</v>
      </c>
      <c r="P99" s="18">
        <f>_xlfn.XLOOKUP(CF_Gen_2[[#This Row],[ICG]],Assumptions[ICG],Assumptions[ULAE_Ratio])</f>
        <v>0</v>
      </c>
      <c r="Q99" s="18">
        <f>_xlfn.XLOOKUP(CF_Gen_2[[#This Row],[ICG]],Assumptions[ICG],Assumptions[Cancellation_Ratio])</f>
        <v>7.0000000000000007E-2</v>
      </c>
      <c r="R99" s="18">
        <f>_xlfn.XLOOKUP(CF_Gen_2[[#This Row],[ICG]],Assumptions[ICG],Assumptions[Premium_Refund_Ratio])</f>
        <v>0.5</v>
      </c>
      <c r="S99" s="18">
        <f>IF(CF_Gen_2[[#This Row],[Contract]]="RC",_xlfn.XLOOKUP(CF_Gen_2[[#This Row],[ICG]],Assumptions[ICG],Assumptions[NPR_Ratio]),0)</f>
        <v>2.8000000000000001E-2</v>
      </c>
      <c r="T99" s="17">
        <f>T98*(1-CF_Gen_2[[#This Row],[Cancellation_Ratio]])</f>
        <v>8.7668991309034698E-4</v>
      </c>
      <c r="U99" s="19">
        <f>IF(CF_Gen_2[[#This Row],[Incurred]]&lt;=CF_Gen_2[[#This Row],[Valuation]],CF_Gen_2[[#This Row],[Expected_Premium]],-CF_Gen_2[[#This Row],[Probability_of_Inforce]]*CF_Gen_2[[#This Row],[Premium_Refund_Ratio]]*CF_Gen_2[[#This Row],[Cancellation_Ratio]]*SUM(K99:K$105))</f>
        <v>0</v>
      </c>
      <c r="V99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Row],[Cancellation_Ratio]]*SUM(L99:L$105))</f>
        <v>0</v>
      </c>
      <c r="W99" s="19">
        <f>CF_Gen_2[[#This Row],[Expected_Acquisition]]</f>
        <v>0</v>
      </c>
      <c r="X99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99" s="19">
        <f>-CF_Gen_2[[#This Row],[Probability_of_Inforce]]*CF_Gen_2[[#This Row],[Earned_Premium]]*(1-CF_Gen_2[[#This Row],[Cancellation_Ratio]])*CF_Gen_2[[#This Row],[Loss_Ratio]]</f>
        <v>0</v>
      </c>
      <c r="Z99" s="19">
        <f>CF_Gen_2[[#This Row],[Exp_Claim]]*CF_Gen_2[[#This Row],[Risk_Adjustment_Ratio]]</f>
        <v>0</v>
      </c>
      <c r="AA99" s="19">
        <f>IF(CF_Gen_2[[#This Row],[Contract]]="RC",-CF_Gen_2[[#This Row],[NPR_Ratio]]*CF_Gen_2[[#This Row],[Exp_Claim]],0)</f>
        <v>0</v>
      </c>
      <c r="AB99" s="19">
        <f>SUMIFS(Actual_CF[Actual_Premium],Actual_CF[ICG],CF_Gen_2[[#This Row],[ICG]],Actual_CF[Incurred],CF_Gen_2[[#This Row],[Incurred]])</f>
        <v>0</v>
      </c>
      <c r="AC99" s="19">
        <f>SUMIFS(Actual_CF[Actual_Commission],Actual_CF[ICG],CF_Gen_2[[#This Row],[ICG]],Actual_CF[Incurred],CF_Gen_2[[#This Row],[Incurred]])</f>
        <v>0</v>
      </c>
      <c r="AD99" s="19">
        <f>SUMIFS(Actual_CF[Actual_Acquisition],Actual_CF[ICG],CF_Gen_2[[#This Row],[ICG]],Actual_CF[Incurred],CF_Gen_2[[#This Row],[Incurred]])</f>
        <v>0</v>
      </c>
    </row>
    <row r="100" spans="1:30">
      <c r="A100" t="str">
        <f t="shared" si="4"/>
        <v>#2024#RC-Property</v>
      </c>
      <c r="B100">
        <f>_xlfn.XLOOKUP(CF_Gen_2[[#This Row],[ICG]],ICG[ICG],ICG[Cohort])</f>
        <v>2024</v>
      </c>
      <c r="C100" t="str">
        <f>_xlfn.XLOOKUP(CF_Gen_2[[#This Row],[ICG]],ICG[ICG],ICG[Portfolio])</f>
        <v>RC-Property</v>
      </c>
      <c r="D100" t="str">
        <f>_xlfn.XLOOKUP(CF_Gen_2[[#This Row],[ICG]],ICG[ICG],ICG[Contract])</f>
        <v>RC</v>
      </c>
      <c r="E100" s="2">
        <f t="shared" si="3"/>
        <v>45930</v>
      </c>
      <c r="F100">
        <v>99</v>
      </c>
      <c r="G100" s="2">
        <f>EOMONTH(DATE(YEAR(CF_Gen_2[[#This Row],[Valuation]])-1,12,31),CF_Gen_2[[#This Row],['#Incurred]]*3)</f>
        <v>54696</v>
      </c>
      <c r="H100" s="14">
        <f>SUMIFS(Expected_CF[Expected_Premium],Expected_CF[ICG],CF_Gen_2[[#This Row],[ICG]],Expected_CF[Incurred],CF_Gen_2[[#This Row],[Incurred]])</f>
        <v>0</v>
      </c>
      <c r="I100" s="14">
        <f>SUMIFS(Expected_CF[Expected_Commission],Expected_CF[ICG],CF_Gen_2[[#This Row],[ICG]],Expected_CF[Incurred],CF_Gen_2[[#This Row],[Incurred]])</f>
        <v>0</v>
      </c>
      <c r="J100" s="14">
        <f>IF(CF_Gen_2[[#This Row],[Contract]]="IC",SUMIFS(Expected_CF[Expected_Acquisition],Expected_CF[ICG],CF_Gen_2[[#This Row],[ICG]],Expected_CF[Incurred],CF_Gen_2[[#This Row],[Incurred]]),0)</f>
        <v>0</v>
      </c>
      <c r="K100" s="14">
        <f>SUMIFS(Earned[Earned_Premium],Earned[ICG],CF_Gen_2[[#This Row],[ICG]],Earned[Incurred],CF_Gen_2[[#This Row],[Incurred]])</f>
        <v>0</v>
      </c>
      <c r="L100" s="14">
        <f>SUMIFS(Earned[Earned_Commission],Earned[ICG],CF_Gen_2[[#This Row],[ICG]],Earned[Incurred],CF_Gen_2[[#This Row],[Incurred]])</f>
        <v>0</v>
      </c>
      <c r="M100" s="18">
        <f>_xlfn.XLOOKUP(CF_Gen_2[[#This Row],[ICG]],Assumptions[ICG],Assumptions[Loss_Ratio])</f>
        <v>0.38</v>
      </c>
      <c r="N100" s="18">
        <f>_xlfn.XLOOKUP(CF_Gen_2[[#This Row],[ICG]],Assumptions[ICG],Assumptions[Risk_Adjustment_Ratio])</f>
        <v>0.13</v>
      </c>
      <c r="O100" s="18">
        <f>_xlfn.XLOOKUP(CF_Gen_2[[#This Row],[ICG]],Assumptions[ICG],Assumptions[PME_Ratio])</f>
        <v>0</v>
      </c>
      <c r="P100" s="18">
        <f>_xlfn.XLOOKUP(CF_Gen_2[[#This Row],[ICG]],Assumptions[ICG],Assumptions[ULAE_Ratio])</f>
        <v>0</v>
      </c>
      <c r="Q100" s="18">
        <f>_xlfn.XLOOKUP(CF_Gen_2[[#This Row],[ICG]],Assumptions[ICG],Assumptions[Cancellation_Ratio])</f>
        <v>7.0000000000000007E-2</v>
      </c>
      <c r="R100" s="18">
        <f>_xlfn.XLOOKUP(CF_Gen_2[[#This Row],[ICG]],Assumptions[ICG],Assumptions[Premium_Refund_Ratio])</f>
        <v>0.5</v>
      </c>
      <c r="S100" s="18">
        <f>IF(CF_Gen_2[[#This Row],[Contract]]="RC",_xlfn.XLOOKUP(CF_Gen_2[[#This Row],[ICG]],Assumptions[ICG],Assumptions[NPR_Ratio]),0)</f>
        <v>2.8000000000000001E-2</v>
      </c>
      <c r="T100" s="17">
        <f>T99*(1-CF_Gen_2[[#This Row],[Cancellation_Ratio]])</f>
        <v>8.1532161917402264E-4</v>
      </c>
      <c r="U100" s="19">
        <f>IF(CF_Gen_2[[#This Row],[Incurred]]&lt;=CF_Gen_2[[#This Row],[Valuation]],CF_Gen_2[[#This Row],[Expected_Premium]],-CF_Gen_2[[#This Row],[Probability_of_Inforce]]*CF_Gen_2[[#This Row],[Premium_Refund_Ratio]]*CF_Gen_2[[#This Row],[Cancellation_Ratio]]*SUM(K100:K$105))</f>
        <v>0</v>
      </c>
      <c r="V100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Row],[Cancellation_Ratio]]*SUM(L100:L$105))</f>
        <v>0</v>
      </c>
      <c r="W100" s="19">
        <f>CF_Gen_2[[#This Row],[Expected_Acquisition]]</f>
        <v>0</v>
      </c>
      <c r="X100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00" s="19">
        <f>-CF_Gen_2[[#This Row],[Probability_of_Inforce]]*CF_Gen_2[[#This Row],[Earned_Premium]]*(1-CF_Gen_2[[#This Row],[Cancellation_Ratio]])*CF_Gen_2[[#This Row],[Loss_Ratio]]</f>
        <v>0</v>
      </c>
      <c r="Z100" s="19">
        <f>CF_Gen_2[[#This Row],[Exp_Claim]]*CF_Gen_2[[#This Row],[Risk_Adjustment_Ratio]]</f>
        <v>0</v>
      </c>
      <c r="AA100" s="19">
        <f>IF(CF_Gen_2[[#This Row],[Contract]]="RC",-CF_Gen_2[[#This Row],[NPR_Ratio]]*CF_Gen_2[[#This Row],[Exp_Claim]],0)</f>
        <v>0</v>
      </c>
      <c r="AB100" s="19">
        <f>SUMIFS(Actual_CF[Actual_Premium],Actual_CF[ICG],CF_Gen_2[[#This Row],[ICG]],Actual_CF[Incurred],CF_Gen_2[[#This Row],[Incurred]])</f>
        <v>0</v>
      </c>
      <c r="AC100" s="19">
        <f>SUMIFS(Actual_CF[Actual_Commission],Actual_CF[ICG],CF_Gen_2[[#This Row],[ICG]],Actual_CF[Incurred],CF_Gen_2[[#This Row],[Incurred]])</f>
        <v>0</v>
      </c>
      <c r="AD100" s="19">
        <f>SUMIFS(Actual_CF[Actual_Acquisition],Actual_CF[ICG],CF_Gen_2[[#This Row],[ICG]],Actual_CF[Incurred],CF_Gen_2[[#This Row],[Incurred]])</f>
        <v>0</v>
      </c>
    </row>
    <row r="101" spans="1:30">
      <c r="A101" t="str">
        <f t="shared" si="4"/>
        <v>#2024#RC-Property</v>
      </c>
      <c r="B101">
        <f>_xlfn.XLOOKUP(CF_Gen_2[[#This Row],[ICG]],ICG[ICG],ICG[Cohort])</f>
        <v>2024</v>
      </c>
      <c r="C101" t="str">
        <f>_xlfn.XLOOKUP(CF_Gen_2[[#This Row],[ICG]],ICG[ICG],ICG[Portfolio])</f>
        <v>RC-Property</v>
      </c>
      <c r="D101" t="str">
        <f>_xlfn.XLOOKUP(CF_Gen_2[[#This Row],[ICG]],ICG[ICG],ICG[Contract])</f>
        <v>RC</v>
      </c>
      <c r="E101" s="2">
        <f t="shared" si="3"/>
        <v>45930</v>
      </c>
      <c r="F101">
        <v>100</v>
      </c>
      <c r="G101" s="2">
        <f>EOMONTH(DATE(YEAR(CF_Gen_2[[#This Row],[Valuation]])-1,12,31),CF_Gen_2[[#This Row],['#Incurred]]*3)</f>
        <v>54788</v>
      </c>
      <c r="H101" s="14">
        <f>SUMIFS(Expected_CF[Expected_Premium],Expected_CF[ICG],CF_Gen_2[[#This Row],[ICG]],Expected_CF[Incurred],CF_Gen_2[[#This Row],[Incurred]])</f>
        <v>0</v>
      </c>
      <c r="I101" s="14">
        <f>SUMIFS(Expected_CF[Expected_Commission],Expected_CF[ICG],CF_Gen_2[[#This Row],[ICG]],Expected_CF[Incurred],CF_Gen_2[[#This Row],[Incurred]])</f>
        <v>0</v>
      </c>
      <c r="J101" s="14">
        <f>IF(CF_Gen_2[[#This Row],[Contract]]="IC",SUMIFS(Expected_CF[Expected_Acquisition],Expected_CF[ICG],CF_Gen_2[[#This Row],[ICG]],Expected_CF[Incurred],CF_Gen_2[[#This Row],[Incurred]]),0)</f>
        <v>0</v>
      </c>
      <c r="K101" s="14">
        <f>SUMIFS(Earned[Earned_Premium],Earned[ICG],CF_Gen_2[[#This Row],[ICG]],Earned[Incurred],CF_Gen_2[[#This Row],[Incurred]])</f>
        <v>0</v>
      </c>
      <c r="L101" s="14">
        <f>SUMIFS(Earned[Earned_Commission],Earned[ICG],CF_Gen_2[[#This Row],[ICG]],Earned[Incurred],CF_Gen_2[[#This Row],[Incurred]])</f>
        <v>0</v>
      </c>
      <c r="M101" s="18">
        <f>_xlfn.XLOOKUP(CF_Gen_2[[#This Row],[ICG]],Assumptions[ICG],Assumptions[Loss_Ratio])</f>
        <v>0.38</v>
      </c>
      <c r="N101" s="18">
        <f>_xlfn.XLOOKUP(CF_Gen_2[[#This Row],[ICG]],Assumptions[ICG],Assumptions[Risk_Adjustment_Ratio])</f>
        <v>0.13</v>
      </c>
      <c r="O101" s="18">
        <f>_xlfn.XLOOKUP(CF_Gen_2[[#This Row],[ICG]],Assumptions[ICG],Assumptions[PME_Ratio])</f>
        <v>0</v>
      </c>
      <c r="P101" s="18">
        <f>_xlfn.XLOOKUP(CF_Gen_2[[#This Row],[ICG]],Assumptions[ICG],Assumptions[ULAE_Ratio])</f>
        <v>0</v>
      </c>
      <c r="Q101" s="18">
        <f>_xlfn.XLOOKUP(CF_Gen_2[[#This Row],[ICG]],Assumptions[ICG],Assumptions[Cancellation_Ratio])</f>
        <v>7.0000000000000007E-2</v>
      </c>
      <c r="R101" s="18">
        <f>_xlfn.XLOOKUP(CF_Gen_2[[#This Row],[ICG]],Assumptions[ICG],Assumptions[Premium_Refund_Ratio])</f>
        <v>0.5</v>
      </c>
      <c r="S101" s="18">
        <f>IF(CF_Gen_2[[#This Row],[Contract]]="RC",_xlfn.XLOOKUP(CF_Gen_2[[#This Row],[ICG]],Assumptions[ICG],Assumptions[NPR_Ratio]),0)</f>
        <v>2.8000000000000001E-2</v>
      </c>
      <c r="T101" s="17">
        <f>T100*(1-CF_Gen_2[[#This Row],[Cancellation_Ratio]])</f>
        <v>7.5824910583184102E-4</v>
      </c>
      <c r="U101" s="19">
        <f>IF(CF_Gen_2[[#This Row],[Incurred]]&lt;=CF_Gen_2[[#This Row],[Valuation]],CF_Gen_2[[#This Row],[Expected_Premium]],-CF_Gen_2[[#This Row],[Probability_of_Inforce]]*CF_Gen_2[[#This Row],[Premium_Refund_Ratio]]*CF_Gen_2[[#This Row],[Cancellation_Ratio]]*SUM(K101:K$105))</f>
        <v>0</v>
      </c>
      <c r="V101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Row],[Cancellation_Ratio]]*SUM(L101:L$105))</f>
        <v>0</v>
      </c>
      <c r="W101" s="19">
        <f>CF_Gen_2[[#This Row],[Expected_Acquisition]]</f>
        <v>0</v>
      </c>
      <c r="X101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01" s="19">
        <f>-CF_Gen_2[[#This Row],[Probability_of_Inforce]]*CF_Gen_2[[#This Row],[Earned_Premium]]*(1-CF_Gen_2[[#This Row],[Cancellation_Ratio]])*CF_Gen_2[[#This Row],[Loss_Ratio]]</f>
        <v>0</v>
      </c>
      <c r="Z101" s="19">
        <f>CF_Gen_2[[#This Row],[Exp_Claim]]*CF_Gen_2[[#This Row],[Risk_Adjustment_Ratio]]</f>
        <v>0</v>
      </c>
      <c r="AA101" s="19">
        <f>IF(CF_Gen_2[[#This Row],[Contract]]="RC",-CF_Gen_2[[#This Row],[NPR_Ratio]]*CF_Gen_2[[#This Row],[Exp_Claim]],0)</f>
        <v>0</v>
      </c>
      <c r="AB101" s="19">
        <f>SUMIFS(Actual_CF[Actual_Premium],Actual_CF[ICG],CF_Gen_2[[#This Row],[ICG]],Actual_CF[Incurred],CF_Gen_2[[#This Row],[Incurred]])</f>
        <v>0</v>
      </c>
      <c r="AC101" s="19">
        <f>SUMIFS(Actual_CF[Actual_Commission],Actual_CF[ICG],CF_Gen_2[[#This Row],[ICG]],Actual_CF[Incurred],CF_Gen_2[[#This Row],[Incurred]])</f>
        <v>0</v>
      </c>
      <c r="AD101" s="19">
        <f>SUMIFS(Actual_CF[Actual_Acquisition],Actual_CF[ICG],CF_Gen_2[[#This Row],[ICG]],Actual_CF[Incurred],CF_Gen_2[[#This Row],[Incurred]])</f>
        <v>0</v>
      </c>
    </row>
    <row r="102" spans="1:30">
      <c r="A102" t="str">
        <f t="shared" ref="A102:A105" si="5">A101</f>
        <v>#2024#RC-Property</v>
      </c>
      <c r="B102">
        <f>_xlfn.XLOOKUP(CF_Gen_2[[#This Row],[ICG]],ICG[ICG],ICG[Cohort])</f>
        <v>2024</v>
      </c>
      <c r="C102" t="str">
        <f>_xlfn.XLOOKUP(CF_Gen_2[[#This Row],[ICG]],ICG[ICG],ICG[Portfolio])</f>
        <v>RC-Property</v>
      </c>
      <c r="D102" t="str">
        <f>_xlfn.XLOOKUP(CF_Gen_2[[#This Row],[ICG]],ICG[ICG],ICG[Contract])</f>
        <v>RC</v>
      </c>
      <c r="E102" s="2">
        <f t="shared" si="3"/>
        <v>45930</v>
      </c>
      <c r="F102">
        <v>101</v>
      </c>
      <c r="G102" s="2">
        <f>EOMONTH(DATE(YEAR(CF_Gen_2[[#This Row],[Valuation]])-1,12,31),CF_Gen_2[[#This Row],['#Incurred]]*3)</f>
        <v>54878</v>
      </c>
      <c r="H102" s="14">
        <f>SUMIFS(Expected_CF[Expected_Premium],Expected_CF[ICG],CF_Gen_2[[#This Row],[ICG]],Expected_CF[Incurred],CF_Gen_2[[#This Row],[Incurred]])</f>
        <v>0</v>
      </c>
      <c r="I102" s="14">
        <f>SUMIFS(Expected_CF[Expected_Commission],Expected_CF[ICG],CF_Gen_2[[#This Row],[ICG]],Expected_CF[Incurred],CF_Gen_2[[#This Row],[Incurred]])</f>
        <v>0</v>
      </c>
      <c r="J102" s="14">
        <f>IF(CF_Gen_2[[#This Row],[Contract]]="IC",SUMIFS(Expected_CF[Expected_Acquisition],Expected_CF[ICG],CF_Gen_2[[#This Row],[ICG]],Expected_CF[Incurred],CF_Gen_2[[#This Row],[Incurred]]),0)</f>
        <v>0</v>
      </c>
      <c r="K102" s="14">
        <f>SUMIFS(Earned[Earned_Premium],Earned[ICG],CF_Gen_2[[#This Row],[ICG]],Earned[Incurred],CF_Gen_2[[#This Row],[Incurred]])</f>
        <v>0</v>
      </c>
      <c r="L102" s="14">
        <f>SUMIFS(Earned[Earned_Commission],Earned[ICG],CF_Gen_2[[#This Row],[ICG]],Earned[Incurred],CF_Gen_2[[#This Row],[Incurred]])</f>
        <v>0</v>
      </c>
      <c r="M102" s="18">
        <f>_xlfn.XLOOKUP(CF_Gen_2[[#This Row],[ICG]],Assumptions[ICG],Assumptions[Loss_Ratio])</f>
        <v>0.38</v>
      </c>
      <c r="N102" s="18">
        <f>_xlfn.XLOOKUP(CF_Gen_2[[#This Row],[ICG]],Assumptions[ICG],Assumptions[Risk_Adjustment_Ratio])</f>
        <v>0.13</v>
      </c>
      <c r="O102" s="18">
        <f>_xlfn.XLOOKUP(CF_Gen_2[[#This Row],[ICG]],Assumptions[ICG],Assumptions[PME_Ratio])</f>
        <v>0</v>
      </c>
      <c r="P102" s="18">
        <f>_xlfn.XLOOKUP(CF_Gen_2[[#This Row],[ICG]],Assumptions[ICG],Assumptions[ULAE_Ratio])</f>
        <v>0</v>
      </c>
      <c r="Q102" s="18">
        <f>_xlfn.XLOOKUP(CF_Gen_2[[#This Row],[ICG]],Assumptions[ICG],Assumptions[Cancellation_Ratio])</f>
        <v>7.0000000000000007E-2</v>
      </c>
      <c r="R102" s="18">
        <f>_xlfn.XLOOKUP(CF_Gen_2[[#This Row],[ICG]],Assumptions[ICG],Assumptions[Premium_Refund_Ratio])</f>
        <v>0.5</v>
      </c>
      <c r="S102" s="18">
        <f>IF(CF_Gen_2[[#This Row],[Contract]]="RC",_xlfn.XLOOKUP(CF_Gen_2[[#This Row],[ICG]],Assumptions[ICG],Assumptions[NPR_Ratio]),0)</f>
        <v>2.8000000000000001E-2</v>
      </c>
      <c r="T102" s="17">
        <f>T101*(1-CF_Gen_2[[#This Row],[Cancellation_Ratio]])</f>
        <v>7.0517166842361213E-4</v>
      </c>
      <c r="U102" s="19">
        <f>IF(CF_Gen_2[[#This Row],[Incurred]]&lt;=CF_Gen_2[[#This Row],[Valuation]],CF_Gen_2[[#This Row],[Expected_Premium]],-CF_Gen_2[[#This Row],[Probability_of_Inforce]]*CF_Gen_2[[#This Row],[Premium_Refund_Ratio]]*CF_Gen_2[[#This Row],[Cancellation_Ratio]]*SUM(K102:K$105))</f>
        <v>0</v>
      </c>
      <c r="V102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Row],[Cancellation_Ratio]]*SUM(L102:L$105))</f>
        <v>0</v>
      </c>
      <c r="W102" s="19">
        <f>CF_Gen_2[[#This Row],[Expected_Acquisition]]</f>
        <v>0</v>
      </c>
      <c r="X102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02" s="19">
        <f>-CF_Gen_2[[#This Row],[Probability_of_Inforce]]*CF_Gen_2[[#This Row],[Earned_Premium]]*(1-CF_Gen_2[[#This Row],[Cancellation_Ratio]])*CF_Gen_2[[#This Row],[Loss_Ratio]]</f>
        <v>0</v>
      </c>
      <c r="Z102" s="19">
        <f>CF_Gen_2[[#This Row],[Exp_Claim]]*CF_Gen_2[[#This Row],[Risk_Adjustment_Ratio]]</f>
        <v>0</v>
      </c>
      <c r="AA102" s="19">
        <f>IF(CF_Gen_2[[#This Row],[Contract]]="RC",-CF_Gen_2[[#This Row],[NPR_Ratio]]*CF_Gen_2[[#This Row],[Exp_Claim]],0)</f>
        <v>0</v>
      </c>
      <c r="AB102" s="19">
        <f>SUMIFS(Actual_CF[Actual_Premium],Actual_CF[ICG],CF_Gen_2[[#This Row],[ICG]],Actual_CF[Incurred],CF_Gen_2[[#This Row],[Incurred]])</f>
        <v>0</v>
      </c>
      <c r="AC102" s="19">
        <f>SUMIFS(Actual_CF[Actual_Commission],Actual_CF[ICG],CF_Gen_2[[#This Row],[ICG]],Actual_CF[Incurred],CF_Gen_2[[#This Row],[Incurred]])</f>
        <v>0</v>
      </c>
      <c r="AD102" s="19">
        <f>SUMIFS(Actual_CF[Actual_Acquisition],Actual_CF[ICG],CF_Gen_2[[#This Row],[ICG]],Actual_CF[Incurred],CF_Gen_2[[#This Row],[Incurred]])</f>
        <v>0</v>
      </c>
    </row>
    <row r="103" spans="1:30">
      <c r="A103" t="str">
        <f t="shared" si="5"/>
        <v>#2024#RC-Property</v>
      </c>
      <c r="B103">
        <f>_xlfn.XLOOKUP(CF_Gen_2[[#This Row],[ICG]],ICG[ICG],ICG[Cohort])</f>
        <v>2024</v>
      </c>
      <c r="C103" t="str">
        <f>_xlfn.XLOOKUP(CF_Gen_2[[#This Row],[ICG]],ICG[ICG],ICG[Portfolio])</f>
        <v>RC-Property</v>
      </c>
      <c r="D103" t="str">
        <f>_xlfn.XLOOKUP(CF_Gen_2[[#This Row],[ICG]],ICG[ICG],ICG[Contract])</f>
        <v>RC</v>
      </c>
      <c r="E103" s="2">
        <f t="shared" si="3"/>
        <v>45930</v>
      </c>
      <c r="F103">
        <v>102</v>
      </c>
      <c r="G103" s="2">
        <f>EOMONTH(DATE(YEAR(CF_Gen_2[[#This Row],[Valuation]])-1,12,31),CF_Gen_2[[#This Row],['#Incurred]]*3)</f>
        <v>54969</v>
      </c>
      <c r="H103" s="14">
        <f>SUMIFS(Expected_CF[Expected_Premium],Expected_CF[ICG],CF_Gen_2[[#This Row],[ICG]],Expected_CF[Incurred],CF_Gen_2[[#This Row],[Incurred]])</f>
        <v>0</v>
      </c>
      <c r="I103" s="14">
        <f>SUMIFS(Expected_CF[Expected_Commission],Expected_CF[ICG],CF_Gen_2[[#This Row],[ICG]],Expected_CF[Incurred],CF_Gen_2[[#This Row],[Incurred]])</f>
        <v>0</v>
      </c>
      <c r="J103" s="14">
        <f>IF(CF_Gen_2[[#This Row],[Contract]]="IC",SUMIFS(Expected_CF[Expected_Acquisition],Expected_CF[ICG],CF_Gen_2[[#This Row],[ICG]],Expected_CF[Incurred],CF_Gen_2[[#This Row],[Incurred]]),0)</f>
        <v>0</v>
      </c>
      <c r="K103" s="14">
        <f>SUMIFS(Earned[Earned_Premium],Earned[ICG],CF_Gen_2[[#This Row],[ICG]],Earned[Incurred],CF_Gen_2[[#This Row],[Incurred]])</f>
        <v>0</v>
      </c>
      <c r="L103" s="14">
        <f>SUMIFS(Earned[Earned_Commission],Earned[ICG],CF_Gen_2[[#This Row],[ICG]],Earned[Incurred],CF_Gen_2[[#This Row],[Incurred]])</f>
        <v>0</v>
      </c>
      <c r="M103" s="18">
        <f>_xlfn.XLOOKUP(CF_Gen_2[[#This Row],[ICG]],Assumptions[ICG],Assumptions[Loss_Ratio])</f>
        <v>0.38</v>
      </c>
      <c r="N103" s="18">
        <f>_xlfn.XLOOKUP(CF_Gen_2[[#This Row],[ICG]],Assumptions[ICG],Assumptions[Risk_Adjustment_Ratio])</f>
        <v>0.13</v>
      </c>
      <c r="O103" s="18">
        <f>_xlfn.XLOOKUP(CF_Gen_2[[#This Row],[ICG]],Assumptions[ICG],Assumptions[PME_Ratio])</f>
        <v>0</v>
      </c>
      <c r="P103" s="18">
        <f>_xlfn.XLOOKUP(CF_Gen_2[[#This Row],[ICG]],Assumptions[ICG],Assumptions[ULAE_Ratio])</f>
        <v>0</v>
      </c>
      <c r="Q103" s="18">
        <f>_xlfn.XLOOKUP(CF_Gen_2[[#This Row],[ICG]],Assumptions[ICG],Assumptions[Cancellation_Ratio])</f>
        <v>7.0000000000000007E-2</v>
      </c>
      <c r="R103" s="18">
        <f>_xlfn.XLOOKUP(CF_Gen_2[[#This Row],[ICG]],Assumptions[ICG],Assumptions[Premium_Refund_Ratio])</f>
        <v>0.5</v>
      </c>
      <c r="S103" s="18">
        <f>IF(CF_Gen_2[[#This Row],[Contract]]="RC",_xlfn.XLOOKUP(CF_Gen_2[[#This Row],[ICG]],Assumptions[ICG],Assumptions[NPR_Ratio]),0)</f>
        <v>2.8000000000000001E-2</v>
      </c>
      <c r="T103" s="17">
        <f>T102*(1-CF_Gen_2[[#This Row],[Cancellation_Ratio]])</f>
        <v>6.5580965163395928E-4</v>
      </c>
      <c r="U103" s="19">
        <f>IF(CF_Gen_2[[#This Row],[Incurred]]&lt;=CF_Gen_2[[#This Row],[Valuation]],CF_Gen_2[[#This Row],[Expected_Premium]],-CF_Gen_2[[#This Row],[Probability_of_Inforce]]*CF_Gen_2[[#This Row],[Premium_Refund_Ratio]]*CF_Gen_2[[#This Row],[Cancellation_Ratio]]*SUM(K103:K$105))</f>
        <v>0</v>
      </c>
      <c r="V103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Row],[Cancellation_Ratio]]*SUM(L103:L$105))</f>
        <v>0</v>
      </c>
      <c r="W103" s="19">
        <f>CF_Gen_2[[#This Row],[Expected_Acquisition]]</f>
        <v>0</v>
      </c>
      <c r="X103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03" s="19">
        <f>-CF_Gen_2[[#This Row],[Probability_of_Inforce]]*CF_Gen_2[[#This Row],[Earned_Premium]]*(1-CF_Gen_2[[#This Row],[Cancellation_Ratio]])*CF_Gen_2[[#This Row],[Loss_Ratio]]</f>
        <v>0</v>
      </c>
      <c r="Z103" s="19">
        <f>CF_Gen_2[[#This Row],[Exp_Claim]]*CF_Gen_2[[#This Row],[Risk_Adjustment_Ratio]]</f>
        <v>0</v>
      </c>
      <c r="AA103" s="19">
        <f>IF(CF_Gen_2[[#This Row],[Contract]]="RC",-CF_Gen_2[[#This Row],[NPR_Ratio]]*CF_Gen_2[[#This Row],[Exp_Claim]],0)</f>
        <v>0</v>
      </c>
      <c r="AB103" s="19">
        <f>SUMIFS(Actual_CF[Actual_Premium],Actual_CF[ICG],CF_Gen_2[[#This Row],[ICG]],Actual_CF[Incurred],CF_Gen_2[[#This Row],[Incurred]])</f>
        <v>0</v>
      </c>
      <c r="AC103" s="19">
        <f>SUMIFS(Actual_CF[Actual_Commission],Actual_CF[ICG],CF_Gen_2[[#This Row],[ICG]],Actual_CF[Incurred],CF_Gen_2[[#This Row],[Incurred]])</f>
        <v>0</v>
      </c>
      <c r="AD103" s="19">
        <f>SUMIFS(Actual_CF[Actual_Acquisition],Actual_CF[ICG],CF_Gen_2[[#This Row],[ICG]],Actual_CF[Incurred],CF_Gen_2[[#This Row],[Incurred]])</f>
        <v>0</v>
      </c>
    </row>
    <row r="104" spans="1:30">
      <c r="A104" t="str">
        <f t="shared" si="5"/>
        <v>#2024#RC-Property</v>
      </c>
      <c r="B104">
        <f>_xlfn.XLOOKUP(CF_Gen_2[[#This Row],[ICG]],ICG[ICG],ICG[Cohort])</f>
        <v>2024</v>
      </c>
      <c r="C104" t="str">
        <f>_xlfn.XLOOKUP(CF_Gen_2[[#This Row],[ICG]],ICG[ICG],ICG[Portfolio])</f>
        <v>RC-Property</v>
      </c>
      <c r="D104" t="str">
        <f>_xlfn.XLOOKUP(CF_Gen_2[[#This Row],[ICG]],ICG[ICG],ICG[Contract])</f>
        <v>RC</v>
      </c>
      <c r="E104" s="2">
        <f t="shared" si="3"/>
        <v>45930</v>
      </c>
      <c r="F104">
        <v>103</v>
      </c>
      <c r="G104" s="2">
        <f>EOMONTH(DATE(YEAR(CF_Gen_2[[#This Row],[Valuation]])-1,12,31),CF_Gen_2[[#This Row],['#Incurred]]*3)</f>
        <v>55061</v>
      </c>
      <c r="H104" s="14">
        <f>SUMIFS(Expected_CF[Expected_Premium],Expected_CF[ICG],CF_Gen_2[[#This Row],[ICG]],Expected_CF[Incurred],CF_Gen_2[[#This Row],[Incurred]])</f>
        <v>0</v>
      </c>
      <c r="I104" s="14">
        <f>SUMIFS(Expected_CF[Expected_Commission],Expected_CF[ICG],CF_Gen_2[[#This Row],[ICG]],Expected_CF[Incurred],CF_Gen_2[[#This Row],[Incurred]])</f>
        <v>0</v>
      </c>
      <c r="J104" s="14">
        <f>IF(CF_Gen_2[[#This Row],[Contract]]="IC",SUMIFS(Expected_CF[Expected_Acquisition],Expected_CF[ICG],CF_Gen_2[[#This Row],[ICG]],Expected_CF[Incurred],CF_Gen_2[[#This Row],[Incurred]]),0)</f>
        <v>0</v>
      </c>
      <c r="K104" s="14">
        <f>SUMIFS(Earned[Earned_Premium],Earned[ICG],CF_Gen_2[[#This Row],[ICG]],Earned[Incurred],CF_Gen_2[[#This Row],[Incurred]])</f>
        <v>0</v>
      </c>
      <c r="L104" s="14">
        <f>SUMIFS(Earned[Earned_Commission],Earned[ICG],CF_Gen_2[[#This Row],[ICG]],Earned[Incurred],CF_Gen_2[[#This Row],[Incurred]])</f>
        <v>0</v>
      </c>
      <c r="M104" s="18">
        <f>_xlfn.XLOOKUP(CF_Gen_2[[#This Row],[ICG]],Assumptions[ICG],Assumptions[Loss_Ratio])</f>
        <v>0.38</v>
      </c>
      <c r="N104" s="18">
        <f>_xlfn.XLOOKUP(CF_Gen_2[[#This Row],[ICG]],Assumptions[ICG],Assumptions[Risk_Adjustment_Ratio])</f>
        <v>0.13</v>
      </c>
      <c r="O104" s="18">
        <f>_xlfn.XLOOKUP(CF_Gen_2[[#This Row],[ICG]],Assumptions[ICG],Assumptions[PME_Ratio])</f>
        <v>0</v>
      </c>
      <c r="P104" s="18">
        <f>_xlfn.XLOOKUP(CF_Gen_2[[#This Row],[ICG]],Assumptions[ICG],Assumptions[ULAE_Ratio])</f>
        <v>0</v>
      </c>
      <c r="Q104" s="18">
        <f>_xlfn.XLOOKUP(CF_Gen_2[[#This Row],[ICG]],Assumptions[ICG],Assumptions[Cancellation_Ratio])</f>
        <v>7.0000000000000007E-2</v>
      </c>
      <c r="R104" s="18">
        <f>_xlfn.XLOOKUP(CF_Gen_2[[#This Row],[ICG]],Assumptions[ICG],Assumptions[Premium_Refund_Ratio])</f>
        <v>0.5</v>
      </c>
      <c r="S104" s="18">
        <f>IF(CF_Gen_2[[#This Row],[Contract]]="RC",_xlfn.XLOOKUP(CF_Gen_2[[#This Row],[ICG]],Assumptions[ICG],Assumptions[NPR_Ratio]),0)</f>
        <v>2.8000000000000001E-2</v>
      </c>
      <c r="T104" s="17">
        <f>T103*(1-CF_Gen_2[[#This Row],[Cancellation_Ratio]])</f>
        <v>6.0990297601958205E-4</v>
      </c>
      <c r="U104" s="19">
        <f>IF(CF_Gen_2[[#This Row],[Incurred]]&lt;=CF_Gen_2[[#This Row],[Valuation]],CF_Gen_2[[#This Row],[Expected_Premium]],-CF_Gen_2[[#This Row],[Probability_of_Inforce]]*CF_Gen_2[[#This Row],[Premium_Refund_Ratio]]*CF_Gen_2[[#This Row],[Cancellation_Ratio]]*SUM(K104:K$105))</f>
        <v>0</v>
      </c>
      <c r="V104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Row],[Cancellation_Ratio]]*SUM(L104:L$105))</f>
        <v>0</v>
      </c>
      <c r="W104" s="19">
        <f>CF_Gen_2[[#This Row],[Expected_Acquisition]]</f>
        <v>0</v>
      </c>
      <c r="X104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04" s="19">
        <f>-CF_Gen_2[[#This Row],[Probability_of_Inforce]]*CF_Gen_2[[#This Row],[Earned_Premium]]*(1-CF_Gen_2[[#This Row],[Cancellation_Ratio]])*CF_Gen_2[[#This Row],[Loss_Ratio]]</f>
        <v>0</v>
      </c>
      <c r="Z104" s="19">
        <f>CF_Gen_2[[#This Row],[Exp_Claim]]*CF_Gen_2[[#This Row],[Risk_Adjustment_Ratio]]</f>
        <v>0</v>
      </c>
      <c r="AA104" s="19">
        <f>IF(CF_Gen_2[[#This Row],[Contract]]="RC",-CF_Gen_2[[#This Row],[NPR_Ratio]]*CF_Gen_2[[#This Row],[Exp_Claim]],0)</f>
        <v>0</v>
      </c>
      <c r="AB104" s="19">
        <f>SUMIFS(Actual_CF[Actual_Premium],Actual_CF[ICG],CF_Gen_2[[#This Row],[ICG]],Actual_CF[Incurred],CF_Gen_2[[#This Row],[Incurred]])</f>
        <v>0</v>
      </c>
      <c r="AC104" s="19">
        <f>SUMIFS(Actual_CF[Actual_Commission],Actual_CF[ICG],CF_Gen_2[[#This Row],[ICG]],Actual_CF[Incurred],CF_Gen_2[[#This Row],[Incurred]])</f>
        <v>0</v>
      </c>
      <c r="AD104" s="19">
        <f>SUMIFS(Actual_CF[Actual_Acquisition],Actual_CF[ICG],CF_Gen_2[[#This Row],[ICG]],Actual_CF[Incurred],CF_Gen_2[[#This Row],[Incurred]])</f>
        <v>0</v>
      </c>
    </row>
    <row r="105" spans="1:30">
      <c r="A105" t="str">
        <f t="shared" si="5"/>
        <v>#2024#RC-Property</v>
      </c>
      <c r="B105">
        <f>_xlfn.XLOOKUP(CF_Gen_2[[#This Row],[ICG]],ICG[ICG],ICG[Cohort])</f>
        <v>2024</v>
      </c>
      <c r="C105" t="str">
        <f>_xlfn.XLOOKUP(CF_Gen_2[[#This Row],[ICG]],ICG[ICG],ICG[Portfolio])</f>
        <v>RC-Property</v>
      </c>
      <c r="D105" t="str">
        <f>_xlfn.XLOOKUP(CF_Gen_2[[#This Row],[ICG]],ICG[ICG],ICG[Contract])</f>
        <v>RC</v>
      </c>
      <c r="E105" s="2">
        <f t="shared" si="3"/>
        <v>45930</v>
      </c>
      <c r="F105">
        <v>104</v>
      </c>
      <c r="G105" s="2">
        <f>EOMONTH(DATE(YEAR(CF_Gen_2[[#This Row],[Valuation]])-1,12,31),CF_Gen_2[[#This Row],['#Incurred]]*3)</f>
        <v>55153</v>
      </c>
      <c r="H105" s="14">
        <f>SUMIFS(Expected_CF[Expected_Premium],Expected_CF[ICG],CF_Gen_2[[#This Row],[ICG]],Expected_CF[Incurred],CF_Gen_2[[#This Row],[Incurred]])</f>
        <v>0</v>
      </c>
      <c r="I105" s="14">
        <f>SUMIFS(Expected_CF[Expected_Commission],Expected_CF[ICG],CF_Gen_2[[#This Row],[ICG]],Expected_CF[Incurred],CF_Gen_2[[#This Row],[Incurred]])</f>
        <v>0</v>
      </c>
      <c r="J105" s="14">
        <f>IF(CF_Gen_2[[#This Row],[Contract]]="IC",SUMIFS(Expected_CF[Expected_Acquisition],Expected_CF[ICG],CF_Gen_2[[#This Row],[ICG]],Expected_CF[Incurred],CF_Gen_2[[#This Row],[Incurred]]),0)</f>
        <v>0</v>
      </c>
      <c r="K105" s="14">
        <f>SUMIFS(Earned[Earned_Premium],Earned[ICG],CF_Gen_2[[#This Row],[ICG]],Earned[Incurred],CF_Gen_2[[#This Row],[Incurred]])</f>
        <v>0</v>
      </c>
      <c r="L105" s="14">
        <f>SUMIFS(Earned[Earned_Commission],Earned[ICG],CF_Gen_2[[#This Row],[ICG]],Earned[Incurred],CF_Gen_2[[#This Row],[Incurred]])</f>
        <v>0</v>
      </c>
      <c r="M105" s="18">
        <f>_xlfn.XLOOKUP(CF_Gen_2[[#This Row],[ICG]],Assumptions[ICG],Assumptions[Loss_Ratio])</f>
        <v>0.38</v>
      </c>
      <c r="N105" s="18">
        <f>_xlfn.XLOOKUP(CF_Gen_2[[#This Row],[ICG]],Assumptions[ICG],Assumptions[Risk_Adjustment_Ratio])</f>
        <v>0.13</v>
      </c>
      <c r="O105" s="18">
        <f>_xlfn.XLOOKUP(CF_Gen_2[[#This Row],[ICG]],Assumptions[ICG],Assumptions[PME_Ratio])</f>
        <v>0</v>
      </c>
      <c r="P105" s="18">
        <f>_xlfn.XLOOKUP(CF_Gen_2[[#This Row],[ICG]],Assumptions[ICG],Assumptions[ULAE_Ratio])</f>
        <v>0</v>
      </c>
      <c r="Q105" s="18">
        <f>_xlfn.XLOOKUP(CF_Gen_2[[#This Row],[ICG]],Assumptions[ICG],Assumptions[Cancellation_Ratio])</f>
        <v>7.0000000000000007E-2</v>
      </c>
      <c r="R105" s="18">
        <f>_xlfn.XLOOKUP(CF_Gen_2[[#This Row],[ICG]],Assumptions[ICG],Assumptions[Premium_Refund_Ratio])</f>
        <v>0.5</v>
      </c>
      <c r="S105" s="18">
        <f>IF(CF_Gen_2[[#This Row],[Contract]]="RC",_xlfn.XLOOKUP(CF_Gen_2[[#This Row],[ICG]],Assumptions[ICG],Assumptions[NPR_Ratio]),0)</f>
        <v>2.8000000000000001E-2</v>
      </c>
      <c r="T105" s="17">
        <f>T104*(1-CF_Gen_2[[#This Row],[Cancellation_Ratio]])</f>
        <v>5.6720976769821126E-4</v>
      </c>
      <c r="U105" s="19">
        <f>IF(CF_Gen_2[[#This Row],[Incurred]]&lt;=CF_Gen_2[[#This Row],[Valuation]],CF_Gen_2[[#This Row],[Expected_Premium]],-CF_Gen_2[[#This Row],[Probability_of_Inforce]]*CF_Gen_2[[#This Row],[Premium_Refund_Ratio]]*CF_Gen_2[[#This Row],[Cancellation_Ratio]]*SUM(K105:K$105))</f>
        <v>0</v>
      </c>
      <c r="V105" s="19">
        <f>IF(CF_Gen_2[[#This Row],[Incurred]]&lt;=CF_Gen_2[[#This Row],[Valuation]],CF_Gen_2[[#This Row],[Expected_Commission]],-CF_Gen_2[[#This Row],[Probability_of_Inforce]]*CF_Gen_2[[#This Row],[Premium_Refund_Ratio]]*CF_Gen_2[[#This Row],[Cancellation_Ratio]]*SUM(L105:L$105))</f>
        <v>0</v>
      </c>
      <c r="W105" s="19">
        <f>CF_Gen_2[[#This Row],[Expected_Acquisition]]</f>
        <v>0</v>
      </c>
      <c r="X105" s="19">
        <f>-CF_Gen_2[[#This Row],[Probability_of_Inforce]]*CF_Gen_2[[#This Row],[Earned_Premium]]*(1-CF_Gen_2[[#This Row],[Cancellation_Ratio]])*CF_Gen_2[[#This Row],[PME_Ratio]]+CF_Gen_2[[#This Row],[ULAE_Ratio]]*CF_Gen_2[[#This Row],[Exp_Claim]]</f>
        <v>0</v>
      </c>
      <c r="Y105" s="19">
        <f>-CF_Gen_2[[#This Row],[Probability_of_Inforce]]*CF_Gen_2[[#This Row],[Earned_Premium]]*(1-CF_Gen_2[[#This Row],[Cancellation_Ratio]])*CF_Gen_2[[#This Row],[Loss_Ratio]]</f>
        <v>0</v>
      </c>
      <c r="Z105" s="19">
        <f>CF_Gen_2[[#This Row],[Exp_Claim]]*CF_Gen_2[[#This Row],[Risk_Adjustment_Ratio]]</f>
        <v>0</v>
      </c>
      <c r="AA105" s="19">
        <f>IF(CF_Gen_2[[#This Row],[Contract]]="RC",-CF_Gen_2[[#This Row],[NPR_Ratio]]*CF_Gen_2[[#This Row],[Exp_Claim]],0)</f>
        <v>0</v>
      </c>
      <c r="AB105" s="19">
        <f>SUMIFS(Actual_CF[Actual_Premium],Actual_CF[ICG],CF_Gen_2[[#This Row],[ICG]],Actual_CF[Incurred],CF_Gen_2[[#This Row],[Incurred]])</f>
        <v>0</v>
      </c>
      <c r="AC105" s="19">
        <f>SUMIFS(Actual_CF[Actual_Commission],Actual_CF[ICG],CF_Gen_2[[#This Row],[ICG]],Actual_CF[Incurred],CF_Gen_2[[#This Row],[Incurred]])</f>
        <v>0</v>
      </c>
      <c r="AD105" s="19">
        <f>SUMIFS(Actual_CF[Actual_Acquisition],Actual_CF[ICG],CF_Gen_2[[#This Row],[ICG]],Actual_CF[Incurred],CF_Gen_2[[#This Row],[Incurred]])</f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4D37-0942-41CF-AEB1-A55058694987}">
  <dimension ref="A1:AD105"/>
  <sheetViews>
    <sheetView showGridLines="0" zoomScale="80" zoomScaleNormal="80" workbookViewId="0">
      <pane xSplit="1" topLeftCell="B1" activePane="topRight" state="frozen"/>
      <selection pane="topRight" activeCell="D1" sqref="D1"/>
    </sheetView>
  </sheetViews>
  <sheetFormatPr defaultRowHeight="14.5"/>
  <cols>
    <col min="1" max="1" width="18.7265625" bestFit="1" customWidth="1"/>
    <col min="2" max="2" width="10.26953125" bestFit="1" customWidth="1"/>
    <col min="3" max="4" width="12" bestFit="1" customWidth="1"/>
    <col min="5" max="5" width="13.7265625" bestFit="1" customWidth="1"/>
    <col min="6" max="6" width="13.1796875" bestFit="1" customWidth="1"/>
    <col min="7" max="7" width="12.81640625" bestFit="1" customWidth="1"/>
    <col min="8" max="8" width="22.7265625" bestFit="1" customWidth="1"/>
    <col min="9" max="9" width="26.26953125" bestFit="1" customWidth="1"/>
    <col min="10" max="10" width="25.1796875" bestFit="1" customWidth="1"/>
    <col min="11" max="11" width="20.7265625" bestFit="1" customWidth="1"/>
    <col min="12" max="12" width="24.26953125" bestFit="1" customWidth="1"/>
    <col min="13" max="13" width="14.54296875" bestFit="1" customWidth="1"/>
    <col min="14" max="14" width="27.1796875" bestFit="1" customWidth="1"/>
    <col min="15" max="15" width="14.26953125" bestFit="1" customWidth="1"/>
    <col min="16" max="16" width="15" bestFit="1" customWidth="1"/>
    <col min="17" max="17" width="23" bestFit="1" customWidth="1"/>
    <col min="18" max="18" width="27.453125" bestFit="1" customWidth="1"/>
    <col min="19" max="19" width="14.1796875" bestFit="1" customWidth="1"/>
    <col min="20" max="20" width="26" bestFit="1" customWidth="1"/>
    <col min="21" max="21" width="20.26953125" bestFit="1" customWidth="1"/>
    <col min="22" max="22" width="23.81640625" bestFit="1" customWidth="1"/>
    <col min="23" max="23" width="23" bestFit="1" customWidth="1"/>
    <col min="24" max="24" width="19.81640625" bestFit="1" customWidth="1"/>
    <col min="25" max="25" width="17.26953125" bestFit="1" customWidth="1"/>
    <col min="26" max="26" width="15.1796875" bestFit="1" customWidth="1"/>
    <col min="27" max="27" width="15.26953125" bestFit="1" customWidth="1"/>
    <col min="28" max="28" width="20" bestFit="1" customWidth="1"/>
    <col min="29" max="29" width="23.54296875" bestFit="1" customWidth="1"/>
    <col min="30" max="30" width="22.7265625" bestFit="1" customWidth="1"/>
  </cols>
  <sheetData>
    <row r="1" spans="1:30">
      <c r="A1" t="s">
        <v>8</v>
      </c>
      <c r="B1" t="s">
        <v>5</v>
      </c>
      <c r="C1" t="s">
        <v>56</v>
      </c>
      <c r="D1" t="s">
        <v>21</v>
      </c>
      <c r="E1" t="s">
        <v>16</v>
      </c>
      <c r="F1" t="s">
        <v>41</v>
      </c>
      <c r="G1" t="s">
        <v>15</v>
      </c>
      <c r="H1" s="15" t="s">
        <v>26</v>
      </c>
      <c r="I1" s="15" t="s">
        <v>27</v>
      </c>
      <c r="J1" s="15" t="s">
        <v>31</v>
      </c>
      <c r="K1" s="16" t="s">
        <v>24</v>
      </c>
      <c r="L1" s="16" t="s">
        <v>25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  <c r="R1" s="15" t="s">
        <v>38</v>
      </c>
      <c r="S1" s="15" t="s">
        <v>39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29</v>
      </c>
      <c r="AC1" t="s">
        <v>30</v>
      </c>
      <c r="AD1" t="s">
        <v>32</v>
      </c>
    </row>
    <row r="2" spans="1:30">
      <c r="A2" s="4" t="str">
        <f>ICG!$A$4</f>
        <v>#2025#IC-Property</v>
      </c>
      <c r="B2">
        <f>_xlfn.XLOOKUP(CF_Gen_3[[#This Row],[ICG]],ICG[ICG],ICG[Cohort])</f>
        <v>2025</v>
      </c>
      <c r="C2" t="str">
        <f>_xlfn.XLOOKUP(CF_Gen_3[[#This Row],[ICG]],ICG[ICG],ICG[Portfolio])</f>
        <v>IC-Property</v>
      </c>
      <c r="D2" t="str">
        <f>_xlfn.XLOOKUP(CF_Gen_3[[#This Row],[ICG]],ICG[ICG],ICG[Contract])</f>
        <v>IC</v>
      </c>
      <c r="E2" s="2">
        <f t="shared" ref="E2:E65" si="0">ValuationDate</f>
        <v>45930</v>
      </c>
      <c r="F2">
        <v>1</v>
      </c>
      <c r="G2" s="2">
        <f>EOMONTH(DATE(YEAR(CF_Gen_3[[#This Row],[Valuation]])-1,12,31),CF_Gen_3[[#This Row],['#Incurred]]*3)</f>
        <v>45747</v>
      </c>
      <c r="H2" s="13">
        <f>SUMIFS(Expected_CF[Expected_Premium],Expected_CF[ICG],CF_Gen_3[[#This Row],[ICG]],Expected_CF[Incurred],CF_Gen_3[[#This Row],[Incurred]])</f>
        <v>25082464610.223362</v>
      </c>
      <c r="I2" s="13">
        <f>SUMIFS(Expected_CF[Expected_Commission],Expected_CF[ICG],CF_Gen_3[[#This Row],[ICG]],Expected_CF[Incurred],CF_Gen_3[[#This Row],[Incurred]])</f>
        <v>-3762369691.5335045</v>
      </c>
      <c r="J2" s="13">
        <f>IF(CF_Gen_3[[#This Row],[Contract]]="IC",SUMIFS(Expected_CF[Expected_Acquisition],Expected_CF[ICG],CF_Gen_3[[#This Row],[ICG]],Expected_CF[Incurred],CF_Gen_3[[#This Row],[Incurred]]),0)</f>
        <v>-1254123230.5111682</v>
      </c>
      <c r="K2" s="13">
        <f>SUMIFS(Earned[Earned_Premium],Earned[ICG],CF_Gen_3[[#This Row],[ICG]],Earned[Incurred],CF_Gen_3[[#This Row],[Incurred]])</f>
        <v>779711688.90961802</v>
      </c>
      <c r="L2" s="13">
        <f>SUMIFS(Earned[Earned_Commission],Earned[ICG],CF_Gen_3[[#This Row],[ICG]],Earned[Incurred],CF_Gen_3[[#This Row],[Incurred]])</f>
        <v>-112698510.46029717</v>
      </c>
      <c r="M2" s="17">
        <f>_xlfn.XLOOKUP(CF_Gen_3[[#This Row],[ICG]],Assumptions[ICG],Assumptions[Loss_Ratio])</f>
        <v>0.4</v>
      </c>
      <c r="N2" s="17">
        <f>_xlfn.XLOOKUP(CF_Gen_3[[#This Row],[ICG]],Assumptions[ICG],Assumptions[Risk_Adjustment_Ratio])</f>
        <v>0.14000000000000001</v>
      </c>
      <c r="O2" s="17">
        <f>_xlfn.XLOOKUP(CF_Gen_3[[#This Row],[ICG]],Assumptions[ICG],Assumptions[PME_Ratio])</f>
        <v>4.4999999999999998E-2</v>
      </c>
      <c r="P2" s="17">
        <f>_xlfn.XLOOKUP(CF_Gen_3[[#This Row],[ICG]],Assumptions[ICG],Assumptions[ULAE_Ratio])</f>
        <v>0.11</v>
      </c>
      <c r="Q2" s="17">
        <f>_xlfn.XLOOKUP(CF_Gen_3[[#This Row],[ICG]],Assumptions[ICG],Assumptions[Cancellation_Ratio])</f>
        <v>7.0000000000000007E-2</v>
      </c>
      <c r="R2" s="17">
        <f>_xlfn.XLOOKUP(CF_Gen_3[[#This Row],[ICG]],Assumptions[ICG],Assumptions[Premium_Refund_Ratio])</f>
        <v>0.5</v>
      </c>
      <c r="S2" s="17">
        <f>IF(CF_Gen_3[[#This Row],[Contract]]="RC",_xlfn.XLOOKUP(CF_Gen_3[[#This Row],[ICG]],Assumptions[ICG],Assumptions[NPR_Ratio]),0)</f>
        <v>0</v>
      </c>
      <c r="T2" s="17">
        <v>1</v>
      </c>
      <c r="U2" s="19">
        <f>IF(CF_Gen_3[[#This Row],[Incurred]]&lt;=CF_Gen_3[[#This Row],[Valuation]],CF_Gen_3[[#This Row],[Expected_Premium]],-CF_Gen_3[[#This Row],[Probability_of_Inforce]]*CF_Gen_3[[#This Row],[Premium_Refund_Ratio]]*CF_Gen_3[[#This Row],[Cancellation_Ratio]]*SUM(K2:K$105))</f>
        <v>25082464610.223362</v>
      </c>
      <c r="V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Row],[Cancellation_Ratio]]*SUM(L2:L$105))</f>
        <v>-3762369691.5335045</v>
      </c>
      <c r="W2" s="19">
        <f>CF_Gen_3[[#This Row],[Expected_Acquisition]]</f>
        <v>-1254123230.5111682</v>
      </c>
      <c r="X2" s="19">
        <f>-CF_Gen_3[[#This Row],[Probability_of_Inforce]]*CF_Gen_3[[#This Row],[Earned_Premium]]*(1-CF_Gen_3[[#This Row],[Cancellation_Ratio]])*CF_Gen_3[[#This Row],[PME_Ratio]]+CF_Gen_3[[#This Row],[ULAE_Ratio]]*CF_Gen_3[[#This Row],[Exp_Claim]]</f>
        <v>-64536736.491049074</v>
      </c>
      <c r="Y2" s="19">
        <f>-CF_Gen_3[[#This Row],[Probability_of_Inforce]]*CF_Gen_3[[#This Row],[Earned_Premium]]*(1-CF_Gen_3[[#This Row],[Cancellation_Ratio]])*CF_Gen_3[[#This Row],[Loss_Ratio]]</f>
        <v>-290052748.27437788</v>
      </c>
      <c r="Z2" s="19">
        <f>CF_Gen_3[[#This Row],[Exp_Claim]]*CF_Gen_3[[#This Row],[Risk_Adjustment_Ratio]]</f>
        <v>-40607384.758412905</v>
      </c>
      <c r="AA2" s="19">
        <f>IF(CF_Gen_3[[#This Row],[Contract]]="RC",-CF_Gen_3[[#This Row],[NPR_Ratio]]*CF_Gen_3[[#This Row],[Exp_Claim]],0)</f>
        <v>0</v>
      </c>
      <c r="AB2" s="19">
        <f>SUMIFS(Actual_CF[Actual_Premium],Actual_CF[ICG],CF_Gen_3[[#This Row],[ICG]],Actual_CF[Incurred],CF_Gen_3[[#This Row],[Incurred]])</f>
        <v>25082464610.223362</v>
      </c>
      <c r="AC2" s="19">
        <f>SUMIFS(Actual_CF[Actual_Commission],Actual_CF[ICG],CF_Gen_3[[#This Row],[ICG]],Actual_CF[Incurred],CF_Gen_3[[#This Row],[Incurred]])</f>
        <v>-3762369691.5335045</v>
      </c>
      <c r="AD2" s="19">
        <f>SUMIFS(Actual_CF[Actual_Acquisition],Actual_CF[ICG],CF_Gen_3[[#This Row],[ICG]],Actual_CF[Incurred],CF_Gen_3[[#This Row],[Incurred]])</f>
        <v>-1254123230.5111682</v>
      </c>
    </row>
    <row r="3" spans="1:30">
      <c r="A3" t="str">
        <f>A2</f>
        <v>#2025#IC-Property</v>
      </c>
      <c r="B3">
        <f>_xlfn.XLOOKUP(CF_Gen_3[[#This Row],[ICG]],ICG[ICG],ICG[Cohort])</f>
        <v>2025</v>
      </c>
      <c r="C3" t="str">
        <f>_xlfn.XLOOKUP(CF_Gen_3[[#This Row],[ICG]],ICG[ICG],ICG[Portfolio])</f>
        <v>IC-Property</v>
      </c>
      <c r="D3" t="str">
        <f>_xlfn.XLOOKUP(CF_Gen_3[[#This Row],[ICG]],ICG[ICG],ICG[Contract])</f>
        <v>IC</v>
      </c>
      <c r="E3" s="2">
        <f t="shared" si="0"/>
        <v>45930</v>
      </c>
      <c r="F3">
        <v>2</v>
      </c>
      <c r="G3" s="2">
        <f>EOMONTH(DATE(YEAR(CF_Gen_3[[#This Row],[Valuation]])-1,12,31),CF_Gen_3[[#This Row],['#Incurred]]*3)</f>
        <v>45838</v>
      </c>
      <c r="H3" s="13">
        <f>SUMIFS(Expected_CF[Expected_Premium],Expected_CF[ICG],CF_Gen_3[[#This Row],[ICG]],Expected_CF[Incurred],CF_Gen_3[[#This Row],[Incurred]])</f>
        <v>35441376240.230103</v>
      </c>
      <c r="I3" s="13">
        <f>SUMIFS(Expected_CF[Expected_Commission],Expected_CF[ICG],CF_Gen_3[[#This Row],[ICG]],Expected_CF[Incurred],CF_Gen_3[[#This Row],[Incurred]])</f>
        <v>-4961792673.6322145</v>
      </c>
      <c r="J3" s="13">
        <f>IF(CF_Gen_3[[#This Row],[Contract]]="IC",SUMIFS(Expected_CF[Expected_Acquisition],Expected_CF[ICG],CF_Gen_3[[#This Row],[ICG]],Expected_CF[Incurred],CF_Gen_3[[#This Row],[Incurred]]),0)</f>
        <v>-1594861930.8103545</v>
      </c>
      <c r="K3" s="13">
        <f>SUMIFS(Earned[Earned_Premium],Earned[ICG],CF_Gen_3[[#This Row],[ICG]],Earned[Incurred],CF_Gen_3[[#This Row],[Incurred]])</f>
        <v>1559423377.819236</v>
      </c>
      <c r="L3" s="13">
        <f>SUMIFS(Earned[Earned_Commission],Earned[ICG],CF_Gen_3[[#This Row],[ICG]],Earned[Incurred],CF_Gen_3[[#This Row],[Incurred]])</f>
        <v>-225397020.92059433</v>
      </c>
      <c r="M3" s="17">
        <f>_xlfn.XLOOKUP(CF_Gen_3[[#This Row],[ICG]],Assumptions[ICG],Assumptions[Loss_Ratio])</f>
        <v>0.4</v>
      </c>
      <c r="N3" s="17">
        <f>_xlfn.XLOOKUP(CF_Gen_3[[#This Row],[ICG]],Assumptions[ICG],Assumptions[Risk_Adjustment_Ratio])</f>
        <v>0.14000000000000001</v>
      </c>
      <c r="O3" s="17">
        <f>_xlfn.XLOOKUP(CF_Gen_3[[#This Row],[ICG]],Assumptions[ICG],Assumptions[PME_Ratio])</f>
        <v>4.4999999999999998E-2</v>
      </c>
      <c r="P3" s="17">
        <f>_xlfn.XLOOKUP(CF_Gen_3[[#This Row],[ICG]],Assumptions[ICG],Assumptions[ULAE_Ratio])</f>
        <v>0.11</v>
      </c>
      <c r="Q3" s="17">
        <f>_xlfn.XLOOKUP(CF_Gen_3[[#This Row],[ICG]],Assumptions[ICG],Assumptions[Cancellation_Ratio])</f>
        <v>7.0000000000000007E-2</v>
      </c>
      <c r="R3" s="17">
        <f>_xlfn.XLOOKUP(CF_Gen_3[[#This Row],[ICG]],Assumptions[ICG],Assumptions[Premium_Refund_Ratio])</f>
        <v>0.5</v>
      </c>
      <c r="S3" s="17">
        <f>IF(CF_Gen_3[[#This Row],[Contract]]="RC",_xlfn.XLOOKUP(CF_Gen_3[[#This Row],[ICG]],Assumptions[ICG],Assumptions[NPR_Ratio]),0)</f>
        <v>0</v>
      </c>
      <c r="T3" s="17">
        <f>T2*(1-CF_Gen_3[[#This Row],[Cancellation_Ratio]])</f>
        <v>0.92999999999999994</v>
      </c>
      <c r="U3" s="19">
        <f>IF(CF_Gen_3[[#This Row],[Incurred]]&lt;=CF_Gen_3[[#This Row],[Valuation]],CF_Gen_3[[#This Row],[Expected_Premium]],-CF_Gen_3[[#This Row],[Probability_of_Inforce]]*CF_Gen_3[[#This Row],[Premium_Refund_Ratio]]*CF_Gen_3[[#This Row],[Cancellation_Ratio]]*SUM(K3:K$105))</f>
        <v>35441376240.230103</v>
      </c>
      <c r="V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Row],[Cancellation_Ratio]]*SUM(L3:L$105))</f>
        <v>-4961792673.6322145</v>
      </c>
      <c r="W3" s="19">
        <f>CF_Gen_3[[#This Row],[Expected_Acquisition]]</f>
        <v>-1594861930.8103545</v>
      </c>
      <c r="X3" s="19">
        <f>-CF_Gen_3[[#This Row],[Probability_of_Inforce]]*CF_Gen_3[[#This Row],[Earned_Premium]]*(1-CF_Gen_3[[#This Row],[Cancellation_Ratio]])*CF_Gen_3[[#This Row],[PME_Ratio]]+CF_Gen_3[[#This Row],[ULAE_Ratio]]*CF_Gen_3[[#This Row],[Exp_Claim]]</f>
        <v>-120038329.87335128</v>
      </c>
      <c r="Y3" s="19">
        <f>-CF_Gen_3[[#This Row],[Probability_of_Inforce]]*CF_Gen_3[[#This Row],[Earned_Premium]]*(1-CF_Gen_3[[#This Row],[Cancellation_Ratio]])*CF_Gen_3[[#This Row],[Loss_Ratio]]</f>
        <v>-539498111.79034281</v>
      </c>
      <c r="Z3" s="19">
        <f>CF_Gen_3[[#This Row],[Exp_Claim]]*CF_Gen_3[[#This Row],[Risk_Adjustment_Ratio]]</f>
        <v>-75529735.650647998</v>
      </c>
      <c r="AA3" s="19">
        <f>IF(CF_Gen_3[[#This Row],[Contract]]="RC",-CF_Gen_3[[#This Row],[NPR_Ratio]]*CF_Gen_3[[#This Row],[Exp_Claim]],0)</f>
        <v>0</v>
      </c>
      <c r="AB3" s="19">
        <f>SUMIFS(Actual_CF[Actual_Premium],Actual_CF[ICG],CF_Gen_3[[#This Row],[ICG]],Actual_CF[Incurred],CF_Gen_3[[#This Row],[Incurred]])</f>
        <v>35441376240.230103</v>
      </c>
      <c r="AC3" s="19">
        <f>SUMIFS(Actual_CF[Actual_Commission],Actual_CF[ICG],CF_Gen_3[[#This Row],[ICG]],Actual_CF[Incurred],CF_Gen_3[[#This Row],[Incurred]])</f>
        <v>-4961792673.6322145</v>
      </c>
      <c r="AD3" s="19">
        <f>SUMIFS(Actual_CF[Actual_Acquisition],Actual_CF[ICG],CF_Gen_3[[#This Row],[ICG]],Actual_CF[Incurred],CF_Gen_3[[#This Row],[Incurred]])</f>
        <v>-1594861930.8103545</v>
      </c>
    </row>
    <row r="4" spans="1:30">
      <c r="A4" t="str">
        <f t="shared" ref="A4:A67" si="1">A3</f>
        <v>#2025#IC-Property</v>
      </c>
      <c r="B4">
        <f>_xlfn.XLOOKUP(CF_Gen_3[[#This Row],[ICG]],ICG[ICG],ICG[Cohort])</f>
        <v>2025</v>
      </c>
      <c r="C4" t="str">
        <f>_xlfn.XLOOKUP(CF_Gen_3[[#This Row],[ICG]],ICG[ICG],ICG[Portfolio])</f>
        <v>IC-Property</v>
      </c>
      <c r="D4" t="str">
        <f>_xlfn.XLOOKUP(CF_Gen_3[[#This Row],[ICG]],ICG[ICG],ICG[Contract])</f>
        <v>IC</v>
      </c>
      <c r="E4" s="2">
        <f t="shared" si="0"/>
        <v>45930</v>
      </c>
      <c r="F4">
        <v>3</v>
      </c>
      <c r="G4" s="2">
        <f>EOMONTH(DATE(YEAR(CF_Gen_3[[#This Row],[Valuation]])-1,12,31),CF_Gen_3[[#This Row],['#Incurred]]*3)</f>
        <v>45930</v>
      </c>
      <c r="H4" s="14">
        <f>SUMIFS(Expected_CF[Expected_Premium],Expected_CF[ICG],CF_Gen_3[[#This Row],[ICG]],Expected_CF[Incurred],CF_Gen_3[[#This Row],[Incurred]])</f>
        <v>51754642352.531876</v>
      </c>
      <c r="I4" s="14">
        <f>SUMIFS(Expected_CF[Expected_Commission],Expected_CF[ICG],CF_Gen_3[[#This Row],[ICG]],Expected_CF[Incurred],CF_Gen_3[[#This Row],[Incurred]])</f>
        <v>-7504423141.1171217</v>
      </c>
      <c r="J4" s="14">
        <f>IF(CF_Gen_3[[#This Row],[Contract]]="IC",SUMIFS(Expected_CF[Expected_Acquisition],Expected_CF[ICG],CF_Gen_3[[#This Row],[ICG]],Expected_CF[Incurred],CF_Gen_3[[#This Row],[Incurred]]),0)</f>
        <v>-2070185694.101275</v>
      </c>
      <c r="K4" s="14">
        <f>SUMIFS(Earned[Earned_Premium],Earned[ICG],CF_Gen_3[[#This Row],[ICG]],Earned[Incurred],CF_Gen_3[[#This Row],[Incurred]])</f>
        <v>2339135066.7288542</v>
      </c>
      <c r="L4" s="14">
        <f>SUMIFS(Earned[Earned_Commission],Earned[ICG],CF_Gen_3[[#This Row],[ICG]],Earned[Incurred],CF_Gen_3[[#This Row],[Incurred]])</f>
        <v>-338095531.3808915</v>
      </c>
      <c r="M4" s="18">
        <f>_xlfn.XLOOKUP(CF_Gen_3[[#This Row],[ICG]],Assumptions[ICG],Assumptions[Loss_Ratio])</f>
        <v>0.4</v>
      </c>
      <c r="N4" s="18">
        <f>_xlfn.XLOOKUP(CF_Gen_3[[#This Row],[ICG]],Assumptions[ICG],Assumptions[Risk_Adjustment_Ratio])</f>
        <v>0.14000000000000001</v>
      </c>
      <c r="O4" s="18">
        <f>_xlfn.XLOOKUP(CF_Gen_3[[#This Row],[ICG]],Assumptions[ICG],Assumptions[PME_Ratio])</f>
        <v>4.4999999999999998E-2</v>
      </c>
      <c r="P4" s="18">
        <f>_xlfn.XLOOKUP(CF_Gen_3[[#This Row],[ICG]],Assumptions[ICG],Assumptions[ULAE_Ratio])</f>
        <v>0.11</v>
      </c>
      <c r="Q4" s="18">
        <f>_xlfn.XLOOKUP(CF_Gen_3[[#This Row],[ICG]],Assumptions[ICG],Assumptions[Cancellation_Ratio])</f>
        <v>7.0000000000000007E-2</v>
      </c>
      <c r="R4" s="18">
        <f>_xlfn.XLOOKUP(CF_Gen_3[[#This Row],[ICG]],Assumptions[ICG],Assumptions[Premium_Refund_Ratio])</f>
        <v>0.5</v>
      </c>
      <c r="S4" s="18">
        <f>IF(CF_Gen_3[[#This Row],[Contract]]="RC",_xlfn.XLOOKUP(CF_Gen_3[[#This Row],[ICG]],Assumptions[ICG],Assumptions[NPR_Ratio]),0)</f>
        <v>0</v>
      </c>
      <c r="T4" s="17">
        <f>T3*(1-CF_Gen_3[[#This Row],[Cancellation_Ratio]])</f>
        <v>0.86489999999999989</v>
      </c>
      <c r="U4" s="19">
        <f>IF(CF_Gen_3[[#This Row],[Incurred]]&lt;=CF_Gen_3[[#This Row],[Valuation]],CF_Gen_3[[#This Row],[Expected_Premium]],-CF_Gen_3[[#This Row],[Probability_of_Inforce]]*CF_Gen_3[[#This Row],[Premium_Refund_Ratio]]*CF_Gen_3[[#This Row],[Cancellation_Ratio]]*SUM(K4:K$105))</f>
        <v>51754642352.531876</v>
      </c>
      <c r="V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Row],[Cancellation_Ratio]]*SUM(L4:L$105))</f>
        <v>-7504423141.1171217</v>
      </c>
      <c r="W4" s="19">
        <f>CF_Gen_3[[#This Row],[Expected_Acquisition]]</f>
        <v>-2070185694.101275</v>
      </c>
      <c r="X4" s="19">
        <f>-CF_Gen_3[[#This Row],[Probability_of_Inforce]]*CF_Gen_3[[#This Row],[Earned_Premium]]*(1-CF_Gen_3[[#This Row],[Cancellation_Ratio]])*CF_Gen_3[[#This Row],[PME_Ratio]]+CF_Gen_3[[#This Row],[ULAE_Ratio]]*CF_Gen_3[[#This Row],[Exp_Claim]]</f>
        <v>-167453470.173325</v>
      </c>
      <c r="Y4" s="19">
        <f>-CF_Gen_3[[#This Row],[Probability_of_Inforce]]*CF_Gen_3[[#This Row],[Earned_Premium]]*(1-CF_Gen_3[[#This Row],[Cancellation_Ratio]])*CF_Gen_3[[#This Row],[Loss_Ratio]]</f>
        <v>-752599865.94752824</v>
      </c>
      <c r="Z4" s="19">
        <f>CF_Gen_3[[#This Row],[Exp_Claim]]*CF_Gen_3[[#This Row],[Risk_Adjustment_Ratio]]</f>
        <v>-105363981.23265396</v>
      </c>
      <c r="AA4" s="19">
        <f>IF(CF_Gen_3[[#This Row],[Contract]]="RC",-CF_Gen_3[[#This Row],[NPR_Ratio]]*CF_Gen_3[[#This Row],[Exp_Claim]],0)</f>
        <v>0</v>
      </c>
      <c r="AB4" s="19">
        <f>SUMIFS(Actual_CF[Actual_Premium],Actual_CF[ICG],CF_Gen_3[[#This Row],[ICG]],Actual_CF[Incurred],CF_Gen_3[[#This Row],[Incurred]])</f>
        <v>51754642352.531876</v>
      </c>
      <c r="AC4" s="19">
        <f>SUMIFS(Actual_CF[Actual_Commission],Actual_CF[ICG],CF_Gen_3[[#This Row],[ICG]],Actual_CF[Incurred],CF_Gen_3[[#This Row],[Incurred]])</f>
        <v>-7504423141.1171217</v>
      </c>
      <c r="AD4" s="19">
        <f>SUMIFS(Actual_CF[Actual_Acquisition],Actual_CF[ICG],CF_Gen_3[[#This Row],[ICG]],Actual_CF[Incurred],CF_Gen_3[[#This Row],[Incurred]])</f>
        <v>-2070185694.101275</v>
      </c>
    </row>
    <row r="5" spans="1:30">
      <c r="A5" t="str">
        <f t="shared" si="1"/>
        <v>#2025#IC-Property</v>
      </c>
      <c r="B5">
        <f>_xlfn.XLOOKUP(CF_Gen_3[[#This Row],[ICG]],ICG[ICG],ICG[Cohort])</f>
        <v>2025</v>
      </c>
      <c r="C5" t="str">
        <f>_xlfn.XLOOKUP(CF_Gen_3[[#This Row],[ICG]],ICG[ICG],ICG[Portfolio])</f>
        <v>IC-Property</v>
      </c>
      <c r="D5" t="str">
        <f>_xlfn.XLOOKUP(CF_Gen_3[[#This Row],[ICG]],ICG[ICG],ICG[Contract])</f>
        <v>IC</v>
      </c>
      <c r="E5" s="2">
        <f t="shared" si="0"/>
        <v>45930</v>
      </c>
      <c r="F5">
        <v>4</v>
      </c>
      <c r="G5" s="2">
        <f>EOMONTH(DATE(YEAR(CF_Gen_3[[#This Row],[Valuation]])-1,12,31),CF_Gen_3[[#This Row],['#Incurred]]*3)</f>
        <v>46022</v>
      </c>
      <c r="H5" s="14">
        <f>SUMIFS(Expected_CF[Expected_Premium],Expected_CF[ICG],CF_Gen_3[[#This Row],[ICG]],Expected_CF[Incurred],CF_Gen_3[[#This Row],[Incurred]])</f>
        <v>0</v>
      </c>
      <c r="I5" s="14">
        <f>SUMIFS(Expected_CF[Expected_Commission],Expected_CF[ICG],CF_Gen_3[[#This Row],[ICG]],Expected_CF[Incurred],CF_Gen_3[[#This Row],[Incurred]])</f>
        <v>0</v>
      </c>
      <c r="J5" s="14">
        <f>IF(CF_Gen_3[[#This Row],[Contract]]="IC",SUMIFS(Expected_CF[Expected_Acquisition],Expected_CF[ICG],CF_Gen_3[[#This Row],[ICG]],Expected_CF[Incurred],CF_Gen_3[[#This Row],[Incurred]]),0)</f>
        <v>0</v>
      </c>
      <c r="K5" s="14">
        <f>SUMIFS(Earned[Earned_Premium],Earned[ICG],CF_Gen_3[[#This Row],[ICG]],Earned[Incurred],CF_Gen_3[[#This Row],[Incurred]])</f>
        <v>2339135066.7288542</v>
      </c>
      <c r="L5" s="14">
        <f>SUMIFS(Earned[Earned_Commission],Earned[ICG],CF_Gen_3[[#This Row],[ICG]],Earned[Incurred],CF_Gen_3[[#This Row],[Incurred]])</f>
        <v>-338095531.3808915</v>
      </c>
      <c r="M5" s="18">
        <f>_xlfn.XLOOKUP(CF_Gen_3[[#This Row],[ICG]],Assumptions[ICG],Assumptions[Loss_Ratio])</f>
        <v>0.4</v>
      </c>
      <c r="N5" s="18">
        <f>_xlfn.XLOOKUP(CF_Gen_3[[#This Row],[ICG]],Assumptions[ICG],Assumptions[Risk_Adjustment_Ratio])</f>
        <v>0.14000000000000001</v>
      </c>
      <c r="O5" s="18">
        <f>_xlfn.XLOOKUP(CF_Gen_3[[#This Row],[ICG]],Assumptions[ICG],Assumptions[PME_Ratio])</f>
        <v>4.4999999999999998E-2</v>
      </c>
      <c r="P5" s="18">
        <f>_xlfn.XLOOKUP(CF_Gen_3[[#This Row],[ICG]],Assumptions[ICG],Assumptions[ULAE_Ratio])</f>
        <v>0.11</v>
      </c>
      <c r="Q5" s="18">
        <f>_xlfn.XLOOKUP(CF_Gen_3[[#This Row],[ICG]],Assumptions[ICG],Assumptions[Cancellation_Ratio])</f>
        <v>7.0000000000000007E-2</v>
      </c>
      <c r="R5" s="18">
        <f>_xlfn.XLOOKUP(CF_Gen_3[[#This Row],[ICG]],Assumptions[ICG],Assumptions[Premium_Refund_Ratio])</f>
        <v>0.5</v>
      </c>
      <c r="S5" s="18">
        <f>IF(CF_Gen_3[[#This Row],[Contract]]="RC",_xlfn.XLOOKUP(CF_Gen_3[[#This Row],[ICG]],Assumptions[ICG],Assumptions[NPR_Ratio]),0)</f>
        <v>0</v>
      </c>
      <c r="T5" s="17">
        <f>T4*(1-CF_Gen_3[[#This Row],[Cancellation_Ratio]])</f>
        <v>0.80435699999999988</v>
      </c>
      <c r="U5" s="19">
        <f>IF(CF_Gen_3[[#This Row],[Incurred]]&lt;=CF_Gen_3[[#This Row],[Valuation]],CF_Gen_3[[#This Row],[Expected_Premium]],-CF_Gen_3[[#This Row],[Probability_of_Inforce]]*CF_Gen_3[[#This Row],[Premium_Refund_Ratio]]*CF_Gen_3[[#This Row],[Cancellation_Ratio]]*SUM(K5:K$105))</f>
        <v>-3029214460.4388013</v>
      </c>
      <c r="V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Row],[Cancellation_Ratio]]*SUM(L5:L$105))</f>
        <v>437838706.80925292</v>
      </c>
      <c r="W5" s="19">
        <f>CF_Gen_3[[#This Row],[Expected_Acquisition]]</f>
        <v>0</v>
      </c>
      <c r="X5" s="19">
        <f>-CF_Gen_3[[#This Row],[Probability_of_Inforce]]*CF_Gen_3[[#This Row],[Earned_Premium]]*(1-CF_Gen_3[[#This Row],[Cancellation_Ratio]])*CF_Gen_3[[#This Row],[PME_Ratio]]+CF_Gen_3[[#This Row],[ULAE_Ratio]]*CF_Gen_3[[#This Row],[Exp_Claim]]</f>
        <v>-155731727.26119229</v>
      </c>
      <c r="Y5" s="19">
        <f>-CF_Gen_3[[#This Row],[Probability_of_Inforce]]*CF_Gen_3[[#This Row],[Earned_Premium]]*(1-CF_Gen_3[[#This Row],[Cancellation_Ratio]])*CF_Gen_3[[#This Row],[Loss_Ratio]]</f>
        <v>-699917875.33120131</v>
      </c>
      <c r="Z5" s="19">
        <f>CF_Gen_3[[#This Row],[Exp_Claim]]*CF_Gen_3[[#This Row],[Risk_Adjustment_Ratio]]</f>
        <v>-97988502.546368197</v>
      </c>
      <c r="AA5" s="19">
        <f>IF(CF_Gen_3[[#This Row],[Contract]]="RC",-CF_Gen_3[[#This Row],[NPR_Ratio]]*CF_Gen_3[[#This Row],[Exp_Claim]],0)</f>
        <v>0</v>
      </c>
      <c r="AB5" s="19">
        <f>SUMIFS(Actual_CF[Actual_Premium],Actual_CF[ICG],CF_Gen_3[[#This Row],[ICG]],Actual_CF[Incurred],CF_Gen_3[[#This Row],[Incurred]])</f>
        <v>0</v>
      </c>
      <c r="AC5" s="19">
        <f>SUMIFS(Actual_CF[Actual_Commission],Actual_CF[ICG],CF_Gen_3[[#This Row],[ICG]],Actual_CF[Incurred],CF_Gen_3[[#This Row],[Incurred]])</f>
        <v>0</v>
      </c>
      <c r="AD5" s="19">
        <f>SUMIFS(Actual_CF[Actual_Acquisition],Actual_CF[ICG],CF_Gen_3[[#This Row],[ICG]],Actual_CF[Incurred],CF_Gen_3[[#This Row],[Incurred]])</f>
        <v>0</v>
      </c>
    </row>
    <row r="6" spans="1:30">
      <c r="A6" t="str">
        <f t="shared" si="1"/>
        <v>#2025#IC-Property</v>
      </c>
      <c r="B6">
        <f>_xlfn.XLOOKUP(CF_Gen_3[[#This Row],[ICG]],ICG[ICG],ICG[Cohort])</f>
        <v>2025</v>
      </c>
      <c r="C6" t="str">
        <f>_xlfn.XLOOKUP(CF_Gen_3[[#This Row],[ICG]],ICG[ICG],ICG[Portfolio])</f>
        <v>IC-Property</v>
      </c>
      <c r="D6" t="str">
        <f>_xlfn.XLOOKUP(CF_Gen_3[[#This Row],[ICG]],ICG[ICG],ICG[Contract])</f>
        <v>IC</v>
      </c>
      <c r="E6" s="2">
        <f t="shared" si="0"/>
        <v>45930</v>
      </c>
      <c r="F6">
        <v>5</v>
      </c>
      <c r="G6" s="2">
        <f>EOMONTH(DATE(YEAR(CF_Gen_3[[#This Row],[Valuation]])-1,12,31),CF_Gen_3[[#This Row],['#Incurred]]*3)</f>
        <v>46112</v>
      </c>
      <c r="H6" s="14">
        <f>SUMIFS(Expected_CF[Expected_Premium],Expected_CF[ICG],CF_Gen_3[[#This Row],[ICG]],Expected_CF[Incurred],CF_Gen_3[[#This Row],[Incurred]])</f>
        <v>0</v>
      </c>
      <c r="I6" s="14">
        <f>SUMIFS(Expected_CF[Expected_Commission],Expected_CF[ICG],CF_Gen_3[[#This Row],[ICG]],Expected_CF[Incurred],CF_Gen_3[[#This Row],[Incurred]])</f>
        <v>0</v>
      </c>
      <c r="J6" s="14">
        <f>IF(CF_Gen_3[[#This Row],[Contract]]="IC",SUMIFS(Expected_CF[Expected_Acquisition],Expected_CF[ICG],CF_Gen_3[[#This Row],[ICG]],Expected_CF[Incurred],CF_Gen_3[[#This Row],[Incurred]]),0)</f>
        <v>0</v>
      </c>
      <c r="K6" s="14">
        <f>SUMIFS(Earned[Earned_Premium],Earned[ICG],CF_Gen_3[[#This Row],[ICG]],Earned[Incurred],CF_Gen_3[[#This Row],[Incurred]])</f>
        <v>2305234558.5153923</v>
      </c>
      <c r="L6" s="14">
        <f>SUMIFS(Earned[Earned_Commission],Earned[ICG],CF_Gen_3[[#This Row],[ICG]],Earned[Incurred],CF_Gen_3[[#This Row],[Incurred]])</f>
        <v>-333195596.14348727</v>
      </c>
      <c r="M6" s="18">
        <f>_xlfn.XLOOKUP(CF_Gen_3[[#This Row],[ICG]],Assumptions[ICG],Assumptions[Loss_Ratio])</f>
        <v>0.4</v>
      </c>
      <c r="N6" s="18">
        <f>_xlfn.XLOOKUP(CF_Gen_3[[#This Row],[ICG]],Assumptions[ICG],Assumptions[Risk_Adjustment_Ratio])</f>
        <v>0.14000000000000001</v>
      </c>
      <c r="O6" s="18">
        <f>_xlfn.XLOOKUP(CF_Gen_3[[#This Row],[ICG]],Assumptions[ICG],Assumptions[PME_Ratio])</f>
        <v>4.4999999999999998E-2</v>
      </c>
      <c r="P6" s="18">
        <f>_xlfn.XLOOKUP(CF_Gen_3[[#This Row],[ICG]],Assumptions[ICG],Assumptions[ULAE_Ratio])</f>
        <v>0.11</v>
      </c>
      <c r="Q6" s="18">
        <f>_xlfn.XLOOKUP(CF_Gen_3[[#This Row],[ICG]],Assumptions[ICG],Assumptions[Cancellation_Ratio])</f>
        <v>7.0000000000000007E-2</v>
      </c>
      <c r="R6" s="18">
        <f>_xlfn.XLOOKUP(CF_Gen_3[[#This Row],[ICG]],Assumptions[ICG],Assumptions[Premium_Refund_Ratio])</f>
        <v>0.5</v>
      </c>
      <c r="S6" s="18">
        <f>IF(CF_Gen_3[[#This Row],[Contract]]="RC",_xlfn.XLOOKUP(CF_Gen_3[[#This Row],[ICG]],Assumptions[ICG],Assumptions[NPR_Ratio]),0)</f>
        <v>0</v>
      </c>
      <c r="T6" s="17">
        <f>T5*(1-CF_Gen_3[[#This Row],[Cancellation_Ratio]])</f>
        <v>0.74805200999999988</v>
      </c>
      <c r="U6" s="19">
        <f>IF(CF_Gen_3[[#This Row],[Incurred]]&lt;=CF_Gen_3[[#This Row],[Valuation]],CF_Gen_3[[#This Row],[Expected_Premium]],-CF_Gen_3[[#This Row],[Probability_of_Inforce]]*CF_Gen_3[[#This Row],[Premium_Refund_Ratio]]*CF_Gen_3[[#This Row],[Cancellation_Ratio]]*SUM(K6:K$105))</f>
        <v>-2755926634.1166053</v>
      </c>
      <c r="V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Row],[Cancellation_Ratio]]*SUM(L6:L$105))</f>
        <v>398338040.86885297</v>
      </c>
      <c r="W6" s="19">
        <f>CF_Gen_3[[#This Row],[Expected_Acquisition]]</f>
        <v>0</v>
      </c>
      <c r="X6" s="19">
        <f>-CF_Gen_3[[#This Row],[Probability_of_Inforce]]*CF_Gen_3[[#This Row],[Earned_Premium]]*(1-CF_Gen_3[[#This Row],[Cancellation_Ratio]])*CF_Gen_3[[#This Row],[PME_Ratio]]+CF_Gen_3[[#This Row],[ULAE_Ratio]]*CF_Gen_3[[#This Row],[Exp_Claim]]</f>
        <v>-142731513.50721449</v>
      </c>
      <c r="Y6" s="19">
        <f>-CF_Gen_3[[#This Row],[Probability_of_Inforce]]*CF_Gen_3[[#This Row],[Earned_Premium]]*(1-CF_Gen_3[[#This Row],[Cancellation_Ratio]])*CF_Gen_3[[#This Row],[Loss_Ratio]]</f>
        <v>-641489948.34703135</v>
      </c>
      <c r="Z6" s="19">
        <f>CF_Gen_3[[#This Row],[Exp_Claim]]*CF_Gen_3[[#This Row],[Risk_Adjustment_Ratio]]</f>
        <v>-89808592.7685844</v>
      </c>
      <c r="AA6" s="19">
        <f>IF(CF_Gen_3[[#This Row],[Contract]]="RC",-CF_Gen_3[[#This Row],[NPR_Ratio]]*CF_Gen_3[[#This Row],[Exp_Claim]],0)</f>
        <v>0</v>
      </c>
      <c r="AB6" s="19">
        <f>SUMIFS(Actual_CF[Actual_Premium],Actual_CF[ICG],CF_Gen_3[[#This Row],[ICG]],Actual_CF[Incurred],CF_Gen_3[[#This Row],[Incurred]])</f>
        <v>0</v>
      </c>
      <c r="AC6" s="19">
        <f>SUMIFS(Actual_CF[Actual_Commission],Actual_CF[ICG],CF_Gen_3[[#This Row],[ICG]],Actual_CF[Incurred],CF_Gen_3[[#This Row],[Incurred]])</f>
        <v>0</v>
      </c>
      <c r="AD6" s="19">
        <f>SUMIFS(Actual_CF[Actual_Acquisition],Actual_CF[ICG],CF_Gen_3[[#This Row],[ICG]],Actual_CF[Incurred],CF_Gen_3[[#This Row],[Incurred]])</f>
        <v>0</v>
      </c>
    </row>
    <row r="7" spans="1:30">
      <c r="A7" t="str">
        <f t="shared" si="1"/>
        <v>#2025#IC-Property</v>
      </c>
      <c r="B7">
        <f>_xlfn.XLOOKUP(CF_Gen_3[[#This Row],[ICG]],ICG[ICG],ICG[Cohort])</f>
        <v>2025</v>
      </c>
      <c r="C7" t="str">
        <f>_xlfn.XLOOKUP(CF_Gen_3[[#This Row],[ICG]],ICG[ICG],ICG[Portfolio])</f>
        <v>IC-Property</v>
      </c>
      <c r="D7" t="str">
        <f>_xlfn.XLOOKUP(CF_Gen_3[[#This Row],[ICG]],ICG[ICG],ICG[Contract])</f>
        <v>IC</v>
      </c>
      <c r="E7" s="2">
        <f t="shared" si="0"/>
        <v>45930</v>
      </c>
      <c r="F7">
        <v>6</v>
      </c>
      <c r="G7" s="2">
        <f>EOMONTH(DATE(YEAR(CF_Gen_3[[#This Row],[Valuation]])-1,12,31),CF_Gen_3[[#This Row],['#Incurred]]*3)</f>
        <v>46203</v>
      </c>
      <c r="H7" s="14">
        <f>SUMIFS(Expected_CF[Expected_Premium],Expected_CF[ICG],CF_Gen_3[[#This Row],[ICG]],Expected_CF[Incurred],CF_Gen_3[[#This Row],[Incurred]])</f>
        <v>0</v>
      </c>
      <c r="I7" s="14">
        <f>SUMIFS(Expected_CF[Expected_Commission],Expected_CF[ICG],CF_Gen_3[[#This Row],[ICG]],Expected_CF[Incurred],CF_Gen_3[[#This Row],[Incurred]])</f>
        <v>0</v>
      </c>
      <c r="J7" s="14">
        <f>IF(CF_Gen_3[[#This Row],[Contract]]="IC",SUMIFS(Expected_CF[Expected_Acquisition],Expected_CF[ICG],CF_Gen_3[[#This Row],[ICG]],Expected_CF[Incurred],CF_Gen_3[[#This Row],[Incurred]]),0)</f>
        <v>0</v>
      </c>
      <c r="K7" s="14">
        <f>SUMIFS(Earned[Earned_Premium],Earned[ICG],CF_Gen_3[[#This Row],[ICG]],Earned[Incurred],CF_Gen_3[[#This Row],[Incurred]])</f>
        <v>2271334050.3019304</v>
      </c>
      <c r="L7" s="14">
        <f>SUMIFS(Earned[Earned_Commission],Earned[ICG],CF_Gen_3[[#This Row],[ICG]],Earned[Incurred],CF_Gen_3[[#This Row],[Incurred]])</f>
        <v>-328295660.90608299</v>
      </c>
      <c r="M7" s="18">
        <f>_xlfn.XLOOKUP(CF_Gen_3[[#This Row],[ICG]],Assumptions[ICG],Assumptions[Loss_Ratio])</f>
        <v>0.4</v>
      </c>
      <c r="N7" s="18">
        <f>_xlfn.XLOOKUP(CF_Gen_3[[#This Row],[ICG]],Assumptions[ICG],Assumptions[Risk_Adjustment_Ratio])</f>
        <v>0.14000000000000001</v>
      </c>
      <c r="O7" s="18">
        <f>_xlfn.XLOOKUP(CF_Gen_3[[#This Row],[ICG]],Assumptions[ICG],Assumptions[PME_Ratio])</f>
        <v>4.4999999999999998E-2</v>
      </c>
      <c r="P7" s="18">
        <f>_xlfn.XLOOKUP(CF_Gen_3[[#This Row],[ICG]],Assumptions[ICG],Assumptions[ULAE_Ratio])</f>
        <v>0.11</v>
      </c>
      <c r="Q7" s="18">
        <f>_xlfn.XLOOKUP(CF_Gen_3[[#This Row],[ICG]],Assumptions[ICG],Assumptions[Cancellation_Ratio])</f>
        <v>7.0000000000000007E-2</v>
      </c>
      <c r="R7" s="18">
        <f>_xlfn.XLOOKUP(CF_Gen_3[[#This Row],[ICG]],Assumptions[ICG],Assumptions[Premium_Refund_Ratio])</f>
        <v>0.5</v>
      </c>
      <c r="S7" s="18">
        <f>IF(CF_Gen_3[[#This Row],[Contract]]="RC",_xlfn.XLOOKUP(CF_Gen_3[[#This Row],[ICG]],Assumptions[ICG],Assumptions[NPR_Ratio]),0)</f>
        <v>0</v>
      </c>
      <c r="T7" s="17">
        <f>T6*(1-CF_Gen_3[[#This Row],[Cancellation_Ratio]])</f>
        <v>0.69568836929999989</v>
      </c>
      <c r="U7" s="19">
        <f>IF(CF_Gen_3[[#This Row],[Incurred]]&lt;=CF_Gen_3[[#This Row],[Valuation]],CF_Gen_3[[#This Row],[Expected_Premium]],-CF_Gen_3[[#This Row],[Probability_of_Inforce]]*CF_Gen_3[[#This Row],[Premium_Refund_Ratio]]*CF_Gen_3[[#This Row],[Cancellation_Ratio]]*SUM(K7:K$105))</f>
        <v>-2506881399.2480779</v>
      </c>
      <c r="V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Row],[Cancellation_Ratio]]*SUM(L7:L$105))</f>
        <v>362341367.47516817</v>
      </c>
      <c r="W7" s="19">
        <f>CF_Gen_3[[#This Row],[Expected_Acquisition]]</f>
        <v>0</v>
      </c>
      <c r="X7" s="19">
        <f>-CF_Gen_3[[#This Row],[Probability_of_Inforce]]*CF_Gen_3[[#This Row],[Earned_Premium]]*(1-CF_Gen_3[[#This Row],[Cancellation_Ratio]])*CF_Gen_3[[#This Row],[PME_Ratio]]+CF_Gen_3[[#This Row],[ULAE_Ratio]]*CF_Gen_3[[#This Row],[Exp_Claim]]</f>
        <v>-130788244.21521372</v>
      </c>
      <c r="Y7" s="19">
        <f>-CF_Gen_3[[#This Row],[Probability_of_Inforce]]*CF_Gen_3[[#This Row],[Earned_Premium]]*(1-CF_Gen_3[[#This Row],[Cancellation_Ratio]])*CF_Gen_3[[#This Row],[Loss_Ratio]]</f>
        <v>-587812333.55152237</v>
      </c>
      <c r="Z7" s="19">
        <f>CF_Gen_3[[#This Row],[Exp_Claim]]*CF_Gen_3[[#This Row],[Risk_Adjustment_Ratio]]</f>
        <v>-82293726.697213143</v>
      </c>
      <c r="AA7" s="19">
        <f>IF(CF_Gen_3[[#This Row],[Contract]]="RC",-CF_Gen_3[[#This Row],[NPR_Ratio]]*CF_Gen_3[[#This Row],[Exp_Claim]],0)</f>
        <v>0</v>
      </c>
      <c r="AB7" s="19">
        <f>SUMIFS(Actual_CF[Actual_Premium],Actual_CF[ICG],CF_Gen_3[[#This Row],[ICG]],Actual_CF[Incurred],CF_Gen_3[[#This Row],[Incurred]])</f>
        <v>0</v>
      </c>
      <c r="AC7" s="19">
        <f>SUMIFS(Actual_CF[Actual_Commission],Actual_CF[ICG],CF_Gen_3[[#This Row],[ICG]],Actual_CF[Incurred],CF_Gen_3[[#This Row],[Incurred]])</f>
        <v>0</v>
      </c>
      <c r="AD7" s="19">
        <f>SUMIFS(Actual_CF[Actual_Acquisition],Actual_CF[ICG],CF_Gen_3[[#This Row],[ICG]],Actual_CF[Incurred],CF_Gen_3[[#This Row],[Incurred]])</f>
        <v>0</v>
      </c>
    </row>
    <row r="8" spans="1:30">
      <c r="A8" t="str">
        <f t="shared" si="1"/>
        <v>#2025#IC-Property</v>
      </c>
      <c r="B8">
        <f>_xlfn.XLOOKUP(CF_Gen_3[[#This Row],[ICG]],ICG[ICG],ICG[Cohort])</f>
        <v>2025</v>
      </c>
      <c r="C8" t="str">
        <f>_xlfn.XLOOKUP(CF_Gen_3[[#This Row],[ICG]],ICG[ICG],ICG[Portfolio])</f>
        <v>IC-Property</v>
      </c>
      <c r="D8" t="str">
        <f>_xlfn.XLOOKUP(CF_Gen_3[[#This Row],[ICG]],ICG[ICG],ICG[Contract])</f>
        <v>IC</v>
      </c>
      <c r="E8" s="2">
        <f t="shared" si="0"/>
        <v>45930</v>
      </c>
      <c r="F8">
        <v>7</v>
      </c>
      <c r="G8" s="2">
        <f>EOMONTH(DATE(YEAR(CF_Gen_3[[#This Row],[Valuation]])-1,12,31),CF_Gen_3[[#This Row],['#Incurred]]*3)</f>
        <v>46295</v>
      </c>
      <c r="H8" s="14">
        <f>SUMIFS(Expected_CF[Expected_Premium],Expected_CF[ICG],CF_Gen_3[[#This Row],[ICG]],Expected_CF[Incurred],CF_Gen_3[[#This Row],[Incurred]])</f>
        <v>0</v>
      </c>
      <c r="I8" s="14">
        <f>SUMIFS(Expected_CF[Expected_Commission],Expected_CF[ICG],CF_Gen_3[[#This Row],[ICG]],Expected_CF[Incurred],CF_Gen_3[[#This Row],[Incurred]])</f>
        <v>0</v>
      </c>
      <c r="J8" s="14">
        <f>IF(CF_Gen_3[[#This Row],[Contract]]="IC",SUMIFS(Expected_CF[Expected_Acquisition],Expected_CF[ICG],CF_Gen_3[[#This Row],[ICG]],Expected_CF[Incurred],CF_Gen_3[[#This Row],[Incurred]]),0)</f>
        <v>0</v>
      </c>
      <c r="K8" s="14">
        <f>SUMIFS(Earned[Earned_Premium],Earned[ICG],CF_Gen_3[[#This Row],[ICG]],Earned[Incurred],CF_Gen_3[[#This Row],[Incurred]])</f>
        <v>2237433542.088469</v>
      </c>
      <c r="L8" s="14">
        <f>SUMIFS(Earned[Earned_Commission],Earned[ICG],CF_Gen_3[[#This Row],[ICG]],Earned[Incurred],CF_Gen_3[[#This Row],[Incurred]])</f>
        <v>-323395725.66867882</v>
      </c>
      <c r="M8" s="18">
        <f>_xlfn.XLOOKUP(CF_Gen_3[[#This Row],[ICG]],Assumptions[ICG],Assumptions[Loss_Ratio])</f>
        <v>0.4</v>
      </c>
      <c r="N8" s="18">
        <f>_xlfn.XLOOKUP(CF_Gen_3[[#This Row],[ICG]],Assumptions[ICG],Assumptions[Risk_Adjustment_Ratio])</f>
        <v>0.14000000000000001</v>
      </c>
      <c r="O8" s="18">
        <f>_xlfn.XLOOKUP(CF_Gen_3[[#This Row],[ICG]],Assumptions[ICG],Assumptions[PME_Ratio])</f>
        <v>4.4999999999999998E-2</v>
      </c>
      <c r="P8" s="18">
        <f>_xlfn.XLOOKUP(CF_Gen_3[[#This Row],[ICG]],Assumptions[ICG],Assumptions[ULAE_Ratio])</f>
        <v>0.11</v>
      </c>
      <c r="Q8" s="18">
        <f>_xlfn.XLOOKUP(CF_Gen_3[[#This Row],[ICG]],Assumptions[ICG],Assumptions[Cancellation_Ratio])</f>
        <v>7.0000000000000007E-2</v>
      </c>
      <c r="R8" s="18">
        <f>_xlfn.XLOOKUP(CF_Gen_3[[#This Row],[ICG]],Assumptions[ICG],Assumptions[Premium_Refund_Ratio])</f>
        <v>0.5</v>
      </c>
      <c r="S8" s="18">
        <f>IF(CF_Gen_3[[#This Row],[Contract]]="RC",_xlfn.XLOOKUP(CF_Gen_3[[#This Row],[ICG]],Assumptions[ICG],Assumptions[NPR_Ratio]),0)</f>
        <v>0</v>
      </c>
      <c r="T8" s="17">
        <f>T7*(1-CF_Gen_3[[#This Row],[Cancellation_Ratio]])</f>
        <v>0.64699018344899983</v>
      </c>
      <c r="U8" s="19">
        <f>IF(CF_Gen_3[[#This Row],[Incurred]]&lt;=CF_Gen_3[[#This Row],[Valuation]],CF_Gen_3[[#This Row],[Expected_Premium]],-CF_Gen_3[[#This Row],[Probability_of_Inforce]]*CF_Gen_3[[#This Row],[Premium_Refund_Ratio]]*CF_Gen_3[[#This Row],[Cancellation_Ratio]]*SUM(K8:K$105))</f>
        <v>-2279966122.1149545</v>
      </c>
      <c r="V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Row],[Cancellation_Ratio]]*SUM(L8:L$105))</f>
        <v>329543329.3062765</v>
      </c>
      <c r="W8" s="19">
        <f>CF_Gen_3[[#This Row],[Expected_Acquisition]]</f>
        <v>0</v>
      </c>
      <c r="X8" s="19">
        <f>-CF_Gen_3[[#This Row],[Probability_of_Inforce]]*CF_Gen_3[[#This Row],[Earned_Premium]]*(1-CF_Gen_3[[#This Row],[Cancellation_Ratio]])*CF_Gen_3[[#This Row],[PME_Ratio]]+CF_Gen_3[[#This Row],[ULAE_Ratio]]*CF_Gen_3[[#This Row],[Exp_Claim]]</f>
        <v>-119817648.20790774</v>
      </c>
      <c r="Y8" s="19">
        <f>-CF_Gen_3[[#This Row],[Probability_of_Inforce]]*CF_Gen_3[[#This Row],[Earned_Premium]]*(1-CF_Gen_3[[#This Row],[Cancellation_Ratio]])*CF_Gen_3[[#This Row],[Loss_Ratio]]</f>
        <v>-538506284.08048427</v>
      </c>
      <c r="Z8" s="19">
        <f>CF_Gen_3[[#This Row],[Exp_Claim]]*CF_Gen_3[[#This Row],[Risk_Adjustment_Ratio]]</f>
        <v>-75390879.771267802</v>
      </c>
      <c r="AA8" s="19">
        <f>IF(CF_Gen_3[[#This Row],[Contract]]="RC",-CF_Gen_3[[#This Row],[NPR_Ratio]]*CF_Gen_3[[#This Row],[Exp_Claim]],0)</f>
        <v>0</v>
      </c>
      <c r="AB8" s="19">
        <f>SUMIFS(Actual_CF[Actual_Premium],Actual_CF[ICG],CF_Gen_3[[#This Row],[ICG]],Actual_CF[Incurred],CF_Gen_3[[#This Row],[Incurred]])</f>
        <v>0</v>
      </c>
      <c r="AC8" s="19">
        <f>SUMIFS(Actual_CF[Actual_Commission],Actual_CF[ICG],CF_Gen_3[[#This Row],[ICG]],Actual_CF[Incurred],CF_Gen_3[[#This Row],[Incurred]])</f>
        <v>0</v>
      </c>
      <c r="AD8" s="19">
        <f>SUMIFS(Actual_CF[Actual_Acquisition],Actual_CF[ICG],CF_Gen_3[[#This Row],[ICG]],Actual_CF[Incurred],CF_Gen_3[[#This Row],[Incurred]])</f>
        <v>0</v>
      </c>
    </row>
    <row r="9" spans="1:30">
      <c r="A9" t="str">
        <f t="shared" si="1"/>
        <v>#2025#IC-Property</v>
      </c>
      <c r="B9">
        <f>_xlfn.XLOOKUP(CF_Gen_3[[#This Row],[ICG]],ICG[ICG],ICG[Cohort])</f>
        <v>2025</v>
      </c>
      <c r="C9" t="str">
        <f>_xlfn.XLOOKUP(CF_Gen_3[[#This Row],[ICG]],ICG[ICG],ICG[Portfolio])</f>
        <v>IC-Property</v>
      </c>
      <c r="D9" t="str">
        <f>_xlfn.XLOOKUP(CF_Gen_3[[#This Row],[ICG]],ICG[ICG],ICG[Contract])</f>
        <v>IC</v>
      </c>
      <c r="E9" s="2">
        <f t="shared" si="0"/>
        <v>45930</v>
      </c>
      <c r="F9">
        <v>8</v>
      </c>
      <c r="G9" s="2">
        <f>EOMONTH(DATE(YEAR(CF_Gen_3[[#This Row],[Valuation]])-1,12,31),CF_Gen_3[[#This Row],['#Incurred]]*3)</f>
        <v>46387</v>
      </c>
      <c r="H9" s="14">
        <f>SUMIFS(Expected_CF[Expected_Premium],Expected_CF[ICG],CF_Gen_3[[#This Row],[ICG]],Expected_CF[Incurred],CF_Gen_3[[#This Row],[Incurred]])</f>
        <v>0</v>
      </c>
      <c r="I9" s="14">
        <f>SUMIFS(Expected_CF[Expected_Commission],Expected_CF[ICG],CF_Gen_3[[#This Row],[ICG]],Expected_CF[Incurred],CF_Gen_3[[#This Row],[Incurred]])</f>
        <v>0</v>
      </c>
      <c r="J9" s="14">
        <f>IF(CF_Gen_3[[#This Row],[Contract]]="IC",SUMIFS(Expected_CF[Expected_Acquisition],Expected_CF[ICG],CF_Gen_3[[#This Row],[ICG]],Expected_CF[Incurred],CF_Gen_3[[#This Row],[Incurred]]),0)</f>
        <v>0</v>
      </c>
      <c r="K9" s="14">
        <f>SUMIFS(Earned[Earned_Premium],Earned[ICG],CF_Gen_3[[#This Row],[ICG]],Earned[Incurred],CF_Gen_3[[#This Row],[Incurred]])</f>
        <v>2237433542.088469</v>
      </c>
      <c r="L9" s="14">
        <f>SUMIFS(Earned[Earned_Commission],Earned[ICG],CF_Gen_3[[#This Row],[ICG]],Earned[Incurred],CF_Gen_3[[#This Row],[Incurred]])</f>
        <v>-323395725.66867882</v>
      </c>
      <c r="M9" s="18">
        <f>_xlfn.XLOOKUP(CF_Gen_3[[#This Row],[ICG]],Assumptions[ICG],Assumptions[Loss_Ratio])</f>
        <v>0.4</v>
      </c>
      <c r="N9" s="18">
        <f>_xlfn.XLOOKUP(CF_Gen_3[[#This Row],[ICG]],Assumptions[ICG],Assumptions[Risk_Adjustment_Ratio])</f>
        <v>0.14000000000000001</v>
      </c>
      <c r="O9" s="18">
        <f>_xlfn.XLOOKUP(CF_Gen_3[[#This Row],[ICG]],Assumptions[ICG],Assumptions[PME_Ratio])</f>
        <v>4.4999999999999998E-2</v>
      </c>
      <c r="P9" s="18">
        <f>_xlfn.XLOOKUP(CF_Gen_3[[#This Row],[ICG]],Assumptions[ICG],Assumptions[ULAE_Ratio])</f>
        <v>0.11</v>
      </c>
      <c r="Q9" s="18">
        <f>_xlfn.XLOOKUP(CF_Gen_3[[#This Row],[ICG]],Assumptions[ICG],Assumptions[Cancellation_Ratio])</f>
        <v>7.0000000000000007E-2</v>
      </c>
      <c r="R9" s="18">
        <f>_xlfn.XLOOKUP(CF_Gen_3[[#This Row],[ICG]],Assumptions[ICG],Assumptions[Premium_Refund_Ratio])</f>
        <v>0.5</v>
      </c>
      <c r="S9" s="18">
        <f>IF(CF_Gen_3[[#This Row],[Contract]]="RC",_xlfn.XLOOKUP(CF_Gen_3[[#This Row],[ICG]],Assumptions[ICG],Assumptions[NPR_Ratio]),0)</f>
        <v>0</v>
      </c>
      <c r="T9" s="17">
        <f>T8*(1-CF_Gen_3[[#This Row],[Cancellation_Ratio]])</f>
        <v>0.60170087060756983</v>
      </c>
      <c r="U9" s="19">
        <f>IF(CF_Gen_3[[#This Row],[Incurred]]&lt;=CF_Gen_3[[#This Row],[Valuation]],CF_Gen_3[[#This Row],[Expected_Premium]],-CF_Gen_3[[#This Row],[Probability_of_Inforce]]*CF_Gen_3[[#This Row],[Premium_Refund_Ratio]]*CF_Gen_3[[#This Row],[Cancellation_Ratio]]*SUM(K9:K$105))</f>
        <v>-2073249193.7098646</v>
      </c>
      <c r="V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Row],[Cancellation_Ratio]]*SUM(L9:L$105))</f>
        <v>299664734.11584073</v>
      </c>
      <c r="W9" s="19">
        <f>CF_Gen_3[[#This Row],[Expected_Acquisition]]</f>
        <v>0</v>
      </c>
      <c r="X9" s="19">
        <f>-CF_Gen_3[[#This Row],[Probability_of_Inforce]]*CF_Gen_3[[#This Row],[Earned_Premium]]*(1-CF_Gen_3[[#This Row],[Cancellation_Ratio]])*CF_Gen_3[[#This Row],[PME_Ratio]]+CF_Gen_3[[#This Row],[ULAE_Ratio]]*CF_Gen_3[[#This Row],[Exp_Claim]]</f>
        <v>-111430412.83335418</v>
      </c>
      <c r="Y9" s="19">
        <f>-CF_Gen_3[[#This Row],[Probability_of_Inforce]]*CF_Gen_3[[#This Row],[Earned_Premium]]*(1-CF_Gen_3[[#This Row],[Cancellation_Ratio]])*CF_Gen_3[[#This Row],[Loss_Ratio]]</f>
        <v>-500810844.19485027</v>
      </c>
      <c r="Z9" s="19">
        <f>CF_Gen_3[[#This Row],[Exp_Claim]]*CF_Gen_3[[#This Row],[Risk_Adjustment_Ratio]]</f>
        <v>-70113518.187279046</v>
      </c>
      <c r="AA9" s="19">
        <f>IF(CF_Gen_3[[#This Row],[Contract]]="RC",-CF_Gen_3[[#This Row],[NPR_Ratio]]*CF_Gen_3[[#This Row],[Exp_Claim]],0)</f>
        <v>0</v>
      </c>
      <c r="AB9" s="19">
        <f>SUMIFS(Actual_CF[Actual_Premium],Actual_CF[ICG],CF_Gen_3[[#This Row],[ICG]],Actual_CF[Incurred],CF_Gen_3[[#This Row],[Incurred]])</f>
        <v>0</v>
      </c>
      <c r="AC9" s="19">
        <f>SUMIFS(Actual_CF[Actual_Commission],Actual_CF[ICG],CF_Gen_3[[#This Row],[ICG]],Actual_CF[Incurred],CF_Gen_3[[#This Row],[Incurred]])</f>
        <v>0</v>
      </c>
      <c r="AD9" s="19">
        <f>SUMIFS(Actual_CF[Actual_Acquisition],Actual_CF[ICG],CF_Gen_3[[#This Row],[ICG]],Actual_CF[Incurred],CF_Gen_3[[#This Row],[Incurred]])</f>
        <v>0</v>
      </c>
    </row>
    <row r="10" spans="1:30">
      <c r="A10" t="str">
        <f t="shared" si="1"/>
        <v>#2025#IC-Property</v>
      </c>
      <c r="B10">
        <f>_xlfn.XLOOKUP(CF_Gen_3[[#This Row],[ICG]],ICG[ICG],ICG[Cohort])</f>
        <v>2025</v>
      </c>
      <c r="C10" t="str">
        <f>_xlfn.XLOOKUP(CF_Gen_3[[#This Row],[ICG]],ICG[ICG],ICG[Portfolio])</f>
        <v>IC-Property</v>
      </c>
      <c r="D10" t="str">
        <f>_xlfn.XLOOKUP(CF_Gen_3[[#This Row],[ICG]],ICG[ICG],ICG[Contract])</f>
        <v>IC</v>
      </c>
      <c r="E10" s="2">
        <f t="shared" si="0"/>
        <v>45930</v>
      </c>
      <c r="F10">
        <v>9</v>
      </c>
      <c r="G10" s="2">
        <f>EOMONTH(DATE(YEAR(CF_Gen_3[[#This Row],[Valuation]])-1,12,31),CF_Gen_3[[#This Row],['#Incurred]]*3)</f>
        <v>46477</v>
      </c>
      <c r="H10" s="14">
        <f>SUMIFS(Expected_CF[Expected_Premium],Expected_CF[ICG],CF_Gen_3[[#This Row],[ICG]],Expected_CF[Incurred],CF_Gen_3[[#This Row],[Incurred]])</f>
        <v>0</v>
      </c>
      <c r="I10" s="14">
        <f>SUMIFS(Expected_CF[Expected_Commission],Expected_CF[ICG],CF_Gen_3[[#This Row],[ICG]],Expected_CF[Incurred],CF_Gen_3[[#This Row],[Incurred]])</f>
        <v>0</v>
      </c>
      <c r="J10" s="14">
        <f>IF(CF_Gen_3[[#This Row],[Contract]]="IC",SUMIFS(Expected_CF[Expected_Acquisition],Expected_CF[ICG],CF_Gen_3[[#This Row],[ICG]],Expected_CF[Incurred],CF_Gen_3[[#This Row],[Incurred]]),0)</f>
        <v>0</v>
      </c>
      <c r="K10" s="14">
        <f>SUMIFS(Earned[Earned_Premium],Earned[ICG],CF_Gen_3[[#This Row],[ICG]],Earned[Incurred],CF_Gen_3[[#This Row],[Incurred]])</f>
        <v>2203533033.8750072</v>
      </c>
      <c r="L10" s="14">
        <f>SUMIFS(Earned[Earned_Commission],Earned[ICG],CF_Gen_3[[#This Row],[ICG]],Earned[Incurred],CF_Gen_3[[#This Row],[Incurred]])</f>
        <v>-318495790.43127453</v>
      </c>
      <c r="M10" s="18">
        <f>_xlfn.XLOOKUP(CF_Gen_3[[#This Row],[ICG]],Assumptions[ICG],Assumptions[Loss_Ratio])</f>
        <v>0.4</v>
      </c>
      <c r="N10" s="18">
        <f>_xlfn.XLOOKUP(CF_Gen_3[[#This Row],[ICG]],Assumptions[ICG],Assumptions[Risk_Adjustment_Ratio])</f>
        <v>0.14000000000000001</v>
      </c>
      <c r="O10" s="18">
        <f>_xlfn.XLOOKUP(CF_Gen_3[[#This Row],[ICG]],Assumptions[ICG],Assumptions[PME_Ratio])</f>
        <v>4.4999999999999998E-2</v>
      </c>
      <c r="P10" s="18">
        <f>_xlfn.XLOOKUP(CF_Gen_3[[#This Row],[ICG]],Assumptions[ICG],Assumptions[ULAE_Ratio])</f>
        <v>0.11</v>
      </c>
      <c r="Q10" s="18">
        <f>_xlfn.XLOOKUP(CF_Gen_3[[#This Row],[ICG]],Assumptions[ICG],Assumptions[Cancellation_Ratio])</f>
        <v>7.0000000000000007E-2</v>
      </c>
      <c r="R10" s="18">
        <f>_xlfn.XLOOKUP(CF_Gen_3[[#This Row],[ICG]],Assumptions[ICG],Assumptions[Premium_Refund_Ratio])</f>
        <v>0.5</v>
      </c>
      <c r="S10" s="18">
        <f>IF(CF_Gen_3[[#This Row],[Contract]]="RC",_xlfn.XLOOKUP(CF_Gen_3[[#This Row],[ICG]],Assumptions[ICG],Assumptions[NPR_Ratio]),0)</f>
        <v>0</v>
      </c>
      <c r="T10" s="17">
        <f>T9*(1-CF_Gen_3[[#This Row],[Cancellation_Ratio]])</f>
        <v>0.5595818096650399</v>
      </c>
      <c r="U10" s="19">
        <f>IF(CF_Gen_3[[#This Row],[Incurred]]&lt;=CF_Gen_3[[#This Row],[Valuation]],CF_Gen_3[[#This Row],[Expected_Premium]],-CF_Gen_3[[#This Row],[Probability_of_Inforce]]*CF_Gen_3[[#This Row],[Premium_Refund_Ratio]]*CF_Gen_3[[#This Row],[Cancellation_Ratio]]*SUM(K10:K$105))</f>
        <v>-1884300801.2831244</v>
      </c>
      <c r="V1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Row],[Cancellation_Ratio]]*SUM(L10:L$105))</f>
        <v>272354379.93846524</v>
      </c>
      <c r="W10" s="19">
        <f>CF_Gen_3[[#This Row],[Expected_Acquisition]]</f>
        <v>0</v>
      </c>
      <c r="X10" s="19">
        <f>-CF_Gen_3[[#This Row],[Probability_of_Inforce]]*CF_Gen_3[[#This Row],[Earned_Premium]]*(1-CF_Gen_3[[#This Row],[Cancellation_Ratio]])*CF_Gen_3[[#This Row],[PME_Ratio]]+CF_Gen_3[[#This Row],[ULAE_Ratio]]*CF_Gen_3[[#This Row],[Exp_Claim]]</f>
        <v>-102060128.11782211</v>
      </c>
      <c r="Y10" s="19">
        <f>-CF_Gen_3[[#This Row],[Probability_of_Inforce]]*CF_Gen_3[[#This Row],[Earned_Premium]]*(1-CF_Gen_3[[#This Row],[Cancellation_Ratio]])*CF_Gen_3[[#This Row],[Loss_Ratio]]</f>
        <v>-458697205.02391958</v>
      </c>
      <c r="Z10" s="19">
        <f>CF_Gen_3[[#This Row],[Exp_Claim]]*CF_Gen_3[[#This Row],[Risk_Adjustment_Ratio]]</f>
        <v>-64217608.703348748</v>
      </c>
      <c r="AA10" s="19">
        <f>IF(CF_Gen_3[[#This Row],[Contract]]="RC",-CF_Gen_3[[#This Row],[NPR_Ratio]]*CF_Gen_3[[#This Row],[Exp_Claim]],0)</f>
        <v>0</v>
      </c>
      <c r="AB10" s="19">
        <f>SUMIFS(Actual_CF[Actual_Premium],Actual_CF[ICG],CF_Gen_3[[#This Row],[ICG]],Actual_CF[Incurred],CF_Gen_3[[#This Row],[Incurred]])</f>
        <v>0</v>
      </c>
      <c r="AC10" s="19">
        <f>SUMIFS(Actual_CF[Actual_Commission],Actual_CF[ICG],CF_Gen_3[[#This Row],[ICG]],Actual_CF[Incurred],CF_Gen_3[[#This Row],[Incurred]])</f>
        <v>0</v>
      </c>
      <c r="AD10" s="19">
        <f>SUMIFS(Actual_CF[Actual_Acquisition],Actual_CF[ICG],CF_Gen_3[[#This Row],[ICG]],Actual_CF[Incurred],CF_Gen_3[[#This Row],[Incurred]])</f>
        <v>0</v>
      </c>
    </row>
    <row r="11" spans="1:30">
      <c r="A11" t="str">
        <f t="shared" si="1"/>
        <v>#2025#IC-Property</v>
      </c>
      <c r="B11">
        <f>_xlfn.XLOOKUP(CF_Gen_3[[#This Row],[ICG]],ICG[ICG],ICG[Cohort])</f>
        <v>2025</v>
      </c>
      <c r="C11" t="str">
        <f>_xlfn.XLOOKUP(CF_Gen_3[[#This Row],[ICG]],ICG[ICG],ICG[Portfolio])</f>
        <v>IC-Property</v>
      </c>
      <c r="D11" t="str">
        <f>_xlfn.XLOOKUP(CF_Gen_3[[#This Row],[ICG]],ICG[ICG],ICG[Contract])</f>
        <v>IC</v>
      </c>
      <c r="E11" s="2">
        <f t="shared" si="0"/>
        <v>45930</v>
      </c>
      <c r="F11">
        <v>10</v>
      </c>
      <c r="G11" s="2">
        <f>EOMONTH(DATE(YEAR(CF_Gen_3[[#This Row],[Valuation]])-1,12,31),CF_Gen_3[[#This Row],['#Incurred]]*3)</f>
        <v>46568</v>
      </c>
      <c r="H11" s="14">
        <f>SUMIFS(Expected_CF[Expected_Premium],Expected_CF[ICG],CF_Gen_3[[#This Row],[ICG]],Expected_CF[Incurred],CF_Gen_3[[#This Row],[Incurred]])</f>
        <v>0</v>
      </c>
      <c r="I11" s="14">
        <f>SUMIFS(Expected_CF[Expected_Commission],Expected_CF[ICG],CF_Gen_3[[#This Row],[ICG]],Expected_CF[Incurred],CF_Gen_3[[#This Row],[Incurred]])</f>
        <v>0</v>
      </c>
      <c r="J11" s="14">
        <f>IF(CF_Gen_3[[#This Row],[Contract]]="IC",SUMIFS(Expected_CF[Expected_Acquisition],Expected_CF[ICG],CF_Gen_3[[#This Row],[ICG]],Expected_CF[Incurred],CF_Gen_3[[#This Row],[Incurred]]),0)</f>
        <v>0</v>
      </c>
      <c r="K11" s="14">
        <f>SUMIFS(Earned[Earned_Premium],Earned[ICG],CF_Gen_3[[#This Row],[ICG]],Earned[Incurred],CF_Gen_3[[#This Row],[Incurred]])</f>
        <v>2169632525.6615462</v>
      </c>
      <c r="L11" s="14">
        <f>SUMIFS(Earned[Earned_Commission],Earned[ICG],CF_Gen_3[[#This Row],[ICG]],Earned[Incurred],CF_Gen_3[[#This Row],[Incurred]])</f>
        <v>-313595855.19387043</v>
      </c>
      <c r="M11" s="18">
        <f>_xlfn.XLOOKUP(CF_Gen_3[[#This Row],[ICG]],Assumptions[ICG],Assumptions[Loss_Ratio])</f>
        <v>0.4</v>
      </c>
      <c r="N11" s="18">
        <f>_xlfn.XLOOKUP(CF_Gen_3[[#This Row],[ICG]],Assumptions[ICG],Assumptions[Risk_Adjustment_Ratio])</f>
        <v>0.14000000000000001</v>
      </c>
      <c r="O11" s="18">
        <f>_xlfn.XLOOKUP(CF_Gen_3[[#This Row],[ICG]],Assumptions[ICG],Assumptions[PME_Ratio])</f>
        <v>4.4999999999999998E-2</v>
      </c>
      <c r="P11" s="18">
        <f>_xlfn.XLOOKUP(CF_Gen_3[[#This Row],[ICG]],Assumptions[ICG],Assumptions[ULAE_Ratio])</f>
        <v>0.11</v>
      </c>
      <c r="Q11" s="18">
        <f>_xlfn.XLOOKUP(CF_Gen_3[[#This Row],[ICG]],Assumptions[ICG],Assumptions[Cancellation_Ratio])</f>
        <v>7.0000000000000007E-2</v>
      </c>
      <c r="R11" s="18">
        <f>_xlfn.XLOOKUP(CF_Gen_3[[#This Row],[ICG]],Assumptions[ICG],Assumptions[Premium_Refund_Ratio])</f>
        <v>0.5</v>
      </c>
      <c r="S11" s="18">
        <f>IF(CF_Gen_3[[#This Row],[Contract]]="RC",_xlfn.XLOOKUP(CF_Gen_3[[#This Row],[ICG]],Assumptions[ICG],Assumptions[NPR_Ratio]),0)</f>
        <v>0</v>
      </c>
      <c r="T11" s="17">
        <f>T10*(1-CF_Gen_3[[#This Row],[Cancellation_Ratio]])</f>
        <v>0.52041108298848704</v>
      </c>
      <c r="U11" s="19">
        <f>IF(CF_Gen_3[[#This Row],[Incurred]]&lt;=CF_Gen_3[[#This Row],[Valuation]],CF_Gen_3[[#This Row],[Expected_Premium]],-CF_Gen_3[[#This Row],[Probability_of_Inforce]]*CF_Gen_3[[#This Row],[Premium_Refund_Ratio]]*CF_Gen_3[[#This Row],[Cancellation_Ratio]]*SUM(K11:K$105))</f>
        <v>-1712263739.7537127</v>
      </c>
      <c r="V1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Row],[Cancellation_Ratio]]*SUM(L11:L$105))</f>
        <v>247488367.4698762</v>
      </c>
      <c r="W11" s="19">
        <f>CF_Gen_3[[#This Row],[Expected_Acquisition]]</f>
        <v>0</v>
      </c>
      <c r="X11" s="19">
        <f>-CF_Gen_3[[#This Row],[Probability_of_Inforce]]*CF_Gen_3[[#This Row],[Earned_Premium]]*(1-CF_Gen_3[[#This Row],[Cancellation_Ratio]])*CF_Gen_3[[#This Row],[PME_Ratio]]+CF_Gen_3[[#This Row],[ULAE_Ratio]]*CF_Gen_3[[#This Row],[Exp_Claim]]</f>
        <v>-93455674.239581138</v>
      </c>
      <c r="Y11" s="19">
        <f>-CF_Gen_3[[#This Row],[Probability_of_Inforce]]*CF_Gen_3[[#This Row],[Earned_Premium]]*(1-CF_Gen_3[[#This Row],[Cancellation_Ratio]])*CF_Gen_3[[#This Row],[Loss_Ratio]]</f>
        <v>-420025502.20036465</v>
      </c>
      <c r="Z11" s="19">
        <f>CF_Gen_3[[#This Row],[Exp_Claim]]*CF_Gen_3[[#This Row],[Risk_Adjustment_Ratio]]</f>
        <v>-58803570.308051057</v>
      </c>
      <c r="AA11" s="19">
        <f>IF(CF_Gen_3[[#This Row],[Contract]]="RC",-CF_Gen_3[[#This Row],[NPR_Ratio]]*CF_Gen_3[[#This Row],[Exp_Claim]],0)</f>
        <v>0</v>
      </c>
      <c r="AB11" s="19">
        <f>SUMIFS(Actual_CF[Actual_Premium],Actual_CF[ICG],CF_Gen_3[[#This Row],[ICG]],Actual_CF[Incurred],CF_Gen_3[[#This Row],[Incurred]])</f>
        <v>0</v>
      </c>
      <c r="AC11" s="19">
        <f>SUMIFS(Actual_CF[Actual_Commission],Actual_CF[ICG],CF_Gen_3[[#This Row],[ICG]],Actual_CF[Incurred],CF_Gen_3[[#This Row],[Incurred]])</f>
        <v>0</v>
      </c>
      <c r="AD11" s="19">
        <f>SUMIFS(Actual_CF[Actual_Acquisition],Actual_CF[ICG],CF_Gen_3[[#This Row],[ICG]],Actual_CF[Incurred],CF_Gen_3[[#This Row],[Incurred]])</f>
        <v>0</v>
      </c>
    </row>
    <row r="12" spans="1:30">
      <c r="A12" t="str">
        <f t="shared" si="1"/>
        <v>#2025#IC-Property</v>
      </c>
      <c r="B12">
        <f>_xlfn.XLOOKUP(CF_Gen_3[[#This Row],[ICG]],ICG[ICG],ICG[Cohort])</f>
        <v>2025</v>
      </c>
      <c r="C12" t="str">
        <f>_xlfn.XLOOKUP(CF_Gen_3[[#This Row],[ICG]],ICG[ICG],ICG[Portfolio])</f>
        <v>IC-Property</v>
      </c>
      <c r="D12" t="str">
        <f>_xlfn.XLOOKUP(CF_Gen_3[[#This Row],[ICG]],ICG[ICG],ICG[Contract])</f>
        <v>IC</v>
      </c>
      <c r="E12" s="2">
        <f t="shared" si="0"/>
        <v>45930</v>
      </c>
      <c r="F12">
        <v>11</v>
      </c>
      <c r="G12" s="2">
        <f>EOMONTH(DATE(YEAR(CF_Gen_3[[#This Row],[Valuation]])-1,12,31),CF_Gen_3[[#This Row],['#Incurred]]*3)</f>
        <v>46660</v>
      </c>
      <c r="H12" s="14">
        <f>SUMIFS(Expected_CF[Expected_Premium],Expected_CF[ICG],CF_Gen_3[[#This Row],[ICG]],Expected_CF[Incurred],CF_Gen_3[[#This Row],[Incurred]])</f>
        <v>0</v>
      </c>
      <c r="I12" s="14">
        <f>SUMIFS(Expected_CF[Expected_Commission],Expected_CF[ICG],CF_Gen_3[[#This Row],[ICG]],Expected_CF[Incurred],CF_Gen_3[[#This Row],[Incurred]])</f>
        <v>0</v>
      </c>
      <c r="J12" s="14">
        <f>IF(CF_Gen_3[[#This Row],[Contract]]="IC",SUMIFS(Expected_CF[Expected_Acquisition],Expected_CF[ICG],CF_Gen_3[[#This Row],[ICG]],Expected_CF[Incurred],CF_Gen_3[[#This Row],[Incurred]]),0)</f>
        <v>0</v>
      </c>
      <c r="K12" s="14">
        <f>SUMIFS(Earned[Earned_Premium],Earned[ICG],CF_Gen_3[[#This Row],[ICG]],Earned[Incurred],CF_Gen_3[[#This Row],[Incurred]])</f>
        <v>2135732017.4480841</v>
      </c>
      <c r="L12" s="14">
        <f>SUMIFS(Earned[Earned_Commission],Earned[ICG],CF_Gen_3[[#This Row],[ICG]],Earned[Incurred],CF_Gen_3[[#This Row],[Incurred]])</f>
        <v>-308695919.95646614</v>
      </c>
      <c r="M12" s="18">
        <f>_xlfn.XLOOKUP(CF_Gen_3[[#This Row],[ICG]],Assumptions[ICG],Assumptions[Loss_Ratio])</f>
        <v>0.4</v>
      </c>
      <c r="N12" s="18">
        <f>_xlfn.XLOOKUP(CF_Gen_3[[#This Row],[ICG]],Assumptions[ICG],Assumptions[Risk_Adjustment_Ratio])</f>
        <v>0.14000000000000001</v>
      </c>
      <c r="O12" s="18">
        <f>_xlfn.XLOOKUP(CF_Gen_3[[#This Row],[ICG]],Assumptions[ICG],Assumptions[PME_Ratio])</f>
        <v>4.4999999999999998E-2</v>
      </c>
      <c r="P12" s="18">
        <f>_xlfn.XLOOKUP(CF_Gen_3[[#This Row],[ICG]],Assumptions[ICG],Assumptions[ULAE_Ratio])</f>
        <v>0.11</v>
      </c>
      <c r="Q12" s="18">
        <f>_xlfn.XLOOKUP(CF_Gen_3[[#This Row],[ICG]],Assumptions[ICG],Assumptions[Cancellation_Ratio])</f>
        <v>7.0000000000000007E-2</v>
      </c>
      <c r="R12" s="18">
        <f>_xlfn.XLOOKUP(CF_Gen_3[[#This Row],[ICG]],Assumptions[ICG],Assumptions[Premium_Refund_Ratio])</f>
        <v>0.5</v>
      </c>
      <c r="S12" s="18">
        <f>IF(CF_Gen_3[[#This Row],[Contract]]="RC",_xlfn.XLOOKUP(CF_Gen_3[[#This Row],[ICG]],Assumptions[ICG],Assumptions[NPR_Ratio]),0)</f>
        <v>0</v>
      </c>
      <c r="T12" s="17">
        <f>T11*(1-CF_Gen_3[[#This Row],[Cancellation_Ratio]])</f>
        <v>0.48398230717929291</v>
      </c>
      <c r="U12" s="19">
        <f>IF(CF_Gen_3[[#This Row],[Incurred]]&lt;=CF_Gen_3[[#This Row],[Valuation]],CF_Gen_3[[#This Row],[Expected_Premium]],-CF_Gen_3[[#This Row],[Probability_of_Inforce]]*CF_Gen_3[[#This Row],[Premium_Refund_Ratio]]*CF_Gen_3[[#This Row],[Cancellation_Ratio]]*SUM(K12:K$105))</f>
        <v>-1555653046.5284207</v>
      </c>
      <c r="V1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Row],[Cancellation_Ratio]]*SUM(L12:L$105))</f>
        <v>224852062.1538341</v>
      </c>
      <c r="W12" s="19">
        <f>CF_Gen_3[[#This Row],[Expected_Acquisition]]</f>
        <v>0</v>
      </c>
      <c r="X12" s="19">
        <f>-CF_Gen_3[[#This Row],[Probability_of_Inforce]]*CF_Gen_3[[#This Row],[Earned_Premium]]*(1-CF_Gen_3[[#This Row],[Cancellation_Ratio]])*CF_Gen_3[[#This Row],[PME_Ratio]]+CF_Gen_3[[#This Row],[ULAE_Ratio]]*CF_Gen_3[[#This Row],[Exp_Claim]]</f>
        <v>-85555749.276516512</v>
      </c>
      <c r="Y12" s="19">
        <f>-CF_Gen_3[[#This Row],[Probability_of_Inforce]]*CF_Gen_3[[#This Row],[Earned_Premium]]*(1-CF_Gen_3[[#This Row],[Cancellation_Ratio]])*CF_Gen_3[[#This Row],[Loss_Ratio]]</f>
        <v>-384520221.46748996</v>
      </c>
      <c r="Z12" s="19">
        <f>CF_Gen_3[[#This Row],[Exp_Claim]]*CF_Gen_3[[#This Row],[Risk_Adjustment_Ratio]]</f>
        <v>-53832831.005448602</v>
      </c>
      <c r="AA12" s="19">
        <f>IF(CF_Gen_3[[#This Row],[Contract]]="RC",-CF_Gen_3[[#This Row],[NPR_Ratio]]*CF_Gen_3[[#This Row],[Exp_Claim]],0)</f>
        <v>0</v>
      </c>
      <c r="AB12" s="19">
        <f>SUMIFS(Actual_CF[Actual_Premium],Actual_CF[ICG],CF_Gen_3[[#This Row],[ICG]],Actual_CF[Incurred],CF_Gen_3[[#This Row],[Incurred]])</f>
        <v>0</v>
      </c>
      <c r="AC12" s="19">
        <f>SUMIFS(Actual_CF[Actual_Commission],Actual_CF[ICG],CF_Gen_3[[#This Row],[ICG]],Actual_CF[Incurred],CF_Gen_3[[#This Row],[Incurred]])</f>
        <v>0</v>
      </c>
      <c r="AD12" s="19">
        <f>SUMIFS(Actual_CF[Actual_Acquisition],Actual_CF[ICG],CF_Gen_3[[#This Row],[ICG]],Actual_CF[Incurred],CF_Gen_3[[#This Row],[Incurred]])</f>
        <v>0</v>
      </c>
    </row>
    <row r="13" spans="1:30">
      <c r="A13" t="str">
        <f t="shared" si="1"/>
        <v>#2025#IC-Property</v>
      </c>
      <c r="B13">
        <f>_xlfn.XLOOKUP(CF_Gen_3[[#This Row],[ICG]],ICG[ICG],ICG[Cohort])</f>
        <v>2025</v>
      </c>
      <c r="C13" t="str">
        <f>_xlfn.XLOOKUP(CF_Gen_3[[#This Row],[ICG]],ICG[ICG],ICG[Portfolio])</f>
        <v>IC-Property</v>
      </c>
      <c r="D13" t="str">
        <f>_xlfn.XLOOKUP(CF_Gen_3[[#This Row],[ICG]],ICG[ICG],ICG[Contract])</f>
        <v>IC</v>
      </c>
      <c r="E13" s="2">
        <f t="shared" si="0"/>
        <v>45930</v>
      </c>
      <c r="F13">
        <v>12</v>
      </c>
      <c r="G13" s="2">
        <f>EOMONTH(DATE(YEAR(CF_Gen_3[[#This Row],[Valuation]])-1,12,31),CF_Gen_3[[#This Row],['#Incurred]]*3)</f>
        <v>46752</v>
      </c>
      <c r="H13" s="14">
        <f>SUMIFS(Expected_CF[Expected_Premium],Expected_CF[ICG],CF_Gen_3[[#This Row],[ICG]],Expected_CF[Incurred],CF_Gen_3[[#This Row],[Incurred]])</f>
        <v>0</v>
      </c>
      <c r="I13" s="14">
        <f>SUMIFS(Expected_CF[Expected_Commission],Expected_CF[ICG],CF_Gen_3[[#This Row],[ICG]],Expected_CF[Incurred],CF_Gen_3[[#This Row],[Incurred]])</f>
        <v>0</v>
      </c>
      <c r="J13" s="14">
        <f>IF(CF_Gen_3[[#This Row],[Contract]]="IC",SUMIFS(Expected_CF[Expected_Acquisition],Expected_CF[ICG],CF_Gen_3[[#This Row],[ICG]],Expected_CF[Incurred],CF_Gen_3[[#This Row],[Incurred]]),0)</f>
        <v>0</v>
      </c>
      <c r="K13" s="14">
        <f>SUMIFS(Earned[Earned_Premium],Earned[ICG],CF_Gen_3[[#This Row],[ICG]],Earned[Incurred],CF_Gen_3[[#This Row],[Incurred]])</f>
        <v>2135732017.4480841</v>
      </c>
      <c r="L13" s="14">
        <f>SUMIFS(Earned[Earned_Commission],Earned[ICG],CF_Gen_3[[#This Row],[ICG]],Earned[Incurred],CF_Gen_3[[#This Row],[Incurred]])</f>
        <v>-308695919.95646614</v>
      </c>
      <c r="M13" s="18">
        <f>_xlfn.XLOOKUP(CF_Gen_3[[#This Row],[ICG]],Assumptions[ICG],Assumptions[Loss_Ratio])</f>
        <v>0.4</v>
      </c>
      <c r="N13" s="18">
        <f>_xlfn.XLOOKUP(CF_Gen_3[[#This Row],[ICG]],Assumptions[ICG],Assumptions[Risk_Adjustment_Ratio])</f>
        <v>0.14000000000000001</v>
      </c>
      <c r="O13" s="18">
        <f>_xlfn.XLOOKUP(CF_Gen_3[[#This Row],[ICG]],Assumptions[ICG],Assumptions[PME_Ratio])</f>
        <v>4.4999999999999998E-2</v>
      </c>
      <c r="P13" s="18">
        <f>_xlfn.XLOOKUP(CF_Gen_3[[#This Row],[ICG]],Assumptions[ICG],Assumptions[ULAE_Ratio])</f>
        <v>0.11</v>
      </c>
      <c r="Q13" s="18">
        <f>_xlfn.XLOOKUP(CF_Gen_3[[#This Row],[ICG]],Assumptions[ICG],Assumptions[Cancellation_Ratio])</f>
        <v>7.0000000000000007E-2</v>
      </c>
      <c r="R13" s="18">
        <f>_xlfn.XLOOKUP(CF_Gen_3[[#This Row],[ICG]],Assumptions[ICG],Assumptions[Premium_Refund_Ratio])</f>
        <v>0.5</v>
      </c>
      <c r="S13" s="18">
        <f>IF(CF_Gen_3[[#This Row],[Contract]]="RC",_xlfn.XLOOKUP(CF_Gen_3[[#This Row],[ICG]],Assumptions[ICG],Assumptions[NPR_Ratio]),0)</f>
        <v>0</v>
      </c>
      <c r="T13" s="17">
        <f>T12*(1-CF_Gen_3[[#This Row],[Cancellation_Ratio]])</f>
        <v>0.45010354567674238</v>
      </c>
      <c r="U13" s="19">
        <f>IF(CF_Gen_3[[#This Row],[Incurred]]&lt;=CF_Gen_3[[#This Row],[Valuation]],CF_Gen_3[[#This Row],[Expected_Premium]],-CF_Gen_3[[#This Row],[Probability_of_Inforce]]*CF_Gen_3[[#This Row],[Premium_Refund_Ratio]]*CF_Gen_3[[#This Row],[Cancellation_Ratio]]*SUM(K13:K$105))</f>
        <v>-1413111813.8930259</v>
      </c>
      <c r="V1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Row],[Cancellation_Ratio]]*SUM(L13:L$105))</f>
        <v>204249338.31927344</v>
      </c>
      <c r="W13" s="19">
        <f>CF_Gen_3[[#This Row],[Expected_Acquisition]]</f>
        <v>0</v>
      </c>
      <c r="X13" s="19">
        <f>-CF_Gen_3[[#This Row],[Probability_of_Inforce]]*CF_Gen_3[[#This Row],[Earned_Premium]]*(1-CF_Gen_3[[#This Row],[Cancellation_Ratio]])*CF_Gen_3[[#This Row],[PME_Ratio]]+CF_Gen_3[[#This Row],[ULAE_Ratio]]*CF_Gen_3[[#This Row],[Exp_Claim]]</f>
        <v>-79566846.827160358</v>
      </c>
      <c r="Y13" s="19">
        <f>-CF_Gen_3[[#This Row],[Probability_of_Inforce]]*CF_Gen_3[[#This Row],[Earned_Premium]]*(1-CF_Gen_3[[#This Row],[Cancellation_Ratio]])*CF_Gen_3[[#This Row],[Loss_Ratio]]</f>
        <v>-357603805.96476567</v>
      </c>
      <c r="Z13" s="19">
        <f>CF_Gen_3[[#This Row],[Exp_Claim]]*CF_Gen_3[[#This Row],[Risk_Adjustment_Ratio]]</f>
        <v>-50064532.835067198</v>
      </c>
      <c r="AA13" s="19">
        <f>IF(CF_Gen_3[[#This Row],[Contract]]="RC",-CF_Gen_3[[#This Row],[NPR_Ratio]]*CF_Gen_3[[#This Row],[Exp_Claim]],0)</f>
        <v>0</v>
      </c>
      <c r="AB13" s="19">
        <f>SUMIFS(Actual_CF[Actual_Premium],Actual_CF[ICG],CF_Gen_3[[#This Row],[ICG]],Actual_CF[Incurred],CF_Gen_3[[#This Row],[Incurred]])</f>
        <v>0</v>
      </c>
      <c r="AC13" s="19">
        <f>SUMIFS(Actual_CF[Actual_Commission],Actual_CF[ICG],CF_Gen_3[[#This Row],[ICG]],Actual_CF[Incurred],CF_Gen_3[[#This Row],[Incurred]])</f>
        <v>0</v>
      </c>
      <c r="AD13" s="19">
        <f>SUMIFS(Actual_CF[Actual_Acquisition],Actual_CF[ICG],CF_Gen_3[[#This Row],[ICG]],Actual_CF[Incurred],CF_Gen_3[[#This Row],[Incurred]])</f>
        <v>0</v>
      </c>
    </row>
    <row r="14" spans="1:30">
      <c r="A14" t="str">
        <f t="shared" si="1"/>
        <v>#2025#IC-Property</v>
      </c>
      <c r="B14">
        <f>_xlfn.XLOOKUP(CF_Gen_3[[#This Row],[ICG]],ICG[ICG],ICG[Cohort])</f>
        <v>2025</v>
      </c>
      <c r="C14" t="str">
        <f>_xlfn.XLOOKUP(CF_Gen_3[[#This Row],[ICG]],ICG[ICG],ICG[Portfolio])</f>
        <v>IC-Property</v>
      </c>
      <c r="D14" t="str">
        <f>_xlfn.XLOOKUP(CF_Gen_3[[#This Row],[ICG]],ICG[ICG],ICG[Contract])</f>
        <v>IC</v>
      </c>
      <c r="E14" s="2">
        <f t="shared" si="0"/>
        <v>45930</v>
      </c>
      <c r="F14">
        <v>13</v>
      </c>
      <c r="G14" s="2">
        <f>EOMONTH(DATE(YEAR(CF_Gen_3[[#This Row],[Valuation]])-1,12,31),CF_Gen_3[[#This Row],['#Incurred]]*3)</f>
        <v>46843</v>
      </c>
      <c r="H14" s="14">
        <f>SUMIFS(Expected_CF[Expected_Premium],Expected_CF[ICG],CF_Gen_3[[#This Row],[ICG]],Expected_CF[Incurred],CF_Gen_3[[#This Row],[Incurred]])</f>
        <v>0</v>
      </c>
      <c r="I14" s="14">
        <f>SUMIFS(Expected_CF[Expected_Commission],Expected_CF[ICG],CF_Gen_3[[#This Row],[ICG]],Expected_CF[Incurred],CF_Gen_3[[#This Row],[Incurred]])</f>
        <v>0</v>
      </c>
      <c r="J14" s="14">
        <f>IF(CF_Gen_3[[#This Row],[Contract]]="IC",SUMIFS(Expected_CF[Expected_Acquisition],Expected_CF[ICG],CF_Gen_3[[#This Row],[ICG]],Expected_CF[Incurred],CF_Gen_3[[#This Row],[Incurred]]),0)</f>
        <v>0</v>
      </c>
      <c r="K14" s="14">
        <f>SUMIFS(Earned[Earned_Premium],Earned[ICG],CF_Gen_3[[#This Row],[ICG]],Earned[Incurred],CF_Gen_3[[#This Row],[Incurred]])</f>
        <v>2101831509.2346227</v>
      </c>
      <c r="L14" s="14">
        <f>SUMIFS(Earned[Earned_Commission],Earned[ICG],CF_Gen_3[[#This Row],[ICG]],Earned[Incurred],CF_Gen_3[[#This Row],[Incurred]])</f>
        <v>-303795984.71906191</v>
      </c>
      <c r="M14" s="18">
        <f>_xlfn.XLOOKUP(CF_Gen_3[[#This Row],[ICG]],Assumptions[ICG],Assumptions[Loss_Ratio])</f>
        <v>0.4</v>
      </c>
      <c r="N14" s="18">
        <f>_xlfn.XLOOKUP(CF_Gen_3[[#This Row],[ICG]],Assumptions[ICG],Assumptions[Risk_Adjustment_Ratio])</f>
        <v>0.14000000000000001</v>
      </c>
      <c r="O14" s="18">
        <f>_xlfn.XLOOKUP(CF_Gen_3[[#This Row],[ICG]],Assumptions[ICG],Assumptions[PME_Ratio])</f>
        <v>4.4999999999999998E-2</v>
      </c>
      <c r="P14" s="18">
        <f>_xlfn.XLOOKUP(CF_Gen_3[[#This Row],[ICG]],Assumptions[ICG],Assumptions[ULAE_Ratio])</f>
        <v>0.11</v>
      </c>
      <c r="Q14" s="18">
        <f>_xlfn.XLOOKUP(CF_Gen_3[[#This Row],[ICG]],Assumptions[ICG],Assumptions[Cancellation_Ratio])</f>
        <v>7.0000000000000007E-2</v>
      </c>
      <c r="R14" s="18">
        <f>_xlfn.XLOOKUP(CF_Gen_3[[#This Row],[ICG]],Assumptions[ICG],Assumptions[Premium_Refund_Ratio])</f>
        <v>0.5</v>
      </c>
      <c r="S14" s="18">
        <f>IF(CF_Gen_3[[#This Row],[Contract]]="RC",_xlfn.XLOOKUP(CF_Gen_3[[#This Row],[ICG]],Assumptions[ICG],Assumptions[NPR_Ratio]),0)</f>
        <v>0</v>
      </c>
      <c r="T14" s="17">
        <f>T13*(1-CF_Gen_3[[#This Row],[Cancellation_Ratio]])</f>
        <v>0.41859629747937038</v>
      </c>
      <c r="U14" s="19">
        <f>IF(CF_Gen_3[[#This Row],[Incurred]]&lt;=CF_Gen_3[[#This Row],[Valuation]],CF_Gen_3[[#This Row],[Expected_Premium]],-CF_Gen_3[[#This Row],[Probability_of_Inforce]]*CF_Gen_3[[#This Row],[Premium_Refund_Ratio]]*CF_Gen_3[[#This Row],[Cancellation_Ratio]]*SUM(K14:K$105))</f>
        <v>-1282903653.8985968</v>
      </c>
      <c r="V1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Row],[Cancellation_Ratio]]*SUM(L14:L$105))</f>
        <v>185429220.71699753</v>
      </c>
      <c r="W14" s="19">
        <f>CF_Gen_3[[#This Row],[Expected_Acquisition]]</f>
        <v>0</v>
      </c>
      <c r="X14" s="19">
        <f>-CF_Gen_3[[#This Row],[Probability_of_Inforce]]*CF_Gen_3[[#This Row],[Earned_Premium]]*(1-CF_Gen_3[[#This Row],[Cancellation_Ratio]])*CF_Gen_3[[#This Row],[PME_Ratio]]+CF_Gen_3[[#This Row],[ULAE_Ratio]]*CF_Gen_3[[#This Row],[Exp_Claim]]</f>
        <v>-72822609.334191531</v>
      </c>
      <c r="Y14" s="19">
        <f>-CF_Gen_3[[#This Row],[Probability_of_Inforce]]*CF_Gen_3[[#This Row],[Earned_Premium]]*(1-CF_Gen_3[[#This Row],[Cancellation_Ratio]])*CF_Gen_3[[#This Row],[Loss_Ratio]]</f>
        <v>-327292626.22108555</v>
      </c>
      <c r="Z14" s="19">
        <f>CF_Gen_3[[#This Row],[Exp_Claim]]*CF_Gen_3[[#This Row],[Risk_Adjustment_Ratio]]</f>
        <v>-45820967.670951985</v>
      </c>
      <c r="AA14" s="19">
        <f>IF(CF_Gen_3[[#This Row],[Contract]]="RC",-CF_Gen_3[[#This Row],[NPR_Ratio]]*CF_Gen_3[[#This Row],[Exp_Claim]],0)</f>
        <v>0</v>
      </c>
      <c r="AB14" s="19">
        <f>SUMIFS(Actual_CF[Actual_Premium],Actual_CF[ICG],CF_Gen_3[[#This Row],[ICG]],Actual_CF[Incurred],CF_Gen_3[[#This Row],[Incurred]])</f>
        <v>0</v>
      </c>
      <c r="AC14" s="19">
        <f>SUMIFS(Actual_CF[Actual_Commission],Actual_CF[ICG],CF_Gen_3[[#This Row],[ICG]],Actual_CF[Incurred],CF_Gen_3[[#This Row],[Incurred]])</f>
        <v>0</v>
      </c>
      <c r="AD14" s="19">
        <f>SUMIFS(Actual_CF[Actual_Acquisition],Actual_CF[ICG],CF_Gen_3[[#This Row],[ICG]],Actual_CF[Incurred],CF_Gen_3[[#This Row],[Incurred]])</f>
        <v>0</v>
      </c>
    </row>
    <row r="15" spans="1:30">
      <c r="A15" t="str">
        <f t="shared" si="1"/>
        <v>#2025#IC-Property</v>
      </c>
      <c r="B15">
        <f>_xlfn.XLOOKUP(CF_Gen_3[[#This Row],[ICG]],ICG[ICG],ICG[Cohort])</f>
        <v>2025</v>
      </c>
      <c r="C15" t="str">
        <f>_xlfn.XLOOKUP(CF_Gen_3[[#This Row],[ICG]],ICG[ICG],ICG[Portfolio])</f>
        <v>IC-Property</v>
      </c>
      <c r="D15" t="str">
        <f>_xlfn.XLOOKUP(CF_Gen_3[[#This Row],[ICG]],ICG[ICG],ICG[Contract])</f>
        <v>IC</v>
      </c>
      <c r="E15" s="2">
        <f t="shared" si="0"/>
        <v>45930</v>
      </c>
      <c r="F15">
        <v>14</v>
      </c>
      <c r="G15" s="2">
        <f>EOMONTH(DATE(YEAR(CF_Gen_3[[#This Row],[Valuation]])-1,12,31),CF_Gen_3[[#This Row],['#Incurred]]*3)</f>
        <v>46934</v>
      </c>
      <c r="H15" s="14">
        <f>SUMIFS(Expected_CF[Expected_Premium],Expected_CF[ICG],CF_Gen_3[[#This Row],[ICG]],Expected_CF[Incurred],CF_Gen_3[[#This Row],[Incurred]])</f>
        <v>0</v>
      </c>
      <c r="I15" s="14">
        <f>SUMIFS(Expected_CF[Expected_Commission],Expected_CF[ICG],CF_Gen_3[[#This Row],[ICG]],Expected_CF[Incurred],CF_Gen_3[[#This Row],[Incurred]])</f>
        <v>0</v>
      </c>
      <c r="J15" s="14">
        <f>IF(CF_Gen_3[[#This Row],[Contract]]="IC",SUMIFS(Expected_CF[Expected_Acquisition],Expected_CF[ICG],CF_Gen_3[[#This Row],[ICG]],Expected_CF[Incurred],CF_Gen_3[[#This Row],[Incurred]]),0)</f>
        <v>0</v>
      </c>
      <c r="K15" s="14">
        <f>SUMIFS(Earned[Earned_Premium],Earned[ICG],CF_Gen_3[[#This Row],[ICG]],Earned[Incurred],CF_Gen_3[[#This Row],[Incurred]])</f>
        <v>2067931001.0211608</v>
      </c>
      <c r="L15" s="14">
        <f>SUMIFS(Earned[Earned_Commission],Earned[ICG],CF_Gen_3[[#This Row],[ICG]],Earned[Incurred],CF_Gen_3[[#This Row],[Incurred]])</f>
        <v>-298896049.48165768</v>
      </c>
      <c r="M15" s="18">
        <f>_xlfn.XLOOKUP(CF_Gen_3[[#This Row],[ICG]],Assumptions[ICG],Assumptions[Loss_Ratio])</f>
        <v>0.4</v>
      </c>
      <c r="N15" s="18">
        <f>_xlfn.XLOOKUP(CF_Gen_3[[#This Row],[ICG]],Assumptions[ICG],Assumptions[Risk_Adjustment_Ratio])</f>
        <v>0.14000000000000001</v>
      </c>
      <c r="O15" s="18">
        <f>_xlfn.XLOOKUP(CF_Gen_3[[#This Row],[ICG]],Assumptions[ICG],Assumptions[PME_Ratio])</f>
        <v>4.4999999999999998E-2</v>
      </c>
      <c r="P15" s="18">
        <f>_xlfn.XLOOKUP(CF_Gen_3[[#This Row],[ICG]],Assumptions[ICG],Assumptions[ULAE_Ratio])</f>
        <v>0.11</v>
      </c>
      <c r="Q15" s="18">
        <f>_xlfn.XLOOKUP(CF_Gen_3[[#This Row],[ICG]],Assumptions[ICG],Assumptions[Cancellation_Ratio])</f>
        <v>7.0000000000000007E-2</v>
      </c>
      <c r="R15" s="18">
        <f>_xlfn.XLOOKUP(CF_Gen_3[[#This Row],[ICG]],Assumptions[ICG],Assumptions[Premium_Refund_Ratio])</f>
        <v>0.5</v>
      </c>
      <c r="S15" s="18">
        <f>IF(CF_Gen_3[[#This Row],[Contract]]="RC",_xlfn.XLOOKUP(CF_Gen_3[[#This Row],[ICG]],Assumptions[ICG],Assumptions[NPR_Ratio]),0)</f>
        <v>0</v>
      </c>
      <c r="T15" s="17">
        <f>T14*(1-CF_Gen_3[[#This Row],[Cancellation_Ratio]])</f>
        <v>0.38929455665581442</v>
      </c>
      <c r="U15" s="19">
        <f>IF(CF_Gen_3[[#This Row],[Incurred]]&lt;=CF_Gen_3[[#This Row],[Valuation]],CF_Gen_3[[#This Row],[Expected_Premium]],-CF_Gen_3[[#This Row],[Probability_of_Inforce]]*CF_Gen_3[[#This Row],[Premium_Refund_Ratio]]*CF_Gen_3[[#This Row],[Cancellation_Ratio]]*SUM(K15:K$105))</f>
        <v>-1164462293.3313501</v>
      </c>
      <c r="V1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Row],[Cancellation_Ratio]]*SUM(L15:L$105))</f>
        <v>168309860.95533183</v>
      </c>
      <c r="W15" s="19">
        <f>CF_Gen_3[[#This Row],[Expected_Acquisition]]</f>
        <v>0</v>
      </c>
      <c r="X15" s="19">
        <f>-CF_Gen_3[[#This Row],[Probability_of_Inforce]]*CF_Gen_3[[#This Row],[Earned_Premium]]*(1-CF_Gen_3[[#This Row],[Cancellation_Ratio]])*CF_Gen_3[[#This Row],[PME_Ratio]]+CF_Gen_3[[#This Row],[ULAE_Ratio]]*CF_Gen_3[[#This Row],[Exp_Claim]]</f>
        <v>-66632687.540785238</v>
      </c>
      <c r="Y15" s="19">
        <f>-CF_Gen_3[[#This Row],[Probability_of_Inforce]]*CF_Gen_3[[#This Row],[Earned_Premium]]*(1-CF_Gen_3[[#This Row],[Cancellation_Ratio]])*CF_Gen_3[[#This Row],[Loss_Ratio]]</f>
        <v>-299472752.99229324</v>
      </c>
      <c r="Z15" s="19">
        <f>CF_Gen_3[[#This Row],[Exp_Claim]]*CF_Gen_3[[#This Row],[Risk_Adjustment_Ratio]]</f>
        <v>-41926185.418921061</v>
      </c>
      <c r="AA15" s="19">
        <f>IF(CF_Gen_3[[#This Row],[Contract]]="RC",-CF_Gen_3[[#This Row],[NPR_Ratio]]*CF_Gen_3[[#This Row],[Exp_Claim]],0)</f>
        <v>0</v>
      </c>
      <c r="AB15" s="19">
        <f>SUMIFS(Actual_CF[Actual_Premium],Actual_CF[ICG],CF_Gen_3[[#This Row],[ICG]],Actual_CF[Incurred],CF_Gen_3[[#This Row],[Incurred]])</f>
        <v>0</v>
      </c>
      <c r="AC15" s="19">
        <f>SUMIFS(Actual_CF[Actual_Commission],Actual_CF[ICG],CF_Gen_3[[#This Row],[ICG]],Actual_CF[Incurred],CF_Gen_3[[#This Row],[Incurred]])</f>
        <v>0</v>
      </c>
      <c r="AD15" s="19">
        <f>SUMIFS(Actual_CF[Actual_Acquisition],Actual_CF[ICG],CF_Gen_3[[#This Row],[ICG]],Actual_CF[Incurred],CF_Gen_3[[#This Row],[Incurred]])</f>
        <v>0</v>
      </c>
    </row>
    <row r="16" spans="1:30">
      <c r="A16" t="str">
        <f t="shared" si="1"/>
        <v>#2025#IC-Property</v>
      </c>
      <c r="B16">
        <f>_xlfn.XLOOKUP(CF_Gen_3[[#This Row],[ICG]],ICG[ICG],ICG[Cohort])</f>
        <v>2025</v>
      </c>
      <c r="C16" t="str">
        <f>_xlfn.XLOOKUP(CF_Gen_3[[#This Row],[ICG]],ICG[ICG],ICG[Portfolio])</f>
        <v>IC-Property</v>
      </c>
      <c r="D16" t="str">
        <f>_xlfn.XLOOKUP(CF_Gen_3[[#This Row],[ICG]],ICG[ICG],ICG[Contract])</f>
        <v>IC</v>
      </c>
      <c r="E16" s="2">
        <f t="shared" si="0"/>
        <v>45930</v>
      </c>
      <c r="F16">
        <v>15</v>
      </c>
      <c r="G16" s="2">
        <f>EOMONTH(DATE(YEAR(CF_Gen_3[[#This Row],[Valuation]])-1,12,31),CF_Gen_3[[#This Row],['#Incurred]]*3)</f>
        <v>47026</v>
      </c>
      <c r="H16" s="14">
        <f>SUMIFS(Expected_CF[Expected_Premium],Expected_CF[ICG],CF_Gen_3[[#This Row],[ICG]],Expected_CF[Incurred],CF_Gen_3[[#This Row],[Incurred]])</f>
        <v>0</v>
      </c>
      <c r="I16" s="14">
        <f>SUMIFS(Expected_CF[Expected_Commission],Expected_CF[ICG],CF_Gen_3[[#This Row],[ICG]],Expected_CF[Incurred],CF_Gen_3[[#This Row],[Incurred]])</f>
        <v>0</v>
      </c>
      <c r="J16" s="14">
        <f>IF(CF_Gen_3[[#This Row],[Contract]]="IC",SUMIFS(Expected_CF[Expected_Acquisition],Expected_CF[ICG],CF_Gen_3[[#This Row],[ICG]],Expected_CF[Incurred],CF_Gen_3[[#This Row],[Incurred]]),0)</f>
        <v>0</v>
      </c>
      <c r="K16" s="14">
        <f>SUMIFS(Earned[Earned_Premium],Earned[ICG],CF_Gen_3[[#This Row],[ICG]],Earned[Incurred],CF_Gen_3[[#This Row],[Incurred]])</f>
        <v>2034030492.8076992</v>
      </c>
      <c r="L16" s="14">
        <f>SUMIFS(Earned[Earned_Commission],Earned[ICG],CF_Gen_3[[#This Row],[ICG]],Earned[Incurred],CF_Gen_3[[#This Row],[Incurred]])</f>
        <v>-293996114.24425346</v>
      </c>
      <c r="M16" s="18">
        <f>_xlfn.XLOOKUP(CF_Gen_3[[#This Row],[ICG]],Assumptions[ICG],Assumptions[Loss_Ratio])</f>
        <v>0.4</v>
      </c>
      <c r="N16" s="18">
        <f>_xlfn.XLOOKUP(CF_Gen_3[[#This Row],[ICG]],Assumptions[ICG],Assumptions[Risk_Adjustment_Ratio])</f>
        <v>0.14000000000000001</v>
      </c>
      <c r="O16" s="18">
        <f>_xlfn.XLOOKUP(CF_Gen_3[[#This Row],[ICG]],Assumptions[ICG],Assumptions[PME_Ratio])</f>
        <v>4.4999999999999998E-2</v>
      </c>
      <c r="P16" s="18">
        <f>_xlfn.XLOOKUP(CF_Gen_3[[#This Row],[ICG]],Assumptions[ICG],Assumptions[ULAE_Ratio])</f>
        <v>0.11</v>
      </c>
      <c r="Q16" s="18">
        <f>_xlfn.XLOOKUP(CF_Gen_3[[#This Row],[ICG]],Assumptions[ICG],Assumptions[Cancellation_Ratio])</f>
        <v>7.0000000000000007E-2</v>
      </c>
      <c r="R16" s="18">
        <f>_xlfn.XLOOKUP(CF_Gen_3[[#This Row],[ICG]],Assumptions[ICG],Assumptions[Premium_Refund_Ratio])</f>
        <v>0.5</v>
      </c>
      <c r="S16" s="18">
        <f>IF(CF_Gen_3[[#This Row],[Contract]]="RC",_xlfn.XLOOKUP(CF_Gen_3[[#This Row],[ICG]],Assumptions[ICG],Assumptions[NPR_Ratio]),0)</f>
        <v>0</v>
      </c>
      <c r="T16" s="17">
        <f>T15*(1-CF_Gen_3[[#This Row],[Cancellation_Ratio]])</f>
        <v>0.36204393768990739</v>
      </c>
      <c r="U16" s="19">
        <f>IF(CF_Gen_3[[#This Row],[Incurred]]&lt;=CF_Gen_3[[#This Row],[Valuation]],CF_Gen_3[[#This Row],[Expected_Premium]],-CF_Gen_3[[#This Row],[Probability_of_Inforce]]*CF_Gen_3[[#This Row],[Premium_Refund_Ratio]]*CF_Gen_3[[#This Row],[Cancellation_Ratio]]*SUM(K16:K$105))</f>
        <v>-1056746066.9113299</v>
      </c>
      <c r="V1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Row],[Cancellation_Ratio]]*SUM(L16:L$105))</f>
        <v>152740698.09345821</v>
      </c>
      <c r="W16" s="19">
        <f>CF_Gen_3[[#This Row],[Expected_Acquisition]]</f>
        <v>0</v>
      </c>
      <c r="X16" s="19">
        <f>-CF_Gen_3[[#This Row],[Probability_of_Inforce]]*CF_Gen_3[[#This Row],[Earned_Premium]]*(1-CF_Gen_3[[#This Row],[Cancellation_Ratio]])*CF_Gen_3[[#This Row],[PME_Ratio]]+CF_Gen_3[[#This Row],[ULAE_Ratio]]*CF_Gen_3[[#This Row],[Exp_Claim]]</f>
        <v>-60952524.012718283</v>
      </c>
      <c r="Y16" s="19">
        <f>-CF_Gen_3[[#This Row],[Probability_of_Inforce]]*CF_Gen_3[[#This Row],[Earned_Premium]]*(1-CF_Gen_3[[#This Row],[Cancellation_Ratio]])*CF_Gen_3[[#This Row],[Loss_Ratio]]</f>
        <v>-273943928.14704847</v>
      </c>
      <c r="Z16" s="19">
        <f>CF_Gen_3[[#This Row],[Exp_Claim]]*CF_Gen_3[[#This Row],[Risk_Adjustment_Ratio]]</f>
        <v>-38352149.94058679</v>
      </c>
      <c r="AA16" s="19">
        <f>IF(CF_Gen_3[[#This Row],[Contract]]="RC",-CF_Gen_3[[#This Row],[NPR_Ratio]]*CF_Gen_3[[#This Row],[Exp_Claim]],0)</f>
        <v>0</v>
      </c>
      <c r="AB16" s="19">
        <f>SUMIFS(Actual_CF[Actual_Premium],Actual_CF[ICG],CF_Gen_3[[#This Row],[ICG]],Actual_CF[Incurred],CF_Gen_3[[#This Row],[Incurred]])</f>
        <v>0</v>
      </c>
      <c r="AC16" s="19">
        <f>SUMIFS(Actual_CF[Actual_Commission],Actual_CF[ICG],CF_Gen_3[[#This Row],[ICG]],Actual_CF[Incurred],CF_Gen_3[[#This Row],[Incurred]])</f>
        <v>0</v>
      </c>
      <c r="AD16" s="19">
        <f>SUMIFS(Actual_CF[Actual_Acquisition],Actual_CF[ICG],CF_Gen_3[[#This Row],[ICG]],Actual_CF[Incurred],CF_Gen_3[[#This Row],[Incurred]])</f>
        <v>0</v>
      </c>
    </row>
    <row r="17" spans="1:30">
      <c r="A17" t="str">
        <f t="shared" si="1"/>
        <v>#2025#IC-Property</v>
      </c>
      <c r="B17">
        <f>_xlfn.XLOOKUP(CF_Gen_3[[#This Row],[ICG]],ICG[ICG],ICG[Cohort])</f>
        <v>2025</v>
      </c>
      <c r="C17" t="str">
        <f>_xlfn.XLOOKUP(CF_Gen_3[[#This Row],[ICG]],ICG[ICG],ICG[Portfolio])</f>
        <v>IC-Property</v>
      </c>
      <c r="D17" t="str">
        <f>_xlfn.XLOOKUP(CF_Gen_3[[#This Row],[ICG]],ICG[ICG],ICG[Contract])</f>
        <v>IC</v>
      </c>
      <c r="E17" s="2">
        <f t="shared" si="0"/>
        <v>45930</v>
      </c>
      <c r="F17">
        <v>16</v>
      </c>
      <c r="G17" s="2">
        <f>EOMONTH(DATE(YEAR(CF_Gen_3[[#This Row],[Valuation]])-1,12,31),CF_Gen_3[[#This Row],['#Incurred]]*3)</f>
        <v>47118</v>
      </c>
      <c r="H17" s="14">
        <f>SUMIFS(Expected_CF[Expected_Premium],Expected_CF[ICG],CF_Gen_3[[#This Row],[ICG]],Expected_CF[Incurred],CF_Gen_3[[#This Row],[Incurred]])</f>
        <v>0</v>
      </c>
      <c r="I17" s="14">
        <f>SUMIFS(Expected_CF[Expected_Commission],Expected_CF[ICG],CF_Gen_3[[#This Row],[ICG]],Expected_CF[Incurred],CF_Gen_3[[#This Row],[Incurred]])</f>
        <v>0</v>
      </c>
      <c r="J17" s="14">
        <f>IF(CF_Gen_3[[#This Row],[Contract]]="IC",SUMIFS(Expected_CF[Expected_Acquisition],Expected_CF[ICG],CF_Gen_3[[#This Row],[ICG]],Expected_CF[Incurred],CF_Gen_3[[#This Row],[Incurred]]),0)</f>
        <v>0</v>
      </c>
      <c r="K17" s="14">
        <f>SUMIFS(Earned[Earned_Premium],Earned[ICG],CF_Gen_3[[#This Row],[ICG]],Earned[Incurred],CF_Gen_3[[#This Row],[Incurred]])</f>
        <v>2034030492.8076992</v>
      </c>
      <c r="L17" s="14">
        <f>SUMIFS(Earned[Earned_Commission],Earned[ICG],CF_Gen_3[[#This Row],[ICG]],Earned[Incurred],CF_Gen_3[[#This Row],[Incurred]])</f>
        <v>-293996114.24425346</v>
      </c>
      <c r="M17" s="18">
        <f>_xlfn.XLOOKUP(CF_Gen_3[[#This Row],[ICG]],Assumptions[ICG],Assumptions[Loss_Ratio])</f>
        <v>0.4</v>
      </c>
      <c r="N17" s="18">
        <f>_xlfn.XLOOKUP(CF_Gen_3[[#This Row],[ICG]],Assumptions[ICG],Assumptions[Risk_Adjustment_Ratio])</f>
        <v>0.14000000000000001</v>
      </c>
      <c r="O17" s="18">
        <f>_xlfn.XLOOKUP(CF_Gen_3[[#This Row],[ICG]],Assumptions[ICG],Assumptions[PME_Ratio])</f>
        <v>4.4999999999999998E-2</v>
      </c>
      <c r="P17" s="18">
        <f>_xlfn.XLOOKUP(CF_Gen_3[[#This Row],[ICG]],Assumptions[ICG],Assumptions[ULAE_Ratio])</f>
        <v>0.11</v>
      </c>
      <c r="Q17" s="18">
        <f>_xlfn.XLOOKUP(CF_Gen_3[[#This Row],[ICG]],Assumptions[ICG],Assumptions[Cancellation_Ratio])</f>
        <v>7.0000000000000007E-2</v>
      </c>
      <c r="R17" s="18">
        <f>_xlfn.XLOOKUP(CF_Gen_3[[#This Row],[ICG]],Assumptions[ICG],Assumptions[Premium_Refund_Ratio])</f>
        <v>0.5</v>
      </c>
      <c r="S17" s="18">
        <f>IF(CF_Gen_3[[#This Row],[Contract]]="RC",_xlfn.XLOOKUP(CF_Gen_3[[#This Row],[ICG]],Assumptions[ICG],Assumptions[NPR_Ratio]),0)</f>
        <v>0</v>
      </c>
      <c r="T17" s="17">
        <f>T16*(1-CF_Gen_3[[#This Row],[Cancellation_Ratio]])</f>
        <v>0.33670086205161387</v>
      </c>
      <c r="U17" s="19">
        <f>IF(CF_Gen_3[[#This Row],[Incurred]]&lt;=CF_Gen_3[[#This Row],[Valuation]],CF_Gen_3[[#This Row],[Expected_Premium]],-CF_Gen_3[[#This Row],[Probability_of_Inforce]]*CF_Gen_3[[#This Row],[Premium_Refund_Ratio]]*CF_Gen_3[[#This Row],[Cancellation_Ratio]]*SUM(K17:K$105))</f>
        <v>-958803748.51467001</v>
      </c>
      <c r="V1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Row],[Cancellation_Ratio]]*SUM(L17:L$105))</f>
        <v>138584243.14821085</v>
      </c>
      <c r="W17" s="19">
        <f>CF_Gen_3[[#This Row],[Expected_Acquisition]]</f>
        <v>0</v>
      </c>
      <c r="X17" s="19">
        <f>-CF_Gen_3[[#This Row],[Probability_of_Inforce]]*CF_Gen_3[[#This Row],[Earned_Premium]]*(1-CF_Gen_3[[#This Row],[Cancellation_Ratio]])*CF_Gen_3[[#This Row],[PME_Ratio]]+CF_Gen_3[[#This Row],[ULAE_Ratio]]*CF_Gen_3[[#This Row],[Exp_Claim]]</f>
        <v>-56685847.331828006</v>
      </c>
      <c r="Y17" s="19">
        <f>-CF_Gen_3[[#This Row],[Probability_of_Inforce]]*CF_Gen_3[[#This Row],[Earned_Premium]]*(1-CF_Gen_3[[#This Row],[Cancellation_Ratio]])*CF_Gen_3[[#This Row],[Loss_Ratio]]</f>
        <v>-254767853.1767551</v>
      </c>
      <c r="Z17" s="19">
        <f>CF_Gen_3[[#This Row],[Exp_Claim]]*CF_Gen_3[[#This Row],[Risk_Adjustment_Ratio]]</f>
        <v>-35667499.444745719</v>
      </c>
      <c r="AA17" s="19">
        <f>IF(CF_Gen_3[[#This Row],[Contract]]="RC",-CF_Gen_3[[#This Row],[NPR_Ratio]]*CF_Gen_3[[#This Row],[Exp_Claim]],0)</f>
        <v>0</v>
      </c>
      <c r="AB17" s="19">
        <f>SUMIFS(Actual_CF[Actual_Premium],Actual_CF[ICG],CF_Gen_3[[#This Row],[ICG]],Actual_CF[Incurred],CF_Gen_3[[#This Row],[Incurred]])</f>
        <v>0</v>
      </c>
      <c r="AC17" s="19">
        <f>SUMIFS(Actual_CF[Actual_Commission],Actual_CF[ICG],CF_Gen_3[[#This Row],[ICG]],Actual_CF[Incurred],CF_Gen_3[[#This Row],[Incurred]])</f>
        <v>0</v>
      </c>
      <c r="AD17" s="19">
        <f>SUMIFS(Actual_CF[Actual_Acquisition],Actual_CF[ICG],CF_Gen_3[[#This Row],[ICG]],Actual_CF[Incurred],CF_Gen_3[[#This Row],[Incurred]])</f>
        <v>0</v>
      </c>
    </row>
    <row r="18" spans="1:30">
      <c r="A18" t="str">
        <f t="shared" si="1"/>
        <v>#2025#IC-Property</v>
      </c>
      <c r="B18">
        <f>_xlfn.XLOOKUP(CF_Gen_3[[#This Row],[ICG]],ICG[ICG],ICG[Cohort])</f>
        <v>2025</v>
      </c>
      <c r="C18" t="str">
        <f>_xlfn.XLOOKUP(CF_Gen_3[[#This Row],[ICG]],ICG[ICG],ICG[Portfolio])</f>
        <v>IC-Property</v>
      </c>
      <c r="D18" t="str">
        <f>_xlfn.XLOOKUP(CF_Gen_3[[#This Row],[ICG]],ICG[ICG],ICG[Contract])</f>
        <v>IC</v>
      </c>
      <c r="E18" s="2">
        <f t="shared" si="0"/>
        <v>45930</v>
      </c>
      <c r="F18">
        <v>17</v>
      </c>
      <c r="G18" s="2">
        <f>EOMONTH(DATE(YEAR(CF_Gen_3[[#This Row],[Valuation]])-1,12,31),CF_Gen_3[[#This Row],['#Incurred]]*3)</f>
        <v>47208</v>
      </c>
      <c r="H18" s="14">
        <f>SUMIFS(Expected_CF[Expected_Premium],Expected_CF[ICG],CF_Gen_3[[#This Row],[ICG]],Expected_CF[Incurred],CF_Gen_3[[#This Row],[Incurred]])</f>
        <v>0</v>
      </c>
      <c r="I18" s="14">
        <f>SUMIFS(Expected_CF[Expected_Commission],Expected_CF[ICG],CF_Gen_3[[#This Row],[ICG]],Expected_CF[Incurred],CF_Gen_3[[#This Row],[Incurred]])</f>
        <v>0</v>
      </c>
      <c r="J18" s="14">
        <f>IF(CF_Gen_3[[#This Row],[Contract]]="IC",SUMIFS(Expected_CF[Expected_Acquisition],Expected_CF[ICG],CF_Gen_3[[#This Row],[ICG]],Expected_CF[Incurred],CF_Gen_3[[#This Row],[Incurred]]),0)</f>
        <v>0</v>
      </c>
      <c r="K18" s="14">
        <f>SUMIFS(Earned[Earned_Premium],Earned[ICG],CF_Gen_3[[#This Row],[ICG]],Earned[Incurred],CF_Gen_3[[#This Row],[Incurred]])</f>
        <v>2000129984.5942373</v>
      </c>
      <c r="L18" s="14">
        <f>SUMIFS(Earned[Earned_Commission],Earned[ICG],CF_Gen_3[[#This Row],[ICG]],Earned[Incurred],CF_Gen_3[[#This Row],[Incurred]])</f>
        <v>-289096179.00684923</v>
      </c>
      <c r="M18" s="18">
        <f>_xlfn.XLOOKUP(CF_Gen_3[[#This Row],[ICG]],Assumptions[ICG],Assumptions[Loss_Ratio])</f>
        <v>0.4</v>
      </c>
      <c r="N18" s="18">
        <f>_xlfn.XLOOKUP(CF_Gen_3[[#This Row],[ICG]],Assumptions[ICG],Assumptions[Risk_Adjustment_Ratio])</f>
        <v>0.14000000000000001</v>
      </c>
      <c r="O18" s="18">
        <f>_xlfn.XLOOKUP(CF_Gen_3[[#This Row],[ICG]],Assumptions[ICG],Assumptions[PME_Ratio])</f>
        <v>4.4999999999999998E-2</v>
      </c>
      <c r="P18" s="18">
        <f>_xlfn.XLOOKUP(CF_Gen_3[[#This Row],[ICG]],Assumptions[ICG],Assumptions[ULAE_Ratio])</f>
        <v>0.11</v>
      </c>
      <c r="Q18" s="18">
        <f>_xlfn.XLOOKUP(CF_Gen_3[[#This Row],[ICG]],Assumptions[ICG],Assumptions[Cancellation_Ratio])</f>
        <v>7.0000000000000007E-2</v>
      </c>
      <c r="R18" s="18">
        <f>_xlfn.XLOOKUP(CF_Gen_3[[#This Row],[ICG]],Assumptions[ICG],Assumptions[Premium_Refund_Ratio])</f>
        <v>0.5</v>
      </c>
      <c r="S18" s="18">
        <f>IF(CF_Gen_3[[#This Row],[Contract]]="RC",_xlfn.XLOOKUP(CF_Gen_3[[#This Row],[ICG]],Assumptions[ICG],Assumptions[NPR_Ratio]),0)</f>
        <v>0</v>
      </c>
      <c r="T18" s="17">
        <f>T17*(1-CF_Gen_3[[#This Row],[Cancellation_Ratio]])</f>
        <v>0.31313180170800087</v>
      </c>
      <c r="U18" s="19">
        <f>IF(CF_Gen_3[[#This Row],[Incurred]]&lt;=CF_Gen_3[[#This Row],[Valuation]],CF_Gen_3[[#This Row],[Expected_Premium]],-CF_Gen_3[[#This Row],[Probability_of_Inforce]]*CF_Gen_3[[#This Row],[Premium_Refund_Ratio]]*CF_Gen_3[[#This Row],[Cancellation_Ratio]]*SUM(K18:K$105))</f>
        <v>-869395298.9656769</v>
      </c>
      <c r="V1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Row],[Cancellation_Ratio]]*SUM(L18:L$105))</f>
        <v>125661262.47464018</v>
      </c>
      <c r="W18" s="19">
        <f>CF_Gen_3[[#This Row],[Expected_Acquisition]]</f>
        <v>0</v>
      </c>
      <c r="X18" s="19">
        <f>-CF_Gen_3[[#This Row],[Probability_of_Inforce]]*CF_Gen_3[[#This Row],[Earned_Premium]]*(1-CF_Gen_3[[#This Row],[Cancellation_Ratio]])*CF_Gen_3[[#This Row],[PME_Ratio]]+CF_Gen_3[[#This Row],[ULAE_Ratio]]*CF_Gen_3[[#This Row],[Exp_Claim]]</f>
        <v>-51839207.384956703</v>
      </c>
      <c r="Y18" s="19">
        <f>-CF_Gen_3[[#This Row],[Probability_of_Inforce]]*CF_Gen_3[[#This Row],[Earned_Premium]]*(1-CF_Gen_3[[#This Row],[Cancellation_Ratio]])*CF_Gen_3[[#This Row],[Loss_Ratio]]</f>
        <v>-232985201.7301425</v>
      </c>
      <c r="Z18" s="19">
        <f>CF_Gen_3[[#This Row],[Exp_Claim]]*CF_Gen_3[[#This Row],[Risk_Adjustment_Ratio]]</f>
        <v>-32617928.242219955</v>
      </c>
      <c r="AA18" s="19">
        <f>IF(CF_Gen_3[[#This Row],[Contract]]="RC",-CF_Gen_3[[#This Row],[NPR_Ratio]]*CF_Gen_3[[#This Row],[Exp_Claim]],0)</f>
        <v>0</v>
      </c>
      <c r="AB18" s="19">
        <f>SUMIFS(Actual_CF[Actual_Premium],Actual_CF[ICG],CF_Gen_3[[#This Row],[ICG]],Actual_CF[Incurred],CF_Gen_3[[#This Row],[Incurred]])</f>
        <v>0</v>
      </c>
      <c r="AC18" s="19">
        <f>SUMIFS(Actual_CF[Actual_Commission],Actual_CF[ICG],CF_Gen_3[[#This Row],[ICG]],Actual_CF[Incurred],CF_Gen_3[[#This Row],[Incurred]])</f>
        <v>0</v>
      </c>
      <c r="AD18" s="19">
        <f>SUMIFS(Actual_CF[Actual_Acquisition],Actual_CF[ICG],CF_Gen_3[[#This Row],[ICG]],Actual_CF[Incurred],CF_Gen_3[[#This Row],[Incurred]])</f>
        <v>0</v>
      </c>
    </row>
    <row r="19" spans="1:30">
      <c r="A19" t="str">
        <f t="shared" si="1"/>
        <v>#2025#IC-Property</v>
      </c>
      <c r="B19">
        <f>_xlfn.XLOOKUP(CF_Gen_3[[#This Row],[ICG]],ICG[ICG],ICG[Cohort])</f>
        <v>2025</v>
      </c>
      <c r="C19" t="str">
        <f>_xlfn.XLOOKUP(CF_Gen_3[[#This Row],[ICG]],ICG[ICG],ICG[Portfolio])</f>
        <v>IC-Property</v>
      </c>
      <c r="D19" t="str">
        <f>_xlfn.XLOOKUP(CF_Gen_3[[#This Row],[ICG]],ICG[ICG],ICG[Contract])</f>
        <v>IC</v>
      </c>
      <c r="E19" s="2">
        <f t="shared" si="0"/>
        <v>45930</v>
      </c>
      <c r="F19">
        <v>18</v>
      </c>
      <c r="G19" s="2">
        <f>EOMONTH(DATE(YEAR(CF_Gen_3[[#This Row],[Valuation]])-1,12,31),CF_Gen_3[[#This Row],['#Incurred]]*3)</f>
        <v>47299</v>
      </c>
      <c r="H19" s="14">
        <f>SUMIFS(Expected_CF[Expected_Premium],Expected_CF[ICG],CF_Gen_3[[#This Row],[ICG]],Expected_CF[Incurred],CF_Gen_3[[#This Row],[Incurred]])</f>
        <v>0</v>
      </c>
      <c r="I19" s="14">
        <f>SUMIFS(Expected_CF[Expected_Commission],Expected_CF[ICG],CF_Gen_3[[#This Row],[ICG]],Expected_CF[Incurred],CF_Gen_3[[#This Row],[Incurred]])</f>
        <v>0</v>
      </c>
      <c r="J19" s="14">
        <f>IF(CF_Gen_3[[#This Row],[Contract]]="IC",SUMIFS(Expected_CF[Expected_Acquisition],Expected_CF[ICG],CF_Gen_3[[#This Row],[ICG]],Expected_CF[Incurred],CF_Gen_3[[#This Row],[Incurred]]),0)</f>
        <v>0</v>
      </c>
      <c r="K19" s="14">
        <f>SUMIFS(Earned[Earned_Premium],Earned[ICG],CF_Gen_3[[#This Row],[ICG]],Earned[Incurred],CF_Gen_3[[#This Row],[Incurred]])</f>
        <v>1966229476.3807762</v>
      </c>
      <c r="L19" s="14">
        <f>SUMIFS(Earned[Earned_Commission],Earned[ICG],CF_Gen_3[[#This Row],[ICG]],Earned[Incurred],CF_Gen_3[[#This Row],[Incurred]])</f>
        <v>-284196243.76944506</v>
      </c>
      <c r="M19" s="18">
        <f>_xlfn.XLOOKUP(CF_Gen_3[[#This Row],[ICG]],Assumptions[ICG],Assumptions[Loss_Ratio])</f>
        <v>0.4</v>
      </c>
      <c r="N19" s="18">
        <f>_xlfn.XLOOKUP(CF_Gen_3[[#This Row],[ICG]],Assumptions[ICG],Assumptions[Risk_Adjustment_Ratio])</f>
        <v>0.14000000000000001</v>
      </c>
      <c r="O19" s="18">
        <f>_xlfn.XLOOKUP(CF_Gen_3[[#This Row],[ICG]],Assumptions[ICG],Assumptions[PME_Ratio])</f>
        <v>4.4999999999999998E-2</v>
      </c>
      <c r="P19" s="18">
        <f>_xlfn.XLOOKUP(CF_Gen_3[[#This Row],[ICG]],Assumptions[ICG],Assumptions[ULAE_Ratio])</f>
        <v>0.11</v>
      </c>
      <c r="Q19" s="18">
        <f>_xlfn.XLOOKUP(CF_Gen_3[[#This Row],[ICG]],Assumptions[ICG],Assumptions[Cancellation_Ratio])</f>
        <v>7.0000000000000007E-2</v>
      </c>
      <c r="R19" s="18">
        <f>_xlfn.XLOOKUP(CF_Gen_3[[#This Row],[ICG]],Assumptions[ICG],Assumptions[Premium_Refund_Ratio])</f>
        <v>0.5</v>
      </c>
      <c r="S19" s="18">
        <f>IF(CF_Gen_3[[#This Row],[Contract]]="RC",_xlfn.XLOOKUP(CF_Gen_3[[#This Row],[ICG]],Assumptions[ICG],Assumptions[NPR_Ratio]),0)</f>
        <v>0</v>
      </c>
      <c r="T19" s="17">
        <f>T18*(1-CF_Gen_3[[#This Row],[Cancellation_Ratio]])</f>
        <v>0.29121257558844077</v>
      </c>
      <c r="U19" s="19">
        <f>IF(CF_Gen_3[[#This Row],[Incurred]]&lt;=CF_Gen_3[[#This Row],[Valuation]],CF_Gen_3[[#This Row],[Expected_Premium]],-CF_Gen_3[[#This Row],[Probability_of_Inforce]]*CF_Gen_3[[#This Row],[Premium_Refund_Ratio]]*CF_Gen_3[[#This Row],[Cancellation_Ratio]]*SUM(K19:K$105))</f>
        <v>-788151422.88669205</v>
      </c>
      <c r="V1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Row],[Cancellation_Ratio]]*SUM(L19:L$105))</f>
        <v>113918378.60056771</v>
      </c>
      <c r="W19" s="19">
        <f>CF_Gen_3[[#This Row],[Expected_Acquisition]]</f>
        <v>0</v>
      </c>
      <c r="X19" s="19">
        <f>-CF_Gen_3[[#This Row],[Probability_of_Inforce]]*CF_Gen_3[[#This Row],[Earned_Premium]]*(1-CF_Gen_3[[#This Row],[Cancellation_Ratio]])*CF_Gen_3[[#This Row],[PME_Ratio]]+CF_Gen_3[[#This Row],[ULAE_Ratio]]*CF_Gen_3[[#This Row],[Exp_Claim]]</f>
        <v>-47393336.378721438</v>
      </c>
      <c r="Y19" s="19">
        <f>-CF_Gen_3[[#This Row],[Probability_of_Inforce]]*CF_Gen_3[[#This Row],[Earned_Premium]]*(1-CF_Gen_3[[#This Row],[Cancellation_Ratio]])*CF_Gen_3[[#This Row],[Loss_Ratio]]</f>
        <v>-213003759.00548962</v>
      </c>
      <c r="Z19" s="19">
        <f>CF_Gen_3[[#This Row],[Exp_Claim]]*CF_Gen_3[[#This Row],[Risk_Adjustment_Ratio]]</f>
        <v>-29820526.260768548</v>
      </c>
      <c r="AA19" s="19">
        <f>IF(CF_Gen_3[[#This Row],[Contract]]="RC",-CF_Gen_3[[#This Row],[NPR_Ratio]]*CF_Gen_3[[#This Row],[Exp_Claim]],0)</f>
        <v>0</v>
      </c>
      <c r="AB19" s="19">
        <f>SUMIFS(Actual_CF[Actual_Premium],Actual_CF[ICG],CF_Gen_3[[#This Row],[ICG]],Actual_CF[Incurred],CF_Gen_3[[#This Row],[Incurred]])</f>
        <v>0</v>
      </c>
      <c r="AC19" s="19">
        <f>SUMIFS(Actual_CF[Actual_Commission],Actual_CF[ICG],CF_Gen_3[[#This Row],[ICG]],Actual_CF[Incurred],CF_Gen_3[[#This Row],[Incurred]])</f>
        <v>0</v>
      </c>
      <c r="AD19" s="19">
        <f>SUMIFS(Actual_CF[Actual_Acquisition],Actual_CF[ICG],CF_Gen_3[[#This Row],[ICG]],Actual_CF[Incurred],CF_Gen_3[[#This Row],[Incurred]])</f>
        <v>0</v>
      </c>
    </row>
    <row r="20" spans="1:30">
      <c r="A20" t="str">
        <f t="shared" si="1"/>
        <v>#2025#IC-Property</v>
      </c>
      <c r="B20">
        <f>_xlfn.XLOOKUP(CF_Gen_3[[#This Row],[ICG]],ICG[ICG],ICG[Cohort])</f>
        <v>2025</v>
      </c>
      <c r="C20" t="str">
        <f>_xlfn.XLOOKUP(CF_Gen_3[[#This Row],[ICG]],ICG[ICG],ICG[Portfolio])</f>
        <v>IC-Property</v>
      </c>
      <c r="D20" t="str">
        <f>_xlfn.XLOOKUP(CF_Gen_3[[#This Row],[ICG]],ICG[ICG],ICG[Contract])</f>
        <v>IC</v>
      </c>
      <c r="E20" s="2">
        <f t="shared" si="0"/>
        <v>45930</v>
      </c>
      <c r="F20">
        <v>19</v>
      </c>
      <c r="G20" s="2">
        <f>EOMONTH(DATE(YEAR(CF_Gen_3[[#This Row],[Valuation]])-1,12,31),CF_Gen_3[[#This Row],['#Incurred]]*3)</f>
        <v>47391</v>
      </c>
      <c r="H20" s="14">
        <f>SUMIFS(Expected_CF[Expected_Premium],Expected_CF[ICG],CF_Gen_3[[#This Row],[ICG]],Expected_CF[Incurred],CF_Gen_3[[#This Row],[Incurred]])</f>
        <v>0</v>
      </c>
      <c r="I20" s="14">
        <f>SUMIFS(Expected_CF[Expected_Commission],Expected_CF[ICG],CF_Gen_3[[#This Row],[ICG]],Expected_CF[Incurred],CF_Gen_3[[#This Row],[Incurred]])</f>
        <v>0</v>
      </c>
      <c r="J20" s="14">
        <f>IF(CF_Gen_3[[#This Row],[Contract]]="IC",SUMIFS(Expected_CF[Expected_Acquisition],Expected_CF[ICG],CF_Gen_3[[#This Row],[ICG]],Expected_CF[Incurred],CF_Gen_3[[#This Row],[Incurred]]),0)</f>
        <v>0</v>
      </c>
      <c r="K20" s="14">
        <f>SUMIFS(Earned[Earned_Premium],Earned[ICG],CF_Gen_3[[#This Row],[ICG]],Earned[Incurred],CF_Gen_3[[#This Row],[Incurred]])</f>
        <v>1932328968.1673143</v>
      </c>
      <c r="L20" s="14">
        <f>SUMIFS(Earned[Earned_Commission],Earned[ICG],CF_Gen_3[[#This Row],[ICG]],Earned[Incurred],CF_Gen_3[[#This Row],[Incurred]])</f>
        <v>-279296308.53204077</v>
      </c>
      <c r="M20" s="18">
        <f>_xlfn.XLOOKUP(CF_Gen_3[[#This Row],[ICG]],Assumptions[ICG],Assumptions[Loss_Ratio])</f>
        <v>0.4</v>
      </c>
      <c r="N20" s="18">
        <f>_xlfn.XLOOKUP(CF_Gen_3[[#This Row],[ICG]],Assumptions[ICG],Assumptions[Risk_Adjustment_Ratio])</f>
        <v>0.14000000000000001</v>
      </c>
      <c r="O20" s="18">
        <f>_xlfn.XLOOKUP(CF_Gen_3[[#This Row],[ICG]],Assumptions[ICG],Assumptions[PME_Ratio])</f>
        <v>4.4999999999999998E-2</v>
      </c>
      <c r="P20" s="18">
        <f>_xlfn.XLOOKUP(CF_Gen_3[[#This Row],[ICG]],Assumptions[ICG],Assumptions[ULAE_Ratio])</f>
        <v>0.11</v>
      </c>
      <c r="Q20" s="18">
        <f>_xlfn.XLOOKUP(CF_Gen_3[[#This Row],[ICG]],Assumptions[ICG],Assumptions[Cancellation_Ratio])</f>
        <v>7.0000000000000007E-2</v>
      </c>
      <c r="R20" s="18">
        <f>_xlfn.XLOOKUP(CF_Gen_3[[#This Row],[ICG]],Assumptions[ICG],Assumptions[Premium_Refund_Ratio])</f>
        <v>0.5</v>
      </c>
      <c r="S20" s="18">
        <f>IF(CF_Gen_3[[#This Row],[Contract]]="RC",_xlfn.XLOOKUP(CF_Gen_3[[#This Row],[ICG]],Assumptions[ICG],Assumptions[NPR_Ratio]),0)</f>
        <v>0</v>
      </c>
      <c r="T20" s="17">
        <f>T19*(1-CF_Gen_3[[#This Row],[Cancellation_Ratio]])</f>
        <v>0.27082769529724987</v>
      </c>
      <c r="U20" s="19">
        <f>IF(CF_Gen_3[[#This Row],[Incurred]]&lt;=CF_Gen_3[[#This Row],[Valuation]],CF_Gen_3[[#This Row],[Expected_Premium]],-CF_Gen_3[[#This Row],[Probability_of_Inforce]]*CF_Gen_3[[#This Row],[Premium_Refund_Ratio]]*CF_Gen_3[[#This Row],[Cancellation_Ratio]]*SUM(K20:K$105))</f>
        <v>-714342994.37164307</v>
      </c>
      <c r="V2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Row],[Cancellation_Ratio]]*SUM(L20:L$105))</f>
        <v>103250204.61860046</v>
      </c>
      <c r="W20" s="19">
        <f>CF_Gen_3[[#This Row],[Expected_Acquisition]]</f>
        <v>0</v>
      </c>
      <c r="X20" s="19">
        <f>-CF_Gen_3[[#This Row],[Probability_of_Inforce]]*CF_Gen_3[[#This Row],[Earned_Premium]]*(1-CF_Gen_3[[#This Row],[Cancellation_Ratio]])*CF_Gen_3[[#This Row],[PME_Ratio]]+CF_Gen_3[[#This Row],[ULAE_Ratio]]*CF_Gen_3[[#This Row],[Exp_Claim]]</f>
        <v>-43315875.197172806</v>
      </c>
      <c r="Y20" s="19">
        <f>-CF_Gen_3[[#This Row],[Probability_of_Inforce]]*CF_Gen_3[[#This Row],[Earned_Premium]]*(1-CF_Gen_3[[#This Row],[Cancellation_Ratio]])*CF_Gen_3[[#This Row],[Loss_Ratio]]</f>
        <v>-194678090.77381039</v>
      </c>
      <c r="Z20" s="19">
        <f>CF_Gen_3[[#This Row],[Exp_Claim]]*CF_Gen_3[[#This Row],[Risk_Adjustment_Ratio]]</f>
        <v>-27254932.708333455</v>
      </c>
      <c r="AA20" s="19">
        <f>IF(CF_Gen_3[[#This Row],[Contract]]="RC",-CF_Gen_3[[#This Row],[NPR_Ratio]]*CF_Gen_3[[#This Row],[Exp_Claim]],0)</f>
        <v>0</v>
      </c>
      <c r="AB20" s="19">
        <f>SUMIFS(Actual_CF[Actual_Premium],Actual_CF[ICG],CF_Gen_3[[#This Row],[ICG]],Actual_CF[Incurred],CF_Gen_3[[#This Row],[Incurred]])</f>
        <v>0</v>
      </c>
      <c r="AC20" s="19">
        <f>SUMIFS(Actual_CF[Actual_Commission],Actual_CF[ICG],CF_Gen_3[[#This Row],[ICG]],Actual_CF[Incurred],CF_Gen_3[[#This Row],[Incurred]])</f>
        <v>0</v>
      </c>
      <c r="AD20" s="19">
        <f>SUMIFS(Actual_CF[Actual_Acquisition],Actual_CF[ICG],CF_Gen_3[[#This Row],[ICG]],Actual_CF[Incurred],CF_Gen_3[[#This Row],[Incurred]])</f>
        <v>0</v>
      </c>
    </row>
    <row r="21" spans="1:30">
      <c r="A21" t="str">
        <f t="shared" si="1"/>
        <v>#2025#IC-Property</v>
      </c>
      <c r="B21">
        <f>_xlfn.XLOOKUP(CF_Gen_3[[#This Row],[ICG]],ICG[ICG],ICG[Cohort])</f>
        <v>2025</v>
      </c>
      <c r="C21" t="str">
        <f>_xlfn.XLOOKUP(CF_Gen_3[[#This Row],[ICG]],ICG[ICG],ICG[Portfolio])</f>
        <v>IC-Property</v>
      </c>
      <c r="D21" t="str">
        <f>_xlfn.XLOOKUP(CF_Gen_3[[#This Row],[ICG]],ICG[ICG],ICG[Contract])</f>
        <v>IC</v>
      </c>
      <c r="E21" s="2">
        <f t="shared" si="0"/>
        <v>45930</v>
      </c>
      <c r="F21">
        <v>20</v>
      </c>
      <c r="G21" s="2">
        <f>EOMONTH(DATE(YEAR(CF_Gen_3[[#This Row],[Valuation]])-1,12,31),CF_Gen_3[[#This Row],['#Incurred]]*3)</f>
        <v>47483</v>
      </c>
      <c r="H21" s="14">
        <f>SUMIFS(Expected_CF[Expected_Premium],Expected_CF[ICG],CF_Gen_3[[#This Row],[ICG]],Expected_CF[Incurred],CF_Gen_3[[#This Row],[Incurred]])</f>
        <v>0</v>
      </c>
      <c r="I21" s="14">
        <f>SUMIFS(Expected_CF[Expected_Commission],Expected_CF[ICG],CF_Gen_3[[#This Row],[ICG]],Expected_CF[Incurred],CF_Gen_3[[#This Row],[Incurred]])</f>
        <v>0</v>
      </c>
      <c r="J21" s="14">
        <f>IF(CF_Gen_3[[#This Row],[Contract]]="IC",SUMIFS(Expected_CF[Expected_Acquisition],Expected_CF[ICG],CF_Gen_3[[#This Row],[ICG]],Expected_CF[Incurred],CF_Gen_3[[#This Row],[Incurred]]),0)</f>
        <v>0</v>
      </c>
      <c r="K21" s="14">
        <f>SUMIFS(Earned[Earned_Premium],Earned[ICG],CF_Gen_3[[#This Row],[ICG]],Earned[Incurred],CF_Gen_3[[#This Row],[Incurred]])</f>
        <v>1932328968.1673143</v>
      </c>
      <c r="L21" s="14">
        <f>SUMIFS(Earned[Earned_Commission],Earned[ICG],CF_Gen_3[[#This Row],[ICG]],Earned[Incurred],CF_Gen_3[[#This Row],[Incurred]])</f>
        <v>-279296308.53204077</v>
      </c>
      <c r="M21" s="18">
        <f>_xlfn.XLOOKUP(CF_Gen_3[[#This Row],[ICG]],Assumptions[ICG],Assumptions[Loss_Ratio])</f>
        <v>0.4</v>
      </c>
      <c r="N21" s="18">
        <f>_xlfn.XLOOKUP(CF_Gen_3[[#This Row],[ICG]],Assumptions[ICG],Assumptions[Risk_Adjustment_Ratio])</f>
        <v>0.14000000000000001</v>
      </c>
      <c r="O21" s="18">
        <f>_xlfn.XLOOKUP(CF_Gen_3[[#This Row],[ICG]],Assumptions[ICG],Assumptions[PME_Ratio])</f>
        <v>4.4999999999999998E-2</v>
      </c>
      <c r="P21" s="18">
        <f>_xlfn.XLOOKUP(CF_Gen_3[[#This Row],[ICG]],Assumptions[ICG],Assumptions[ULAE_Ratio])</f>
        <v>0.11</v>
      </c>
      <c r="Q21" s="18">
        <f>_xlfn.XLOOKUP(CF_Gen_3[[#This Row],[ICG]],Assumptions[ICG],Assumptions[Cancellation_Ratio])</f>
        <v>7.0000000000000007E-2</v>
      </c>
      <c r="R21" s="18">
        <f>_xlfn.XLOOKUP(CF_Gen_3[[#This Row],[ICG]],Assumptions[ICG],Assumptions[Premium_Refund_Ratio])</f>
        <v>0.5</v>
      </c>
      <c r="S21" s="18">
        <f>IF(CF_Gen_3[[#This Row],[Contract]]="RC",_xlfn.XLOOKUP(CF_Gen_3[[#This Row],[ICG]],Assumptions[ICG],Assumptions[NPR_Ratio]),0)</f>
        <v>0</v>
      </c>
      <c r="T21" s="17">
        <f>T20*(1-CF_Gen_3[[#This Row],[Cancellation_Ratio]])</f>
        <v>0.25186975662644234</v>
      </c>
      <c r="U21" s="19">
        <f>IF(CF_Gen_3[[#This Row],[Incurred]]&lt;=CF_Gen_3[[#This Row],[Valuation]],CF_Gen_3[[#This Row],[Expected_Premium]],-CF_Gen_3[[#This Row],[Probability_of_Inforce]]*CF_Gen_3[[#This Row],[Premium_Refund_Ratio]]*CF_Gen_3[[#This Row],[Cancellation_Ratio]]*SUM(K21:K$105))</f>
        <v>-647304651.82291949</v>
      </c>
      <c r="V2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Row],[Cancellation_Ratio]]*SUM(L21:L$105))</f>
        <v>93560570.03131637</v>
      </c>
      <c r="W21" s="19">
        <f>CF_Gen_3[[#This Row],[Expected_Acquisition]]</f>
        <v>0</v>
      </c>
      <c r="X21" s="19">
        <f>-CF_Gen_3[[#This Row],[Probability_of_Inforce]]*CF_Gen_3[[#This Row],[Earned_Premium]]*(1-CF_Gen_3[[#This Row],[Cancellation_Ratio]])*CF_Gen_3[[#This Row],[PME_Ratio]]+CF_Gen_3[[#This Row],[ULAE_Ratio]]*CF_Gen_3[[#This Row],[Exp_Claim]]</f>
        <v>-40283763.933370709</v>
      </c>
      <c r="Y21" s="19">
        <f>-CF_Gen_3[[#This Row],[Probability_of_Inforce]]*CF_Gen_3[[#This Row],[Earned_Premium]]*(1-CF_Gen_3[[#This Row],[Cancellation_Ratio]])*CF_Gen_3[[#This Row],[Loss_Ratio]]</f>
        <v>-181050624.41964364</v>
      </c>
      <c r="Z21" s="19">
        <f>CF_Gen_3[[#This Row],[Exp_Claim]]*CF_Gen_3[[#This Row],[Risk_Adjustment_Ratio]]</f>
        <v>-25347087.418750111</v>
      </c>
      <c r="AA21" s="19">
        <f>IF(CF_Gen_3[[#This Row],[Contract]]="RC",-CF_Gen_3[[#This Row],[NPR_Ratio]]*CF_Gen_3[[#This Row],[Exp_Claim]],0)</f>
        <v>0</v>
      </c>
      <c r="AB21" s="19">
        <f>SUMIFS(Actual_CF[Actual_Premium],Actual_CF[ICG],CF_Gen_3[[#This Row],[ICG]],Actual_CF[Incurred],CF_Gen_3[[#This Row],[Incurred]])</f>
        <v>0</v>
      </c>
      <c r="AC21" s="19">
        <f>SUMIFS(Actual_CF[Actual_Commission],Actual_CF[ICG],CF_Gen_3[[#This Row],[ICG]],Actual_CF[Incurred],CF_Gen_3[[#This Row],[Incurred]])</f>
        <v>0</v>
      </c>
      <c r="AD21" s="19">
        <f>SUMIFS(Actual_CF[Actual_Acquisition],Actual_CF[ICG],CF_Gen_3[[#This Row],[ICG]],Actual_CF[Incurred],CF_Gen_3[[#This Row],[Incurred]])</f>
        <v>0</v>
      </c>
    </row>
    <row r="22" spans="1:30">
      <c r="A22" t="str">
        <f t="shared" si="1"/>
        <v>#2025#IC-Property</v>
      </c>
      <c r="B22">
        <f>_xlfn.XLOOKUP(CF_Gen_3[[#This Row],[ICG]],ICG[ICG],ICG[Cohort])</f>
        <v>2025</v>
      </c>
      <c r="C22" t="str">
        <f>_xlfn.XLOOKUP(CF_Gen_3[[#This Row],[ICG]],ICG[ICG],ICG[Portfolio])</f>
        <v>IC-Property</v>
      </c>
      <c r="D22" t="str">
        <f>_xlfn.XLOOKUP(CF_Gen_3[[#This Row],[ICG]],ICG[ICG],ICG[Contract])</f>
        <v>IC</v>
      </c>
      <c r="E22" s="2">
        <f t="shared" si="0"/>
        <v>45930</v>
      </c>
      <c r="F22">
        <v>21</v>
      </c>
      <c r="G22" s="2">
        <f>EOMONTH(DATE(YEAR(CF_Gen_3[[#This Row],[Valuation]])-1,12,31),CF_Gen_3[[#This Row],['#Incurred]]*3)</f>
        <v>47573</v>
      </c>
      <c r="H22" s="14">
        <f>SUMIFS(Expected_CF[Expected_Premium],Expected_CF[ICG],CF_Gen_3[[#This Row],[ICG]],Expected_CF[Incurred],CF_Gen_3[[#This Row],[Incurred]])</f>
        <v>0</v>
      </c>
      <c r="I22" s="14">
        <f>SUMIFS(Expected_CF[Expected_Commission],Expected_CF[ICG],CF_Gen_3[[#This Row],[ICG]],Expected_CF[Incurred],CF_Gen_3[[#This Row],[Incurred]])</f>
        <v>0</v>
      </c>
      <c r="J22" s="14">
        <f>IF(CF_Gen_3[[#This Row],[Contract]]="IC",SUMIFS(Expected_CF[Expected_Acquisition],Expected_CF[ICG],CF_Gen_3[[#This Row],[ICG]],Expected_CF[Incurred],CF_Gen_3[[#This Row],[Incurred]]),0)</f>
        <v>0</v>
      </c>
      <c r="K22" s="14">
        <f>SUMIFS(Earned[Earned_Premium],Earned[ICG],CF_Gen_3[[#This Row],[ICG]],Earned[Incurred],CF_Gen_3[[#This Row],[Incurred]])</f>
        <v>1898428459.9538527</v>
      </c>
      <c r="L22" s="14">
        <f>SUMIFS(Earned[Earned_Commission],Earned[ICG],CF_Gen_3[[#This Row],[ICG]],Earned[Incurred],CF_Gen_3[[#This Row],[Incurred]])</f>
        <v>-274396373.29463661</v>
      </c>
      <c r="M22" s="18">
        <f>_xlfn.XLOOKUP(CF_Gen_3[[#This Row],[ICG]],Assumptions[ICG],Assumptions[Loss_Ratio])</f>
        <v>0.4</v>
      </c>
      <c r="N22" s="18">
        <f>_xlfn.XLOOKUP(CF_Gen_3[[#This Row],[ICG]],Assumptions[ICG],Assumptions[Risk_Adjustment_Ratio])</f>
        <v>0.14000000000000001</v>
      </c>
      <c r="O22" s="18">
        <f>_xlfn.XLOOKUP(CF_Gen_3[[#This Row],[ICG]],Assumptions[ICG],Assumptions[PME_Ratio])</f>
        <v>4.4999999999999998E-2</v>
      </c>
      <c r="P22" s="18">
        <f>_xlfn.XLOOKUP(CF_Gen_3[[#This Row],[ICG]],Assumptions[ICG],Assumptions[ULAE_Ratio])</f>
        <v>0.11</v>
      </c>
      <c r="Q22" s="18">
        <f>_xlfn.XLOOKUP(CF_Gen_3[[#This Row],[ICG]],Assumptions[ICG],Assumptions[Cancellation_Ratio])</f>
        <v>7.0000000000000007E-2</v>
      </c>
      <c r="R22" s="18">
        <f>_xlfn.XLOOKUP(CF_Gen_3[[#This Row],[ICG]],Assumptions[ICG],Assumptions[Premium_Refund_Ratio])</f>
        <v>0.5</v>
      </c>
      <c r="S22" s="18">
        <f>IF(CF_Gen_3[[#This Row],[Contract]]="RC",_xlfn.XLOOKUP(CF_Gen_3[[#This Row],[ICG]],Assumptions[ICG],Assumptions[NPR_Ratio]),0)</f>
        <v>0</v>
      </c>
      <c r="T22" s="17">
        <f>T21*(1-CF_Gen_3[[#This Row],[Cancellation_Ratio]])</f>
        <v>0.23423887366259136</v>
      </c>
      <c r="U22" s="19">
        <f>IF(CF_Gen_3[[#This Row],[Incurred]]&lt;=CF_Gen_3[[#This Row],[Valuation]],CF_Gen_3[[#This Row],[Expected_Premium]],-CF_Gen_3[[#This Row],[Probability_of_Inforce]]*CF_Gen_3[[#This Row],[Premium_Refund_Ratio]]*CF_Gen_3[[#This Row],[Cancellation_Ratio]]*SUM(K22:K$105))</f>
        <v>-586151396.55859613</v>
      </c>
      <c r="V2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Row],[Cancellation_Ratio]]*SUM(L22:L$105))</f>
        <v>84721558.283620968</v>
      </c>
      <c r="W22" s="19">
        <f>CF_Gen_3[[#This Row],[Expected_Acquisition]]</f>
        <v>0</v>
      </c>
      <c r="X22" s="19">
        <f>-CF_Gen_3[[#This Row],[Probability_of_Inforce]]*CF_Gen_3[[#This Row],[Earned_Premium]]*(1-CF_Gen_3[[#This Row],[Cancellation_Ratio]])*CF_Gen_3[[#This Row],[PME_Ratio]]+CF_Gen_3[[#This Row],[ULAE_Ratio]]*CF_Gen_3[[#This Row],[Exp_Claim]]</f>
        <v>-36806639.046490282</v>
      </c>
      <c r="Y22" s="19">
        <f>-CF_Gen_3[[#This Row],[Probability_of_Inforce]]*CF_Gen_3[[#This Row],[Earned_Premium]]*(1-CF_Gen_3[[#This Row],[Cancellation_Ratio]])*CF_Gen_3[[#This Row],[Loss_Ratio]]</f>
        <v>-165423096.83815861</v>
      </c>
      <c r="Z22" s="19">
        <f>CF_Gen_3[[#This Row],[Exp_Claim]]*CF_Gen_3[[#This Row],[Risk_Adjustment_Ratio]]</f>
        <v>-23159233.557342209</v>
      </c>
      <c r="AA22" s="19">
        <f>IF(CF_Gen_3[[#This Row],[Contract]]="RC",-CF_Gen_3[[#This Row],[NPR_Ratio]]*CF_Gen_3[[#This Row],[Exp_Claim]],0)</f>
        <v>0</v>
      </c>
      <c r="AB22" s="19">
        <f>SUMIFS(Actual_CF[Actual_Premium],Actual_CF[ICG],CF_Gen_3[[#This Row],[ICG]],Actual_CF[Incurred],CF_Gen_3[[#This Row],[Incurred]])</f>
        <v>0</v>
      </c>
      <c r="AC22" s="19">
        <f>SUMIFS(Actual_CF[Actual_Commission],Actual_CF[ICG],CF_Gen_3[[#This Row],[ICG]],Actual_CF[Incurred],CF_Gen_3[[#This Row],[Incurred]])</f>
        <v>0</v>
      </c>
      <c r="AD22" s="19">
        <f>SUMIFS(Actual_CF[Actual_Acquisition],Actual_CF[ICG],CF_Gen_3[[#This Row],[ICG]],Actual_CF[Incurred],CF_Gen_3[[#This Row],[Incurred]])</f>
        <v>0</v>
      </c>
    </row>
    <row r="23" spans="1:30">
      <c r="A23" t="str">
        <f t="shared" si="1"/>
        <v>#2025#IC-Property</v>
      </c>
      <c r="B23">
        <f>_xlfn.XLOOKUP(CF_Gen_3[[#This Row],[ICG]],ICG[ICG],ICG[Cohort])</f>
        <v>2025</v>
      </c>
      <c r="C23" t="str">
        <f>_xlfn.XLOOKUP(CF_Gen_3[[#This Row],[ICG]],ICG[ICG],ICG[Portfolio])</f>
        <v>IC-Property</v>
      </c>
      <c r="D23" t="str">
        <f>_xlfn.XLOOKUP(CF_Gen_3[[#This Row],[ICG]],ICG[ICG],ICG[Contract])</f>
        <v>IC</v>
      </c>
      <c r="E23" s="2">
        <f t="shared" si="0"/>
        <v>45930</v>
      </c>
      <c r="F23">
        <v>22</v>
      </c>
      <c r="G23" s="2">
        <f>EOMONTH(DATE(YEAR(CF_Gen_3[[#This Row],[Valuation]])-1,12,31),CF_Gen_3[[#This Row],['#Incurred]]*3)</f>
        <v>47664</v>
      </c>
      <c r="H23" s="14">
        <f>SUMIFS(Expected_CF[Expected_Premium],Expected_CF[ICG],CF_Gen_3[[#This Row],[ICG]],Expected_CF[Incurred],CF_Gen_3[[#This Row],[Incurred]])</f>
        <v>0</v>
      </c>
      <c r="I23" s="14">
        <f>SUMIFS(Expected_CF[Expected_Commission],Expected_CF[ICG],CF_Gen_3[[#This Row],[ICG]],Expected_CF[Incurred],CF_Gen_3[[#This Row],[Incurred]])</f>
        <v>0</v>
      </c>
      <c r="J23" s="14">
        <f>IF(CF_Gen_3[[#This Row],[Contract]]="IC",SUMIFS(Expected_CF[Expected_Acquisition],Expected_CF[ICG],CF_Gen_3[[#This Row],[ICG]],Expected_CF[Incurred],CF_Gen_3[[#This Row],[Incurred]]),0)</f>
        <v>0</v>
      </c>
      <c r="K23" s="14">
        <f>SUMIFS(Earned[Earned_Premium],Earned[ICG],CF_Gen_3[[#This Row],[ICG]],Earned[Incurred],CF_Gen_3[[#This Row],[Incurred]])</f>
        <v>1864527951.7403908</v>
      </c>
      <c r="L23" s="14">
        <f>SUMIFS(Earned[Earned_Commission],Earned[ICG],CF_Gen_3[[#This Row],[ICG]],Earned[Incurred],CF_Gen_3[[#This Row],[Incurred]])</f>
        <v>-269496438.05723232</v>
      </c>
      <c r="M23" s="18">
        <f>_xlfn.XLOOKUP(CF_Gen_3[[#This Row],[ICG]],Assumptions[ICG],Assumptions[Loss_Ratio])</f>
        <v>0.4</v>
      </c>
      <c r="N23" s="18">
        <f>_xlfn.XLOOKUP(CF_Gen_3[[#This Row],[ICG]],Assumptions[ICG],Assumptions[Risk_Adjustment_Ratio])</f>
        <v>0.14000000000000001</v>
      </c>
      <c r="O23" s="18">
        <f>_xlfn.XLOOKUP(CF_Gen_3[[#This Row],[ICG]],Assumptions[ICG],Assumptions[PME_Ratio])</f>
        <v>4.4999999999999998E-2</v>
      </c>
      <c r="P23" s="18">
        <f>_xlfn.XLOOKUP(CF_Gen_3[[#This Row],[ICG]],Assumptions[ICG],Assumptions[ULAE_Ratio])</f>
        <v>0.11</v>
      </c>
      <c r="Q23" s="18">
        <f>_xlfn.XLOOKUP(CF_Gen_3[[#This Row],[ICG]],Assumptions[ICG],Assumptions[Cancellation_Ratio])</f>
        <v>7.0000000000000007E-2</v>
      </c>
      <c r="R23" s="18">
        <f>_xlfn.XLOOKUP(CF_Gen_3[[#This Row],[ICG]],Assumptions[ICG],Assumptions[Premium_Refund_Ratio])</f>
        <v>0.5</v>
      </c>
      <c r="S23" s="18">
        <f>IF(CF_Gen_3[[#This Row],[Contract]]="RC",_xlfn.XLOOKUP(CF_Gen_3[[#This Row],[ICG]],Assumptions[ICG],Assumptions[NPR_Ratio]),0)</f>
        <v>0</v>
      </c>
      <c r="T23" s="17">
        <f>T22*(1-CF_Gen_3[[#This Row],[Cancellation_Ratio]])</f>
        <v>0.21784215250620995</v>
      </c>
      <c r="U23" s="19">
        <f>IF(CF_Gen_3[[#This Row],[Incurred]]&lt;=CF_Gen_3[[#This Row],[Valuation]],CF_Gen_3[[#This Row],[Expected_Premium]],-CF_Gen_3[[#This Row],[Probability_of_Inforce]]*CF_Gen_3[[#This Row],[Premium_Refund_Ratio]]*CF_Gen_3[[#This Row],[Cancellation_Ratio]]*SUM(K23:K$105))</f>
        <v>-530646277.8261556</v>
      </c>
      <c r="V2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Row],[Cancellation_Ratio]]*SUM(L23:L$105))</f>
        <v>76698920.82282345</v>
      </c>
      <c r="W23" s="19">
        <f>CF_Gen_3[[#This Row],[Expected_Acquisition]]</f>
        <v>0</v>
      </c>
      <c r="X23" s="19">
        <f>-CF_Gen_3[[#This Row],[Probability_of_Inforce]]*CF_Gen_3[[#This Row],[Earned_Premium]]*(1-CF_Gen_3[[#This Row],[Cancellation_Ratio]])*CF_Gen_3[[#This Row],[PME_Ratio]]+CF_Gen_3[[#This Row],[ULAE_Ratio]]*CF_Gen_3[[#This Row],[Exp_Claim]]</f>
        <v>-33618921.200499602</v>
      </c>
      <c r="Y23" s="19">
        <f>-CF_Gen_3[[#This Row],[Probability_of_Inforce]]*CF_Gen_3[[#This Row],[Earned_Premium]]*(1-CF_Gen_3[[#This Row],[Cancellation_Ratio]])*CF_Gen_3[[#This Row],[Loss_Ratio]]</f>
        <v>-151096275.05842519</v>
      </c>
      <c r="Z23" s="19">
        <f>CF_Gen_3[[#This Row],[Exp_Claim]]*CF_Gen_3[[#This Row],[Risk_Adjustment_Ratio]]</f>
        <v>-21153478.508179527</v>
      </c>
      <c r="AA23" s="19">
        <f>IF(CF_Gen_3[[#This Row],[Contract]]="RC",-CF_Gen_3[[#This Row],[NPR_Ratio]]*CF_Gen_3[[#This Row],[Exp_Claim]],0)</f>
        <v>0</v>
      </c>
      <c r="AB23" s="19">
        <f>SUMIFS(Actual_CF[Actual_Premium],Actual_CF[ICG],CF_Gen_3[[#This Row],[ICG]],Actual_CF[Incurred],CF_Gen_3[[#This Row],[Incurred]])</f>
        <v>0</v>
      </c>
      <c r="AC23" s="19">
        <f>SUMIFS(Actual_CF[Actual_Commission],Actual_CF[ICG],CF_Gen_3[[#This Row],[ICG]],Actual_CF[Incurred],CF_Gen_3[[#This Row],[Incurred]])</f>
        <v>0</v>
      </c>
      <c r="AD23" s="19">
        <f>SUMIFS(Actual_CF[Actual_Acquisition],Actual_CF[ICG],CF_Gen_3[[#This Row],[ICG]],Actual_CF[Incurred],CF_Gen_3[[#This Row],[Incurred]])</f>
        <v>0</v>
      </c>
    </row>
    <row r="24" spans="1:30">
      <c r="A24" t="str">
        <f t="shared" si="1"/>
        <v>#2025#IC-Property</v>
      </c>
      <c r="B24">
        <f>_xlfn.XLOOKUP(CF_Gen_3[[#This Row],[ICG]],ICG[ICG],ICG[Cohort])</f>
        <v>2025</v>
      </c>
      <c r="C24" t="str">
        <f>_xlfn.XLOOKUP(CF_Gen_3[[#This Row],[ICG]],ICG[ICG],ICG[Portfolio])</f>
        <v>IC-Property</v>
      </c>
      <c r="D24" t="str">
        <f>_xlfn.XLOOKUP(CF_Gen_3[[#This Row],[ICG]],ICG[ICG],ICG[Contract])</f>
        <v>IC</v>
      </c>
      <c r="E24" s="2">
        <f t="shared" si="0"/>
        <v>45930</v>
      </c>
      <c r="F24">
        <v>23</v>
      </c>
      <c r="G24" s="2">
        <f>EOMONTH(DATE(YEAR(CF_Gen_3[[#This Row],[Valuation]])-1,12,31),CF_Gen_3[[#This Row],['#Incurred]]*3)</f>
        <v>47756</v>
      </c>
      <c r="H24" s="14">
        <f>SUMIFS(Expected_CF[Expected_Premium],Expected_CF[ICG],CF_Gen_3[[#This Row],[ICG]],Expected_CF[Incurred],CF_Gen_3[[#This Row],[Incurred]])</f>
        <v>0</v>
      </c>
      <c r="I24" s="14">
        <f>SUMIFS(Expected_CF[Expected_Commission],Expected_CF[ICG],CF_Gen_3[[#This Row],[ICG]],Expected_CF[Incurred],CF_Gen_3[[#This Row],[Incurred]])</f>
        <v>0</v>
      </c>
      <c r="J24" s="14">
        <f>IF(CF_Gen_3[[#This Row],[Contract]]="IC",SUMIFS(Expected_CF[Expected_Acquisition],Expected_CF[ICG],CF_Gen_3[[#This Row],[ICG]],Expected_CF[Incurred],CF_Gen_3[[#This Row],[Incurred]]),0)</f>
        <v>0</v>
      </c>
      <c r="K24" s="14">
        <f>SUMIFS(Earned[Earned_Premium],Earned[ICG],CF_Gen_3[[#This Row],[ICG]],Earned[Incurred],CF_Gen_3[[#This Row],[Incurred]])</f>
        <v>1830627443.5269294</v>
      </c>
      <c r="L24" s="14">
        <f>SUMIFS(Earned[Earned_Commission],Earned[ICG],CF_Gen_3[[#This Row],[ICG]],Earned[Incurred],CF_Gen_3[[#This Row],[Incurred]])</f>
        <v>-264596502.81982812</v>
      </c>
      <c r="M24" s="18">
        <f>_xlfn.XLOOKUP(CF_Gen_3[[#This Row],[ICG]],Assumptions[ICG],Assumptions[Loss_Ratio])</f>
        <v>0.4</v>
      </c>
      <c r="N24" s="18">
        <f>_xlfn.XLOOKUP(CF_Gen_3[[#This Row],[ICG]],Assumptions[ICG],Assumptions[Risk_Adjustment_Ratio])</f>
        <v>0.14000000000000001</v>
      </c>
      <c r="O24" s="18">
        <f>_xlfn.XLOOKUP(CF_Gen_3[[#This Row],[ICG]],Assumptions[ICG],Assumptions[PME_Ratio])</f>
        <v>4.4999999999999998E-2</v>
      </c>
      <c r="P24" s="18">
        <f>_xlfn.XLOOKUP(CF_Gen_3[[#This Row],[ICG]],Assumptions[ICG],Assumptions[ULAE_Ratio])</f>
        <v>0.11</v>
      </c>
      <c r="Q24" s="18">
        <f>_xlfn.XLOOKUP(CF_Gen_3[[#This Row],[ICG]],Assumptions[ICG],Assumptions[Cancellation_Ratio])</f>
        <v>7.0000000000000007E-2</v>
      </c>
      <c r="R24" s="18">
        <f>_xlfn.XLOOKUP(CF_Gen_3[[#This Row],[ICG]],Assumptions[ICG],Assumptions[Premium_Refund_Ratio])</f>
        <v>0.5</v>
      </c>
      <c r="S24" s="18">
        <f>IF(CF_Gen_3[[#This Row],[Contract]]="RC",_xlfn.XLOOKUP(CF_Gen_3[[#This Row],[ICG]],Assumptions[ICG],Assumptions[NPR_Ratio]),0)</f>
        <v>0</v>
      </c>
      <c r="T24" s="17">
        <f>T23*(1-CF_Gen_3[[#This Row],[Cancellation_Ratio]])</f>
        <v>0.20259320183077523</v>
      </c>
      <c r="U24" s="19">
        <f>IF(CF_Gen_3[[#This Row],[Incurred]]&lt;=CF_Gen_3[[#This Row],[Valuation]],CF_Gen_3[[#This Row],[Expected_Premium]],-CF_Gen_3[[#This Row],[Probability_of_Inforce]]*CF_Gen_3[[#This Row],[Premium_Refund_Ratio]]*CF_Gen_3[[#This Row],[Cancellation_Ratio]]*SUM(K24:K$105))</f>
        <v>-480280114.31071246</v>
      </c>
      <c r="V2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Row],[Cancellation_Ratio]]*SUM(L24:L$105))</f>
        <v>69419061.245845661</v>
      </c>
      <c r="W24" s="19">
        <f>CF_Gen_3[[#This Row],[Expected_Acquisition]]</f>
        <v>0</v>
      </c>
      <c r="X24" s="19">
        <f>-CF_Gen_3[[#This Row],[Probability_of_Inforce]]*CF_Gen_3[[#This Row],[Earned_Premium]]*(1-CF_Gen_3[[#This Row],[Cancellation_Ratio]])*CF_Gen_3[[#This Row],[PME_Ratio]]+CF_Gen_3[[#This Row],[ULAE_Ratio]]*CF_Gen_3[[#This Row],[Exp_Claim]]</f>
        <v>-30697131.321619816</v>
      </c>
      <c r="Y24" s="19">
        <f>-CF_Gen_3[[#This Row],[Probability_of_Inforce]]*CF_Gen_3[[#This Row],[Earned_Premium]]*(1-CF_Gen_3[[#This Row],[Cancellation_Ratio]])*CF_Gen_3[[#This Row],[Loss_Ratio]]</f>
        <v>-137964635.15334749</v>
      </c>
      <c r="Z24" s="19">
        <f>CF_Gen_3[[#This Row],[Exp_Claim]]*CF_Gen_3[[#This Row],[Risk_Adjustment_Ratio]]</f>
        <v>-19315048.921468649</v>
      </c>
      <c r="AA24" s="19">
        <f>IF(CF_Gen_3[[#This Row],[Contract]]="RC",-CF_Gen_3[[#This Row],[NPR_Ratio]]*CF_Gen_3[[#This Row],[Exp_Claim]],0)</f>
        <v>0</v>
      </c>
      <c r="AB24" s="19">
        <f>SUMIFS(Actual_CF[Actual_Premium],Actual_CF[ICG],CF_Gen_3[[#This Row],[ICG]],Actual_CF[Incurred],CF_Gen_3[[#This Row],[Incurred]])</f>
        <v>0</v>
      </c>
      <c r="AC24" s="19">
        <f>SUMIFS(Actual_CF[Actual_Commission],Actual_CF[ICG],CF_Gen_3[[#This Row],[ICG]],Actual_CF[Incurred],CF_Gen_3[[#This Row],[Incurred]])</f>
        <v>0</v>
      </c>
      <c r="AD24" s="19">
        <f>SUMIFS(Actual_CF[Actual_Acquisition],Actual_CF[ICG],CF_Gen_3[[#This Row],[ICG]],Actual_CF[Incurred],CF_Gen_3[[#This Row],[Incurred]])</f>
        <v>0</v>
      </c>
    </row>
    <row r="25" spans="1:30">
      <c r="A25" t="str">
        <f t="shared" si="1"/>
        <v>#2025#IC-Property</v>
      </c>
      <c r="B25">
        <f>_xlfn.XLOOKUP(CF_Gen_3[[#This Row],[ICG]],ICG[ICG],ICG[Cohort])</f>
        <v>2025</v>
      </c>
      <c r="C25" t="str">
        <f>_xlfn.XLOOKUP(CF_Gen_3[[#This Row],[ICG]],ICG[ICG],ICG[Portfolio])</f>
        <v>IC-Property</v>
      </c>
      <c r="D25" t="str">
        <f>_xlfn.XLOOKUP(CF_Gen_3[[#This Row],[ICG]],ICG[ICG],ICG[Contract])</f>
        <v>IC</v>
      </c>
      <c r="E25" s="2">
        <f t="shared" si="0"/>
        <v>45930</v>
      </c>
      <c r="F25">
        <v>24</v>
      </c>
      <c r="G25" s="2">
        <f>EOMONTH(DATE(YEAR(CF_Gen_3[[#This Row],[Valuation]])-1,12,31),CF_Gen_3[[#This Row],['#Incurred]]*3)</f>
        <v>47848</v>
      </c>
      <c r="H25" s="14">
        <f>SUMIFS(Expected_CF[Expected_Premium],Expected_CF[ICG],CF_Gen_3[[#This Row],[ICG]],Expected_CF[Incurred],CF_Gen_3[[#This Row],[Incurred]])</f>
        <v>0</v>
      </c>
      <c r="I25" s="14">
        <f>SUMIFS(Expected_CF[Expected_Commission],Expected_CF[ICG],CF_Gen_3[[#This Row],[ICG]],Expected_CF[Incurred],CF_Gen_3[[#This Row],[Incurred]])</f>
        <v>0</v>
      </c>
      <c r="J25" s="14">
        <f>IF(CF_Gen_3[[#This Row],[Contract]]="IC",SUMIFS(Expected_CF[Expected_Acquisition],Expected_CF[ICG],CF_Gen_3[[#This Row],[ICG]],Expected_CF[Incurred],CF_Gen_3[[#This Row],[Incurred]]),0)</f>
        <v>0</v>
      </c>
      <c r="K25" s="14">
        <f>SUMIFS(Earned[Earned_Premium],Earned[ICG],CF_Gen_3[[#This Row],[ICG]],Earned[Incurred],CF_Gen_3[[#This Row],[Incurred]])</f>
        <v>1830627443.5269294</v>
      </c>
      <c r="L25" s="14">
        <f>SUMIFS(Earned[Earned_Commission],Earned[ICG],CF_Gen_3[[#This Row],[ICG]],Earned[Incurred],CF_Gen_3[[#This Row],[Incurred]])</f>
        <v>-264596502.81982812</v>
      </c>
      <c r="M25" s="18">
        <f>_xlfn.XLOOKUP(CF_Gen_3[[#This Row],[ICG]],Assumptions[ICG],Assumptions[Loss_Ratio])</f>
        <v>0.4</v>
      </c>
      <c r="N25" s="18">
        <f>_xlfn.XLOOKUP(CF_Gen_3[[#This Row],[ICG]],Assumptions[ICG],Assumptions[Risk_Adjustment_Ratio])</f>
        <v>0.14000000000000001</v>
      </c>
      <c r="O25" s="18">
        <f>_xlfn.XLOOKUP(CF_Gen_3[[#This Row],[ICG]],Assumptions[ICG],Assumptions[PME_Ratio])</f>
        <v>4.4999999999999998E-2</v>
      </c>
      <c r="P25" s="18">
        <f>_xlfn.XLOOKUP(CF_Gen_3[[#This Row],[ICG]],Assumptions[ICG],Assumptions[ULAE_Ratio])</f>
        <v>0.11</v>
      </c>
      <c r="Q25" s="18">
        <f>_xlfn.XLOOKUP(CF_Gen_3[[#This Row],[ICG]],Assumptions[ICG],Assumptions[Cancellation_Ratio])</f>
        <v>7.0000000000000007E-2</v>
      </c>
      <c r="R25" s="18">
        <f>_xlfn.XLOOKUP(CF_Gen_3[[#This Row],[ICG]],Assumptions[ICG],Assumptions[Premium_Refund_Ratio])</f>
        <v>0.5</v>
      </c>
      <c r="S25" s="18">
        <f>IF(CF_Gen_3[[#This Row],[Contract]]="RC",_xlfn.XLOOKUP(CF_Gen_3[[#This Row],[ICG]],Assumptions[ICG],Assumptions[NPR_Ratio]),0)</f>
        <v>0</v>
      </c>
      <c r="T25" s="17">
        <f>T24*(1-CF_Gen_3[[#This Row],[Cancellation_Ratio]])</f>
        <v>0.18841167770262096</v>
      </c>
      <c r="U25" s="19">
        <f>IF(CF_Gen_3[[#This Row],[Incurred]]&lt;=CF_Gen_3[[#This Row],[Valuation]],CF_Gen_3[[#This Row],[Expected_Premium]],-CF_Gen_3[[#This Row],[Probability_of_Inforce]]*CF_Gen_3[[#This Row],[Premium_Refund_Ratio]]*CF_Gen_3[[#This Row],[Cancellation_Ratio]]*SUM(K25:K$105))</f>
        <v>-434588600.73304468</v>
      </c>
      <c r="V2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Row],[Cancellation_Ratio]]*SUM(L25:L$105))</f>
        <v>62814869.473267935</v>
      </c>
      <c r="W25" s="19">
        <f>CF_Gen_3[[#This Row],[Expected_Acquisition]]</f>
        <v>0</v>
      </c>
      <c r="X25" s="19">
        <f>-CF_Gen_3[[#This Row],[Probability_of_Inforce]]*CF_Gen_3[[#This Row],[Earned_Premium]]*(1-CF_Gen_3[[#This Row],[Cancellation_Ratio]])*CF_Gen_3[[#This Row],[PME_Ratio]]+CF_Gen_3[[#This Row],[ULAE_Ratio]]*CF_Gen_3[[#This Row],[Exp_Claim]]</f>
        <v>-28548332.129106432</v>
      </c>
      <c r="Y25" s="19">
        <f>-CF_Gen_3[[#This Row],[Probability_of_Inforce]]*CF_Gen_3[[#This Row],[Earned_Premium]]*(1-CF_Gen_3[[#This Row],[Cancellation_Ratio]])*CF_Gen_3[[#This Row],[Loss_Ratio]]</f>
        <v>-128307110.69261318</v>
      </c>
      <c r="Z25" s="19">
        <f>CF_Gen_3[[#This Row],[Exp_Claim]]*CF_Gen_3[[#This Row],[Risk_Adjustment_Ratio]]</f>
        <v>-17962995.496965848</v>
      </c>
      <c r="AA25" s="19">
        <f>IF(CF_Gen_3[[#This Row],[Contract]]="RC",-CF_Gen_3[[#This Row],[NPR_Ratio]]*CF_Gen_3[[#This Row],[Exp_Claim]],0)</f>
        <v>0</v>
      </c>
      <c r="AB25" s="19">
        <f>SUMIFS(Actual_CF[Actual_Premium],Actual_CF[ICG],CF_Gen_3[[#This Row],[ICG]],Actual_CF[Incurred],CF_Gen_3[[#This Row],[Incurred]])</f>
        <v>0</v>
      </c>
      <c r="AC25" s="19">
        <f>SUMIFS(Actual_CF[Actual_Commission],Actual_CF[ICG],CF_Gen_3[[#This Row],[ICG]],Actual_CF[Incurred],CF_Gen_3[[#This Row],[Incurred]])</f>
        <v>0</v>
      </c>
      <c r="AD25" s="19">
        <f>SUMIFS(Actual_CF[Actual_Acquisition],Actual_CF[ICG],CF_Gen_3[[#This Row],[ICG]],Actual_CF[Incurred],CF_Gen_3[[#This Row],[Incurred]])</f>
        <v>0</v>
      </c>
    </row>
    <row r="26" spans="1:30">
      <c r="A26" t="str">
        <f t="shared" si="1"/>
        <v>#2025#IC-Property</v>
      </c>
      <c r="B26">
        <f>_xlfn.XLOOKUP(CF_Gen_3[[#This Row],[ICG]],ICG[ICG],ICG[Cohort])</f>
        <v>2025</v>
      </c>
      <c r="C26" t="str">
        <f>_xlfn.XLOOKUP(CF_Gen_3[[#This Row],[ICG]],ICG[ICG],ICG[Portfolio])</f>
        <v>IC-Property</v>
      </c>
      <c r="D26" t="str">
        <f>_xlfn.XLOOKUP(CF_Gen_3[[#This Row],[ICG]],ICG[ICG],ICG[Contract])</f>
        <v>IC</v>
      </c>
      <c r="E26" s="2">
        <f t="shared" si="0"/>
        <v>45930</v>
      </c>
      <c r="F26">
        <v>25</v>
      </c>
      <c r="G26" s="2">
        <f>EOMONTH(DATE(YEAR(CF_Gen_3[[#This Row],[Valuation]])-1,12,31),CF_Gen_3[[#This Row],['#Incurred]]*3)</f>
        <v>47938</v>
      </c>
      <c r="H26" s="14">
        <f>SUMIFS(Expected_CF[Expected_Premium],Expected_CF[ICG],CF_Gen_3[[#This Row],[ICG]],Expected_CF[Incurred],CF_Gen_3[[#This Row],[Incurred]])</f>
        <v>0</v>
      </c>
      <c r="I26" s="14">
        <f>SUMIFS(Expected_CF[Expected_Commission],Expected_CF[ICG],CF_Gen_3[[#This Row],[ICG]],Expected_CF[Incurred],CF_Gen_3[[#This Row],[Incurred]])</f>
        <v>0</v>
      </c>
      <c r="J26" s="14">
        <f>IF(CF_Gen_3[[#This Row],[Contract]]="IC",SUMIFS(Expected_CF[Expected_Acquisition],Expected_CF[ICG],CF_Gen_3[[#This Row],[ICG]],Expected_CF[Incurred],CF_Gen_3[[#This Row],[Incurred]]),0)</f>
        <v>0</v>
      </c>
      <c r="K26" s="14">
        <f>SUMIFS(Earned[Earned_Premium],Earned[ICG],CF_Gen_3[[#This Row],[ICG]],Earned[Incurred],CF_Gen_3[[#This Row],[Incurred]])</f>
        <v>1796726935.3134675</v>
      </c>
      <c r="L26" s="14">
        <f>SUMIFS(Earned[Earned_Commission],Earned[ICG],CF_Gen_3[[#This Row],[ICG]],Earned[Incurred],CF_Gen_3[[#This Row],[Incurred]])</f>
        <v>-259696567.58242387</v>
      </c>
      <c r="M26" s="18">
        <f>_xlfn.XLOOKUP(CF_Gen_3[[#This Row],[ICG]],Assumptions[ICG],Assumptions[Loss_Ratio])</f>
        <v>0.4</v>
      </c>
      <c r="N26" s="18">
        <f>_xlfn.XLOOKUP(CF_Gen_3[[#This Row],[ICG]],Assumptions[ICG],Assumptions[Risk_Adjustment_Ratio])</f>
        <v>0.14000000000000001</v>
      </c>
      <c r="O26" s="18">
        <f>_xlfn.XLOOKUP(CF_Gen_3[[#This Row],[ICG]],Assumptions[ICG],Assumptions[PME_Ratio])</f>
        <v>4.4999999999999998E-2</v>
      </c>
      <c r="P26" s="18">
        <f>_xlfn.XLOOKUP(CF_Gen_3[[#This Row],[ICG]],Assumptions[ICG],Assumptions[ULAE_Ratio])</f>
        <v>0.11</v>
      </c>
      <c r="Q26" s="18">
        <f>_xlfn.XLOOKUP(CF_Gen_3[[#This Row],[ICG]],Assumptions[ICG],Assumptions[Cancellation_Ratio])</f>
        <v>7.0000000000000007E-2</v>
      </c>
      <c r="R26" s="18">
        <f>_xlfn.XLOOKUP(CF_Gen_3[[#This Row],[ICG]],Assumptions[ICG],Assumptions[Premium_Refund_Ratio])</f>
        <v>0.5</v>
      </c>
      <c r="S26" s="18">
        <f>IF(CF_Gen_3[[#This Row],[Contract]]="RC",_xlfn.XLOOKUP(CF_Gen_3[[#This Row],[ICG]],Assumptions[ICG],Assumptions[NPR_Ratio]),0)</f>
        <v>0</v>
      </c>
      <c r="T26" s="17">
        <f>T25*(1-CF_Gen_3[[#This Row],[Cancellation_Ratio]])</f>
        <v>0.17522286026343747</v>
      </c>
      <c r="U26" s="19">
        <f>IF(CF_Gen_3[[#This Row],[Incurred]]&lt;=CF_Gen_3[[#This Row],[Valuation]],CF_Gen_3[[#This Row],[Expected_Premium]],-CF_Gen_3[[#This Row],[Probability_of_Inforce]]*CF_Gen_3[[#This Row],[Premium_Refund_Ratio]]*CF_Gen_3[[#This Row],[Cancellation_Ratio]]*SUM(K26:K$105))</f>
        <v>-392940526.4961279</v>
      </c>
      <c r="V2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Row],[Cancellation_Ratio]]*SUM(L26:L$105))</f>
        <v>56795111.148746401</v>
      </c>
      <c r="W26" s="19">
        <f>CF_Gen_3[[#This Row],[Expected_Acquisition]]</f>
        <v>0</v>
      </c>
      <c r="X26" s="19">
        <f>-CF_Gen_3[[#This Row],[Probability_of_Inforce]]*CF_Gen_3[[#This Row],[Earned_Premium]]*(1-CF_Gen_3[[#This Row],[Cancellation_Ratio]])*CF_Gen_3[[#This Row],[PME_Ratio]]+CF_Gen_3[[#This Row],[ULAE_Ratio]]*CF_Gen_3[[#This Row],[Exp_Claim]]</f>
        <v>-26058283.160067696</v>
      </c>
      <c r="Y26" s="19">
        <f>-CF_Gen_3[[#This Row],[Probability_of_Inforce]]*CF_Gen_3[[#This Row],[Earned_Premium]]*(1-CF_Gen_3[[#This Row],[Cancellation_Ratio]])*CF_Gen_3[[#This Row],[Loss_Ratio]]</f>
        <v>-117115879.37109077</v>
      </c>
      <c r="Z26" s="19">
        <f>CF_Gen_3[[#This Row],[Exp_Claim]]*CF_Gen_3[[#This Row],[Risk_Adjustment_Ratio]]</f>
        <v>-16396223.111952709</v>
      </c>
      <c r="AA26" s="19">
        <f>IF(CF_Gen_3[[#This Row],[Contract]]="RC",-CF_Gen_3[[#This Row],[NPR_Ratio]]*CF_Gen_3[[#This Row],[Exp_Claim]],0)</f>
        <v>0</v>
      </c>
      <c r="AB26" s="19">
        <f>SUMIFS(Actual_CF[Actual_Premium],Actual_CF[ICG],CF_Gen_3[[#This Row],[ICG]],Actual_CF[Incurred],CF_Gen_3[[#This Row],[Incurred]])</f>
        <v>0</v>
      </c>
      <c r="AC26" s="19">
        <f>SUMIFS(Actual_CF[Actual_Commission],Actual_CF[ICG],CF_Gen_3[[#This Row],[ICG]],Actual_CF[Incurred],CF_Gen_3[[#This Row],[Incurred]])</f>
        <v>0</v>
      </c>
      <c r="AD26" s="19">
        <f>SUMIFS(Actual_CF[Actual_Acquisition],Actual_CF[ICG],CF_Gen_3[[#This Row],[ICG]],Actual_CF[Incurred],CF_Gen_3[[#This Row],[Incurred]])</f>
        <v>0</v>
      </c>
    </row>
    <row r="27" spans="1:30">
      <c r="A27" t="str">
        <f t="shared" si="1"/>
        <v>#2025#IC-Property</v>
      </c>
      <c r="B27">
        <f>_xlfn.XLOOKUP(CF_Gen_3[[#This Row],[ICG]],ICG[ICG],ICG[Cohort])</f>
        <v>2025</v>
      </c>
      <c r="C27" t="str">
        <f>_xlfn.XLOOKUP(CF_Gen_3[[#This Row],[ICG]],ICG[ICG],ICG[Portfolio])</f>
        <v>IC-Property</v>
      </c>
      <c r="D27" t="str">
        <f>_xlfn.XLOOKUP(CF_Gen_3[[#This Row],[ICG]],ICG[ICG],ICG[Contract])</f>
        <v>IC</v>
      </c>
      <c r="E27" s="2">
        <f t="shared" si="0"/>
        <v>45930</v>
      </c>
      <c r="F27">
        <v>26</v>
      </c>
      <c r="G27" s="2">
        <f>EOMONTH(DATE(YEAR(CF_Gen_3[[#This Row],[Valuation]])-1,12,31),CF_Gen_3[[#This Row],['#Incurred]]*3)</f>
        <v>48029</v>
      </c>
      <c r="H27" s="14">
        <f>SUMIFS(Expected_CF[Expected_Premium],Expected_CF[ICG],CF_Gen_3[[#This Row],[ICG]],Expected_CF[Incurred],CF_Gen_3[[#This Row],[Incurred]])</f>
        <v>0</v>
      </c>
      <c r="I27" s="14">
        <f>SUMIFS(Expected_CF[Expected_Commission],Expected_CF[ICG],CF_Gen_3[[#This Row],[ICG]],Expected_CF[Incurred],CF_Gen_3[[#This Row],[Incurred]])</f>
        <v>0</v>
      </c>
      <c r="J27" s="14">
        <f>IF(CF_Gen_3[[#This Row],[Contract]]="IC",SUMIFS(Expected_CF[Expected_Acquisition],Expected_CF[ICG],CF_Gen_3[[#This Row],[ICG]],Expected_CF[Incurred],CF_Gen_3[[#This Row],[Incurred]]),0)</f>
        <v>0</v>
      </c>
      <c r="K27" s="14">
        <f>SUMIFS(Earned[Earned_Premium],Earned[ICG],CF_Gen_3[[#This Row],[ICG]],Earned[Incurred],CF_Gen_3[[#This Row],[Incurred]])</f>
        <v>1762826427.1000059</v>
      </c>
      <c r="L27" s="14">
        <f>SUMIFS(Earned[Earned_Commission],Earned[ICG],CF_Gen_3[[#This Row],[ICG]],Earned[Incurred],CF_Gen_3[[#This Row],[Incurred]])</f>
        <v>-254796632.34501967</v>
      </c>
      <c r="M27" s="18">
        <f>_xlfn.XLOOKUP(CF_Gen_3[[#This Row],[ICG]],Assumptions[ICG],Assumptions[Loss_Ratio])</f>
        <v>0.4</v>
      </c>
      <c r="N27" s="18">
        <f>_xlfn.XLOOKUP(CF_Gen_3[[#This Row],[ICG]],Assumptions[ICG],Assumptions[Risk_Adjustment_Ratio])</f>
        <v>0.14000000000000001</v>
      </c>
      <c r="O27" s="18">
        <f>_xlfn.XLOOKUP(CF_Gen_3[[#This Row],[ICG]],Assumptions[ICG],Assumptions[PME_Ratio])</f>
        <v>4.4999999999999998E-2</v>
      </c>
      <c r="P27" s="18">
        <f>_xlfn.XLOOKUP(CF_Gen_3[[#This Row],[ICG]],Assumptions[ICG],Assumptions[ULAE_Ratio])</f>
        <v>0.11</v>
      </c>
      <c r="Q27" s="18">
        <f>_xlfn.XLOOKUP(CF_Gen_3[[#This Row],[ICG]],Assumptions[ICG],Assumptions[Cancellation_Ratio])</f>
        <v>7.0000000000000007E-2</v>
      </c>
      <c r="R27" s="18">
        <f>_xlfn.XLOOKUP(CF_Gen_3[[#This Row],[ICG]],Assumptions[ICG],Assumptions[Premium_Refund_Ratio])</f>
        <v>0.5</v>
      </c>
      <c r="S27" s="18">
        <f>IF(CF_Gen_3[[#This Row],[Contract]]="RC",_xlfn.XLOOKUP(CF_Gen_3[[#This Row],[ICG]],Assumptions[ICG],Assumptions[NPR_Ratio]),0)</f>
        <v>0</v>
      </c>
      <c r="T27" s="17">
        <f>T26*(1-CF_Gen_3[[#This Row],[Cancellation_Ratio]])</f>
        <v>0.16295726004499683</v>
      </c>
      <c r="U27" s="19">
        <f>IF(CF_Gen_3[[#This Row],[Incurred]]&lt;=CF_Gen_3[[#This Row],[Valuation]],CF_Gen_3[[#This Row],[Expected_Premium]],-CF_Gen_3[[#This Row],[Probability_of_Inforce]]*CF_Gen_3[[#This Row],[Premium_Refund_Ratio]]*CF_Gen_3[[#This Row],[Cancellation_Ratio]]*SUM(K27:K$105))</f>
        <v>-355187050.19642848</v>
      </c>
      <c r="V2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Row],[Cancellation_Ratio]]*SUM(L27:L$105))</f>
        <v>51338272.929962881</v>
      </c>
      <c r="W27" s="19">
        <f>CF_Gen_3[[#This Row],[Expected_Acquisition]]</f>
        <v>0</v>
      </c>
      <c r="X27" s="19">
        <f>-CF_Gen_3[[#This Row],[Probability_of_Inforce]]*CF_Gen_3[[#This Row],[Earned_Premium]]*(1-CF_Gen_3[[#This Row],[Cancellation_Ratio]])*CF_Gen_3[[#This Row],[PME_Ratio]]+CF_Gen_3[[#This Row],[ULAE_Ratio]]*CF_Gen_3[[#This Row],[Exp_Claim]]</f>
        <v>-23776954.219261773</v>
      </c>
      <c r="Y27" s="19">
        <f>-CF_Gen_3[[#This Row],[Probability_of_Inforce]]*CF_Gen_3[[#This Row],[Earned_Premium]]*(1-CF_Gen_3[[#This Row],[Cancellation_Ratio]])*CF_Gen_3[[#This Row],[Loss_Ratio]]</f>
        <v>-106862715.59218775</v>
      </c>
      <c r="Z27" s="19">
        <f>CF_Gen_3[[#This Row],[Exp_Claim]]*CF_Gen_3[[#This Row],[Risk_Adjustment_Ratio]]</f>
        <v>-14960780.182906287</v>
      </c>
      <c r="AA27" s="19">
        <f>IF(CF_Gen_3[[#This Row],[Contract]]="RC",-CF_Gen_3[[#This Row],[NPR_Ratio]]*CF_Gen_3[[#This Row],[Exp_Claim]],0)</f>
        <v>0</v>
      </c>
      <c r="AB27" s="19">
        <f>SUMIFS(Actual_CF[Actual_Premium],Actual_CF[ICG],CF_Gen_3[[#This Row],[ICG]],Actual_CF[Incurred],CF_Gen_3[[#This Row],[Incurred]])</f>
        <v>0</v>
      </c>
      <c r="AC27" s="19">
        <f>SUMIFS(Actual_CF[Actual_Commission],Actual_CF[ICG],CF_Gen_3[[#This Row],[ICG]],Actual_CF[Incurred],CF_Gen_3[[#This Row],[Incurred]])</f>
        <v>0</v>
      </c>
      <c r="AD27" s="19">
        <f>SUMIFS(Actual_CF[Actual_Acquisition],Actual_CF[ICG],CF_Gen_3[[#This Row],[ICG]],Actual_CF[Incurred],CF_Gen_3[[#This Row],[Incurred]])</f>
        <v>0</v>
      </c>
    </row>
    <row r="28" spans="1:30">
      <c r="A28" t="str">
        <f t="shared" si="1"/>
        <v>#2025#IC-Property</v>
      </c>
      <c r="B28">
        <f>_xlfn.XLOOKUP(CF_Gen_3[[#This Row],[ICG]],ICG[ICG],ICG[Cohort])</f>
        <v>2025</v>
      </c>
      <c r="C28" t="str">
        <f>_xlfn.XLOOKUP(CF_Gen_3[[#This Row],[ICG]],ICG[ICG],ICG[Portfolio])</f>
        <v>IC-Property</v>
      </c>
      <c r="D28" t="str">
        <f>_xlfn.XLOOKUP(CF_Gen_3[[#This Row],[ICG]],ICG[ICG],ICG[Contract])</f>
        <v>IC</v>
      </c>
      <c r="E28" s="2">
        <f t="shared" si="0"/>
        <v>45930</v>
      </c>
      <c r="F28">
        <v>27</v>
      </c>
      <c r="G28" s="2">
        <f>EOMONTH(DATE(YEAR(CF_Gen_3[[#This Row],[Valuation]])-1,12,31),CF_Gen_3[[#This Row],['#Incurred]]*3)</f>
        <v>48121</v>
      </c>
      <c r="H28" s="14">
        <f>SUMIFS(Expected_CF[Expected_Premium],Expected_CF[ICG],CF_Gen_3[[#This Row],[ICG]],Expected_CF[Incurred],CF_Gen_3[[#This Row],[Incurred]])</f>
        <v>0</v>
      </c>
      <c r="I28" s="14">
        <f>SUMIFS(Expected_CF[Expected_Commission],Expected_CF[ICG],CF_Gen_3[[#This Row],[ICG]],Expected_CF[Incurred],CF_Gen_3[[#This Row],[Incurred]])</f>
        <v>0</v>
      </c>
      <c r="J28" s="14">
        <f>IF(CF_Gen_3[[#This Row],[Contract]]="IC",SUMIFS(Expected_CF[Expected_Acquisition],Expected_CF[ICG],CF_Gen_3[[#This Row],[ICG]],Expected_CF[Incurred],CF_Gen_3[[#This Row],[Incurred]]),0)</f>
        <v>0</v>
      </c>
      <c r="K28" s="14">
        <f>SUMIFS(Earned[Earned_Premium],Earned[ICG],CF_Gen_3[[#This Row],[ICG]],Earned[Incurred],CF_Gen_3[[#This Row],[Incurred]])</f>
        <v>1728925918.8865442</v>
      </c>
      <c r="L28" s="14">
        <f>SUMIFS(Earned[Earned_Commission],Earned[ICG],CF_Gen_3[[#This Row],[ICG]],Earned[Incurred],CF_Gen_3[[#This Row],[Incurred]])</f>
        <v>-249896697.10761544</v>
      </c>
      <c r="M28" s="18">
        <f>_xlfn.XLOOKUP(CF_Gen_3[[#This Row],[ICG]],Assumptions[ICG],Assumptions[Loss_Ratio])</f>
        <v>0.4</v>
      </c>
      <c r="N28" s="18">
        <f>_xlfn.XLOOKUP(CF_Gen_3[[#This Row],[ICG]],Assumptions[ICG],Assumptions[Risk_Adjustment_Ratio])</f>
        <v>0.14000000000000001</v>
      </c>
      <c r="O28" s="18">
        <f>_xlfn.XLOOKUP(CF_Gen_3[[#This Row],[ICG]],Assumptions[ICG],Assumptions[PME_Ratio])</f>
        <v>4.4999999999999998E-2</v>
      </c>
      <c r="P28" s="18">
        <f>_xlfn.XLOOKUP(CF_Gen_3[[#This Row],[ICG]],Assumptions[ICG],Assumptions[ULAE_Ratio])</f>
        <v>0.11</v>
      </c>
      <c r="Q28" s="18">
        <f>_xlfn.XLOOKUP(CF_Gen_3[[#This Row],[ICG]],Assumptions[ICG],Assumptions[Cancellation_Ratio])</f>
        <v>7.0000000000000007E-2</v>
      </c>
      <c r="R28" s="18">
        <f>_xlfn.XLOOKUP(CF_Gen_3[[#This Row],[ICG]],Assumptions[ICG],Assumptions[Premium_Refund_Ratio])</f>
        <v>0.5</v>
      </c>
      <c r="S28" s="18">
        <f>IF(CF_Gen_3[[#This Row],[Contract]]="RC",_xlfn.XLOOKUP(CF_Gen_3[[#This Row],[ICG]],Assumptions[ICG],Assumptions[NPR_Ratio]),0)</f>
        <v>0</v>
      </c>
      <c r="T28" s="17">
        <f>T27*(1-CF_Gen_3[[#This Row],[Cancellation_Ratio]])</f>
        <v>0.15155025184184703</v>
      </c>
      <c r="U28" s="19">
        <f>IF(CF_Gen_3[[#This Row],[Incurred]]&lt;=CF_Gen_3[[#This Row],[Valuation]],CF_Gen_3[[#This Row],[Expected_Premium]],-CF_Gen_3[[#This Row],[Probability_of_Inforce]]*CF_Gen_3[[#This Row],[Premium_Refund_Ratio]]*CF_Gen_3[[#This Row],[Cancellation_Ratio]]*SUM(K28:K$105))</f>
        <v>-320973469.068362</v>
      </c>
      <c r="V2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Row],[Cancellation_Ratio]]*SUM(L28:L$105))</f>
        <v>46393086.541853495</v>
      </c>
      <c r="W28" s="19">
        <f>CF_Gen_3[[#This Row],[Expected_Acquisition]]</f>
        <v>0</v>
      </c>
      <c r="X28" s="19">
        <f>-CF_Gen_3[[#This Row],[Probability_of_Inforce]]*CF_Gen_3[[#This Row],[Earned_Premium]]*(1-CF_Gen_3[[#This Row],[Cancellation_Ratio]])*CF_Gen_3[[#This Row],[PME_Ratio]]+CF_Gen_3[[#This Row],[ULAE_Ratio]]*CF_Gen_3[[#This Row],[Exp_Claim]]</f>
        <v>-21687325.742684335</v>
      </c>
      <c r="Y28" s="19">
        <f>-CF_Gen_3[[#This Row],[Probability_of_Inforce]]*CF_Gen_3[[#This Row],[Earned_Premium]]*(1-CF_Gen_3[[#This Row],[Cancellation_Ratio]])*CF_Gen_3[[#This Row],[Loss_Ratio]]</f>
        <v>-97471126.933412746</v>
      </c>
      <c r="Z28" s="19">
        <f>CF_Gen_3[[#This Row],[Exp_Claim]]*CF_Gen_3[[#This Row],[Risk_Adjustment_Ratio]]</f>
        <v>-13645957.770677786</v>
      </c>
      <c r="AA28" s="19">
        <f>IF(CF_Gen_3[[#This Row],[Contract]]="RC",-CF_Gen_3[[#This Row],[NPR_Ratio]]*CF_Gen_3[[#This Row],[Exp_Claim]],0)</f>
        <v>0</v>
      </c>
      <c r="AB28" s="19">
        <f>SUMIFS(Actual_CF[Actual_Premium],Actual_CF[ICG],CF_Gen_3[[#This Row],[ICG]],Actual_CF[Incurred],CF_Gen_3[[#This Row],[Incurred]])</f>
        <v>0</v>
      </c>
      <c r="AC28" s="19">
        <f>SUMIFS(Actual_CF[Actual_Commission],Actual_CF[ICG],CF_Gen_3[[#This Row],[ICG]],Actual_CF[Incurred],CF_Gen_3[[#This Row],[Incurred]])</f>
        <v>0</v>
      </c>
      <c r="AD28" s="19">
        <f>SUMIFS(Actual_CF[Actual_Acquisition],Actual_CF[ICG],CF_Gen_3[[#This Row],[ICG]],Actual_CF[Incurred],CF_Gen_3[[#This Row],[Incurred]])</f>
        <v>0</v>
      </c>
    </row>
    <row r="29" spans="1:30">
      <c r="A29" t="str">
        <f t="shared" si="1"/>
        <v>#2025#IC-Property</v>
      </c>
      <c r="B29">
        <f>_xlfn.XLOOKUP(CF_Gen_3[[#This Row],[ICG]],ICG[ICG],ICG[Cohort])</f>
        <v>2025</v>
      </c>
      <c r="C29" t="str">
        <f>_xlfn.XLOOKUP(CF_Gen_3[[#This Row],[ICG]],ICG[ICG],ICG[Portfolio])</f>
        <v>IC-Property</v>
      </c>
      <c r="D29" t="str">
        <f>_xlfn.XLOOKUP(CF_Gen_3[[#This Row],[ICG]],ICG[ICG],ICG[Contract])</f>
        <v>IC</v>
      </c>
      <c r="E29" s="2">
        <f t="shared" si="0"/>
        <v>45930</v>
      </c>
      <c r="F29">
        <v>28</v>
      </c>
      <c r="G29" s="2">
        <f>EOMONTH(DATE(YEAR(CF_Gen_3[[#This Row],[Valuation]])-1,12,31),CF_Gen_3[[#This Row],['#Incurred]]*3)</f>
        <v>48213</v>
      </c>
      <c r="H29" s="14">
        <f>SUMIFS(Expected_CF[Expected_Premium],Expected_CF[ICG],CF_Gen_3[[#This Row],[ICG]],Expected_CF[Incurred],CF_Gen_3[[#This Row],[Incurred]])</f>
        <v>0</v>
      </c>
      <c r="I29" s="14">
        <f>SUMIFS(Expected_CF[Expected_Commission],Expected_CF[ICG],CF_Gen_3[[#This Row],[ICG]],Expected_CF[Incurred],CF_Gen_3[[#This Row],[Incurred]])</f>
        <v>0</v>
      </c>
      <c r="J29" s="14">
        <f>IF(CF_Gen_3[[#This Row],[Contract]]="IC",SUMIFS(Expected_CF[Expected_Acquisition],Expected_CF[ICG],CF_Gen_3[[#This Row],[ICG]],Expected_CF[Incurred],CF_Gen_3[[#This Row],[Incurred]]),0)</f>
        <v>0</v>
      </c>
      <c r="K29" s="14">
        <f>SUMIFS(Earned[Earned_Premium],Earned[ICG],CF_Gen_3[[#This Row],[ICG]],Earned[Incurred],CF_Gen_3[[#This Row],[Incurred]])</f>
        <v>1728925918.8865442</v>
      </c>
      <c r="L29" s="14">
        <f>SUMIFS(Earned[Earned_Commission],Earned[ICG],CF_Gen_3[[#This Row],[ICG]],Earned[Incurred],CF_Gen_3[[#This Row],[Incurred]])</f>
        <v>-249896697.10761544</v>
      </c>
      <c r="M29" s="18">
        <f>_xlfn.XLOOKUP(CF_Gen_3[[#This Row],[ICG]],Assumptions[ICG],Assumptions[Loss_Ratio])</f>
        <v>0.4</v>
      </c>
      <c r="N29" s="18">
        <f>_xlfn.XLOOKUP(CF_Gen_3[[#This Row],[ICG]],Assumptions[ICG],Assumptions[Risk_Adjustment_Ratio])</f>
        <v>0.14000000000000001</v>
      </c>
      <c r="O29" s="18">
        <f>_xlfn.XLOOKUP(CF_Gen_3[[#This Row],[ICG]],Assumptions[ICG],Assumptions[PME_Ratio])</f>
        <v>4.4999999999999998E-2</v>
      </c>
      <c r="P29" s="18">
        <f>_xlfn.XLOOKUP(CF_Gen_3[[#This Row],[ICG]],Assumptions[ICG],Assumptions[ULAE_Ratio])</f>
        <v>0.11</v>
      </c>
      <c r="Q29" s="18">
        <f>_xlfn.XLOOKUP(CF_Gen_3[[#This Row],[ICG]],Assumptions[ICG],Assumptions[Cancellation_Ratio])</f>
        <v>7.0000000000000007E-2</v>
      </c>
      <c r="R29" s="18">
        <f>_xlfn.XLOOKUP(CF_Gen_3[[#This Row],[ICG]],Assumptions[ICG],Assumptions[Premium_Refund_Ratio])</f>
        <v>0.5</v>
      </c>
      <c r="S29" s="18">
        <f>IF(CF_Gen_3[[#This Row],[Contract]]="RC",_xlfn.XLOOKUP(CF_Gen_3[[#This Row],[ICG]],Assumptions[ICG],Assumptions[NPR_Ratio]),0)</f>
        <v>0</v>
      </c>
      <c r="T29" s="17">
        <f>T28*(1-CF_Gen_3[[#This Row],[Cancellation_Ratio]])</f>
        <v>0.14094173421291772</v>
      </c>
      <c r="U29" s="19">
        <f>IF(CF_Gen_3[[#This Row],[Incurred]]&lt;=CF_Gen_3[[#This Row],[Valuation]],CF_Gen_3[[#This Row],[Expected_Premium]],-CF_Gen_3[[#This Row],[Probability_of_Inforce]]*CF_Gen_3[[#This Row],[Premium_Refund_Ratio]]*CF_Gen_3[[#This Row],[Cancellation_Ratio]]*SUM(K29:K$105))</f>
        <v>-289976602.626903</v>
      </c>
      <c r="V2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Row],[Cancellation_Ratio]]*SUM(L29:L$105))</f>
        <v>41912839.898668773</v>
      </c>
      <c r="W29" s="19">
        <f>CF_Gen_3[[#This Row],[Expected_Acquisition]]</f>
        <v>0</v>
      </c>
      <c r="X29" s="19">
        <f>-CF_Gen_3[[#This Row],[Probability_of_Inforce]]*CF_Gen_3[[#This Row],[Earned_Premium]]*(1-CF_Gen_3[[#This Row],[Cancellation_Ratio]])*CF_Gen_3[[#This Row],[PME_Ratio]]+CF_Gen_3[[#This Row],[ULAE_Ratio]]*CF_Gen_3[[#This Row],[Exp_Claim]]</f>
        <v>-20169212.940696429</v>
      </c>
      <c r="Y29" s="19">
        <f>-CF_Gen_3[[#This Row],[Probability_of_Inforce]]*CF_Gen_3[[#This Row],[Earned_Premium]]*(1-CF_Gen_3[[#This Row],[Cancellation_Ratio]])*CF_Gen_3[[#This Row],[Loss_Ratio]]</f>
        <v>-90648148.048073843</v>
      </c>
      <c r="Z29" s="19">
        <f>CF_Gen_3[[#This Row],[Exp_Claim]]*CF_Gen_3[[#This Row],[Risk_Adjustment_Ratio]]</f>
        <v>-12690740.726730339</v>
      </c>
      <c r="AA29" s="19">
        <f>IF(CF_Gen_3[[#This Row],[Contract]]="RC",-CF_Gen_3[[#This Row],[NPR_Ratio]]*CF_Gen_3[[#This Row],[Exp_Claim]],0)</f>
        <v>0</v>
      </c>
      <c r="AB29" s="19">
        <f>SUMIFS(Actual_CF[Actual_Premium],Actual_CF[ICG],CF_Gen_3[[#This Row],[ICG]],Actual_CF[Incurred],CF_Gen_3[[#This Row],[Incurred]])</f>
        <v>0</v>
      </c>
      <c r="AC29" s="19">
        <f>SUMIFS(Actual_CF[Actual_Commission],Actual_CF[ICG],CF_Gen_3[[#This Row],[ICG]],Actual_CF[Incurred],CF_Gen_3[[#This Row],[Incurred]])</f>
        <v>0</v>
      </c>
      <c r="AD29" s="19">
        <f>SUMIFS(Actual_CF[Actual_Acquisition],Actual_CF[ICG],CF_Gen_3[[#This Row],[ICG]],Actual_CF[Incurred],CF_Gen_3[[#This Row],[Incurred]])</f>
        <v>0</v>
      </c>
    </row>
    <row r="30" spans="1:30">
      <c r="A30" t="str">
        <f t="shared" si="1"/>
        <v>#2025#IC-Property</v>
      </c>
      <c r="B30">
        <f>_xlfn.XLOOKUP(CF_Gen_3[[#This Row],[ICG]],ICG[ICG],ICG[Cohort])</f>
        <v>2025</v>
      </c>
      <c r="C30" t="str">
        <f>_xlfn.XLOOKUP(CF_Gen_3[[#This Row],[ICG]],ICG[ICG],ICG[Portfolio])</f>
        <v>IC-Property</v>
      </c>
      <c r="D30" t="str">
        <f>_xlfn.XLOOKUP(CF_Gen_3[[#This Row],[ICG]],ICG[ICG],ICG[Contract])</f>
        <v>IC</v>
      </c>
      <c r="E30" s="2">
        <f t="shared" si="0"/>
        <v>45930</v>
      </c>
      <c r="F30">
        <v>29</v>
      </c>
      <c r="G30" s="2">
        <f>EOMONTH(DATE(YEAR(CF_Gen_3[[#This Row],[Valuation]])-1,12,31),CF_Gen_3[[#This Row],['#Incurred]]*3)</f>
        <v>48304</v>
      </c>
      <c r="H30" s="14">
        <f>SUMIFS(Expected_CF[Expected_Premium],Expected_CF[ICG],CF_Gen_3[[#This Row],[ICG]],Expected_CF[Incurred],CF_Gen_3[[#This Row],[Incurred]])</f>
        <v>0</v>
      </c>
      <c r="I30" s="14">
        <f>SUMIFS(Expected_CF[Expected_Commission],Expected_CF[ICG],CF_Gen_3[[#This Row],[ICG]],Expected_CF[Incurred],CF_Gen_3[[#This Row],[Incurred]])</f>
        <v>0</v>
      </c>
      <c r="J30" s="14">
        <f>IF(CF_Gen_3[[#This Row],[Contract]]="IC",SUMIFS(Expected_CF[Expected_Acquisition],Expected_CF[ICG],CF_Gen_3[[#This Row],[ICG]],Expected_CF[Incurred],CF_Gen_3[[#This Row],[Incurred]]),0)</f>
        <v>0</v>
      </c>
      <c r="K30" s="14">
        <f>SUMIFS(Earned[Earned_Premium],Earned[ICG],CF_Gen_3[[#This Row],[ICG]],Earned[Incurred],CF_Gen_3[[#This Row],[Incurred]])</f>
        <v>1695025410.6730826</v>
      </c>
      <c r="L30" s="14">
        <f>SUMIFS(Earned[Earned_Commission],Earned[ICG],CF_Gen_3[[#This Row],[ICG]],Earned[Incurred],CF_Gen_3[[#This Row],[Incurred]])</f>
        <v>-244996761.87021121</v>
      </c>
      <c r="M30" s="18">
        <f>_xlfn.XLOOKUP(CF_Gen_3[[#This Row],[ICG]],Assumptions[ICG],Assumptions[Loss_Ratio])</f>
        <v>0.4</v>
      </c>
      <c r="N30" s="18">
        <f>_xlfn.XLOOKUP(CF_Gen_3[[#This Row],[ICG]],Assumptions[ICG],Assumptions[Risk_Adjustment_Ratio])</f>
        <v>0.14000000000000001</v>
      </c>
      <c r="O30" s="18">
        <f>_xlfn.XLOOKUP(CF_Gen_3[[#This Row],[ICG]],Assumptions[ICG],Assumptions[PME_Ratio])</f>
        <v>4.4999999999999998E-2</v>
      </c>
      <c r="P30" s="18">
        <f>_xlfn.XLOOKUP(CF_Gen_3[[#This Row],[ICG]],Assumptions[ICG],Assumptions[ULAE_Ratio])</f>
        <v>0.11</v>
      </c>
      <c r="Q30" s="18">
        <f>_xlfn.XLOOKUP(CF_Gen_3[[#This Row],[ICG]],Assumptions[ICG],Assumptions[Cancellation_Ratio])</f>
        <v>7.0000000000000007E-2</v>
      </c>
      <c r="R30" s="18">
        <f>_xlfn.XLOOKUP(CF_Gen_3[[#This Row],[ICG]],Assumptions[ICG],Assumptions[Premium_Refund_Ratio])</f>
        <v>0.5</v>
      </c>
      <c r="S30" s="18">
        <f>IF(CF_Gen_3[[#This Row],[Contract]]="RC",_xlfn.XLOOKUP(CF_Gen_3[[#This Row],[ICG]],Assumptions[ICG],Assumptions[NPR_Ratio]),0)</f>
        <v>0</v>
      </c>
      <c r="T30" s="17">
        <f>T29*(1-CF_Gen_3[[#This Row],[Cancellation_Ratio]])</f>
        <v>0.13107581281801348</v>
      </c>
      <c r="U30" s="19">
        <f>IF(CF_Gen_3[[#This Row],[Incurred]]&lt;=CF_Gen_3[[#This Row],[Valuation]],CF_Gen_3[[#This Row],[Expected_Premium]],-CF_Gen_3[[#This Row],[Probability_of_Inforce]]*CF_Gen_3[[#This Row],[Premium_Refund_Ratio]]*CF_Gen_3[[#This Row],[Cancellation_Ratio]]*SUM(K30:K$105))</f>
        <v>-261746527.48881331</v>
      </c>
      <c r="V3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Row],[Cancellation_Ratio]]*SUM(L30:L$105))</f>
        <v>37832501.661474846</v>
      </c>
      <c r="W30" s="19">
        <f>CF_Gen_3[[#This Row],[Expected_Acquisition]]</f>
        <v>0</v>
      </c>
      <c r="X30" s="19">
        <f>-CF_Gen_3[[#This Row],[Probability_of_Inforce]]*CF_Gen_3[[#This Row],[Earned_Premium]]*(1-CF_Gen_3[[#This Row],[Cancellation_Ratio]])*CF_Gen_3[[#This Row],[PME_Ratio]]+CF_Gen_3[[#This Row],[ULAE_Ratio]]*CF_Gen_3[[#This Row],[Exp_Claim]]</f>
        <v>-18389576.504752629</v>
      </c>
      <c r="Y30" s="19">
        <f>-CF_Gen_3[[#This Row],[Probability_of_Inforce]]*CF_Gen_3[[#This Row],[Earned_Premium]]*(1-CF_Gen_3[[#This Row],[Cancellation_Ratio]])*CF_Gen_3[[#This Row],[Loss_Ratio]]</f>
        <v>-82649782.043832034</v>
      </c>
      <c r="Z30" s="19">
        <f>CF_Gen_3[[#This Row],[Exp_Claim]]*CF_Gen_3[[#This Row],[Risk_Adjustment_Ratio]]</f>
        <v>-11570969.486136487</v>
      </c>
      <c r="AA30" s="19">
        <f>IF(CF_Gen_3[[#This Row],[Contract]]="RC",-CF_Gen_3[[#This Row],[NPR_Ratio]]*CF_Gen_3[[#This Row],[Exp_Claim]],0)</f>
        <v>0</v>
      </c>
      <c r="AB30" s="19">
        <f>SUMIFS(Actual_CF[Actual_Premium],Actual_CF[ICG],CF_Gen_3[[#This Row],[ICG]],Actual_CF[Incurred],CF_Gen_3[[#This Row],[Incurred]])</f>
        <v>0</v>
      </c>
      <c r="AC30" s="19">
        <f>SUMIFS(Actual_CF[Actual_Commission],Actual_CF[ICG],CF_Gen_3[[#This Row],[ICG]],Actual_CF[Incurred],CF_Gen_3[[#This Row],[Incurred]])</f>
        <v>0</v>
      </c>
      <c r="AD30" s="19">
        <f>SUMIFS(Actual_CF[Actual_Acquisition],Actual_CF[ICG],CF_Gen_3[[#This Row],[ICG]],Actual_CF[Incurred],CF_Gen_3[[#This Row],[Incurred]])</f>
        <v>0</v>
      </c>
    </row>
    <row r="31" spans="1:30">
      <c r="A31" t="str">
        <f t="shared" si="1"/>
        <v>#2025#IC-Property</v>
      </c>
      <c r="B31">
        <f>_xlfn.XLOOKUP(CF_Gen_3[[#This Row],[ICG]],ICG[ICG],ICG[Cohort])</f>
        <v>2025</v>
      </c>
      <c r="C31" t="str">
        <f>_xlfn.XLOOKUP(CF_Gen_3[[#This Row],[ICG]],ICG[ICG],ICG[Portfolio])</f>
        <v>IC-Property</v>
      </c>
      <c r="D31" t="str">
        <f>_xlfn.XLOOKUP(CF_Gen_3[[#This Row],[ICG]],ICG[ICG],ICG[Contract])</f>
        <v>IC</v>
      </c>
      <c r="E31" s="2">
        <f t="shared" si="0"/>
        <v>45930</v>
      </c>
      <c r="F31">
        <v>30</v>
      </c>
      <c r="G31" s="2">
        <f>EOMONTH(DATE(YEAR(CF_Gen_3[[#This Row],[Valuation]])-1,12,31),CF_Gen_3[[#This Row],['#Incurred]]*3)</f>
        <v>48395</v>
      </c>
      <c r="H31" s="14">
        <f>SUMIFS(Expected_CF[Expected_Premium],Expected_CF[ICG],CF_Gen_3[[#This Row],[ICG]],Expected_CF[Incurred],CF_Gen_3[[#This Row],[Incurred]])</f>
        <v>0</v>
      </c>
      <c r="I31" s="14">
        <f>SUMIFS(Expected_CF[Expected_Commission],Expected_CF[ICG],CF_Gen_3[[#This Row],[ICG]],Expected_CF[Incurred],CF_Gen_3[[#This Row],[Incurred]])</f>
        <v>0</v>
      </c>
      <c r="J31" s="14">
        <f>IF(CF_Gen_3[[#This Row],[Contract]]="IC",SUMIFS(Expected_CF[Expected_Acquisition],Expected_CF[ICG],CF_Gen_3[[#This Row],[ICG]],Expected_CF[Incurred],CF_Gen_3[[#This Row],[Incurred]]),0)</f>
        <v>0</v>
      </c>
      <c r="K31" s="14">
        <f>SUMIFS(Earned[Earned_Premium],Earned[ICG],CF_Gen_3[[#This Row],[ICG]],Earned[Incurred],CF_Gen_3[[#This Row],[Incurred]])</f>
        <v>1661124902.459621</v>
      </c>
      <c r="L31" s="14">
        <f>SUMIFS(Earned[Earned_Commission],Earned[ICG],CF_Gen_3[[#This Row],[ICG]],Earned[Incurred],CF_Gen_3[[#This Row],[Incurred]])</f>
        <v>-240096826.63280699</v>
      </c>
      <c r="M31" s="18">
        <f>_xlfn.XLOOKUP(CF_Gen_3[[#This Row],[ICG]],Assumptions[ICG],Assumptions[Loss_Ratio])</f>
        <v>0.4</v>
      </c>
      <c r="N31" s="18">
        <f>_xlfn.XLOOKUP(CF_Gen_3[[#This Row],[ICG]],Assumptions[ICG],Assumptions[Risk_Adjustment_Ratio])</f>
        <v>0.14000000000000001</v>
      </c>
      <c r="O31" s="18">
        <f>_xlfn.XLOOKUP(CF_Gen_3[[#This Row],[ICG]],Assumptions[ICG],Assumptions[PME_Ratio])</f>
        <v>4.4999999999999998E-2</v>
      </c>
      <c r="P31" s="18">
        <f>_xlfn.XLOOKUP(CF_Gen_3[[#This Row],[ICG]],Assumptions[ICG],Assumptions[ULAE_Ratio])</f>
        <v>0.11</v>
      </c>
      <c r="Q31" s="18">
        <f>_xlfn.XLOOKUP(CF_Gen_3[[#This Row],[ICG]],Assumptions[ICG],Assumptions[Cancellation_Ratio])</f>
        <v>7.0000000000000007E-2</v>
      </c>
      <c r="R31" s="18">
        <f>_xlfn.XLOOKUP(CF_Gen_3[[#This Row],[ICG]],Assumptions[ICG],Assumptions[Premium_Refund_Ratio])</f>
        <v>0.5</v>
      </c>
      <c r="S31" s="18">
        <f>IF(CF_Gen_3[[#This Row],[Contract]]="RC",_xlfn.XLOOKUP(CF_Gen_3[[#This Row],[ICG]],Assumptions[ICG],Assumptions[NPR_Ratio]),0)</f>
        <v>0</v>
      </c>
      <c r="T31" s="17">
        <f>T30*(1-CF_Gen_3[[#This Row],[Cancellation_Ratio]])</f>
        <v>0.12190050592075252</v>
      </c>
      <c r="U31" s="19">
        <f>IF(CF_Gen_3[[#This Row],[Incurred]]&lt;=CF_Gen_3[[#This Row],[Valuation]],CF_Gen_3[[#This Row],[Expected_Premium]],-CF_Gen_3[[#This Row],[Probability_of_Inforce]]*CF_Gen_3[[#This Row],[Premium_Refund_Ratio]]*CF_Gen_3[[#This Row],[Cancellation_Ratio]]*SUM(K31:K$105))</f>
        <v>-236192414.63576102</v>
      </c>
      <c r="V3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Row],[Cancellation_Ratio]]*SUM(L31:L$105))</f>
        <v>34138943.522439227</v>
      </c>
      <c r="W31" s="19">
        <f>CF_Gen_3[[#This Row],[Expected_Acquisition]]</f>
        <v>0</v>
      </c>
      <c r="X31" s="19">
        <f>-CF_Gen_3[[#This Row],[Probability_of_Inforce]]*CF_Gen_3[[#This Row],[Earned_Premium]]*(1-CF_Gen_3[[#This Row],[Cancellation_Ratio]])*CF_Gen_3[[#This Row],[PME_Ratio]]+CF_Gen_3[[#This Row],[ULAE_Ratio]]*CF_Gen_3[[#This Row],[Exp_Claim]]</f>
        <v>-16760260.026431544</v>
      </c>
      <c r="Y31" s="19">
        <f>-CF_Gen_3[[#This Row],[Probability_of_Inforce]]*CF_Gen_3[[#This Row],[Earned_Premium]]*(1-CF_Gen_3[[#This Row],[Cancellation_Ratio]])*CF_Gen_3[[#This Row],[Loss_Ratio]]</f>
        <v>-75327011.354748517</v>
      </c>
      <c r="Z31" s="19">
        <f>CF_Gen_3[[#This Row],[Exp_Claim]]*CF_Gen_3[[#This Row],[Risk_Adjustment_Ratio]]</f>
        <v>-10545781.589664793</v>
      </c>
      <c r="AA31" s="19">
        <f>IF(CF_Gen_3[[#This Row],[Contract]]="RC",-CF_Gen_3[[#This Row],[NPR_Ratio]]*CF_Gen_3[[#This Row],[Exp_Claim]],0)</f>
        <v>0</v>
      </c>
      <c r="AB31" s="19">
        <f>SUMIFS(Actual_CF[Actual_Premium],Actual_CF[ICG],CF_Gen_3[[#This Row],[ICG]],Actual_CF[Incurred],CF_Gen_3[[#This Row],[Incurred]])</f>
        <v>0</v>
      </c>
      <c r="AC31" s="19">
        <f>SUMIFS(Actual_CF[Actual_Commission],Actual_CF[ICG],CF_Gen_3[[#This Row],[ICG]],Actual_CF[Incurred],CF_Gen_3[[#This Row],[Incurred]])</f>
        <v>0</v>
      </c>
      <c r="AD31" s="19">
        <f>SUMIFS(Actual_CF[Actual_Acquisition],Actual_CF[ICG],CF_Gen_3[[#This Row],[ICG]],Actual_CF[Incurred],CF_Gen_3[[#This Row],[Incurred]])</f>
        <v>0</v>
      </c>
    </row>
    <row r="32" spans="1:30">
      <c r="A32" t="str">
        <f t="shared" si="1"/>
        <v>#2025#IC-Property</v>
      </c>
      <c r="B32">
        <f>_xlfn.XLOOKUP(CF_Gen_3[[#This Row],[ICG]],ICG[ICG],ICG[Cohort])</f>
        <v>2025</v>
      </c>
      <c r="C32" t="str">
        <f>_xlfn.XLOOKUP(CF_Gen_3[[#This Row],[ICG]],ICG[ICG],ICG[Portfolio])</f>
        <v>IC-Property</v>
      </c>
      <c r="D32" t="str">
        <f>_xlfn.XLOOKUP(CF_Gen_3[[#This Row],[ICG]],ICG[ICG],ICG[Contract])</f>
        <v>IC</v>
      </c>
      <c r="E32" s="2">
        <f t="shared" si="0"/>
        <v>45930</v>
      </c>
      <c r="F32">
        <v>31</v>
      </c>
      <c r="G32" s="2">
        <f>EOMONTH(DATE(YEAR(CF_Gen_3[[#This Row],[Valuation]])-1,12,31),CF_Gen_3[[#This Row],['#Incurred]]*3)</f>
        <v>48487</v>
      </c>
      <c r="H32" s="14">
        <f>SUMIFS(Expected_CF[Expected_Premium],Expected_CF[ICG],CF_Gen_3[[#This Row],[ICG]],Expected_CF[Incurred],CF_Gen_3[[#This Row],[Incurred]])</f>
        <v>0</v>
      </c>
      <c r="I32" s="14">
        <f>SUMIFS(Expected_CF[Expected_Commission],Expected_CF[ICG],CF_Gen_3[[#This Row],[ICG]],Expected_CF[Incurred],CF_Gen_3[[#This Row],[Incurred]])</f>
        <v>0</v>
      </c>
      <c r="J32" s="14">
        <f>IF(CF_Gen_3[[#This Row],[Contract]]="IC",SUMIFS(Expected_CF[Expected_Acquisition],Expected_CF[ICG],CF_Gen_3[[#This Row],[ICG]],Expected_CF[Incurred],CF_Gen_3[[#This Row],[Incurred]]),0)</f>
        <v>0</v>
      </c>
      <c r="K32" s="14">
        <f>SUMIFS(Earned[Earned_Premium],Earned[ICG],CF_Gen_3[[#This Row],[ICG]],Earned[Incurred],CF_Gen_3[[#This Row],[Incurred]])</f>
        <v>1627224394.2461593</v>
      </c>
      <c r="L32" s="14">
        <f>SUMIFS(Earned[Earned_Commission],Earned[ICG],CF_Gen_3[[#This Row],[ICG]],Earned[Incurred],CF_Gen_3[[#This Row],[Incurred]])</f>
        <v>-235196891.39540276</v>
      </c>
      <c r="M32" s="18">
        <f>_xlfn.XLOOKUP(CF_Gen_3[[#This Row],[ICG]],Assumptions[ICG],Assumptions[Loss_Ratio])</f>
        <v>0.4</v>
      </c>
      <c r="N32" s="18">
        <f>_xlfn.XLOOKUP(CF_Gen_3[[#This Row],[ICG]],Assumptions[ICG],Assumptions[Risk_Adjustment_Ratio])</f>
        <v>0.14000000000000001</v>
      </c>
      <c r="O32" s="18">
        <f>_xlfn.XLOOKUP(CF_Gen_3[[#This Row],[ICG]],Assumptions[ICG],Assumptions[PME_Ratio])</f>
        <v>4.4999999999999998E-2</v>
      </c>
      <c r="P32" s="18">
        <f>_xlfn.XLOOKUP(CF_Gen_3[[#This Row],[ICG]],Assumptions[ICG],Assumptions[ULAE_Ratio])</f>
        <v>0.11</v>
      </c>
      <c r="Q32" s="18">
        <f>_xlfn.XLOOKUP(CF_Gen_3[[#This Row],[ICG]],Assumptions[ICG],Assumptions[Cancellation_Ratio])</f>
        <v>7.0000000000000007E-2</v>
      </c>
      <c r="R32" s="18">
        <f>_xlfn.XLOOKUP(CF_Gen_3[[#This Row],[ICG]],Assumptions[ICG],Assumptions[Premium_Refund_Ratio])</f>
        <v>0.5</v>
      </c>
      <c r="S32" s="18">
        <f>IF(CF_Gen_3[[#This Row],[Contract]]="RC",_xlfn.XLOOKUP(CF_Gen_3[[#This Row],[ICG]],Assumptions[ICG],Assumptions[NPR_Ratio]),0)</f>
        <v>0</v>
      </c>
      <c r="T32" s="17">
        <f>T31*(1-CF_Gen_3[[#This Row],[Cancellation_Ratio]])</f>
        <v>0.11336747050629983</v>
      </c>
      <c r="U32" s="19">
        <f>IF(CF_Gen_3[[#This Row],[Incurred]]&lt;=CF_Gen_3[[#This Row],[Valuation]],CF_Gen_3[[#This Row],[Expected_Premium]],-CF_Gen_3[[#This Row],[Probability_of_Inforce]]*CF_Gen_3[[#This Row],[Premium_Refund_Ratio]]*CF_Gen_3[[#This Row],[Cancellation_Ratio]]*SUM(K32:K$105))</f>
        <v>-213067832.1177173</v>
      </c>
      <c r="V3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Row],[Cancellation_Ratio]]*SUM(L32:L$105))</f>
        <v>30796546.528950199</v>
      </c>
      <c r="W32" s="19">
        <f>CF_Gen_3[[#This Row],[Expected_Acquisition]]</f>
        <v>0</v>
      </c>
      <c r="X32" s="19">
        <f>-CF_Gen_3[[#This Row],[Probability_of_Inforce]]*CF_Gen_3[[#This Row],[Earned_Premium]]*(1-CF_Gen_3[[#This Row],[Cancellation_Ratio]])*CF_Gen_3[[#This Row],[PME_Ratio]]+CF_Gen_3[[#This Row],[ULAE_Ratio]]*CF_Gen_3[[#This Row],[Exp_Claim]]</f>
        <v>-15268938.930202127</v>
      </c>
      <c r="Y32" s="19">
        <f>-CF_Gen_3[[#This Row],[Probability_of_Inforce]]*CF_Gen_3[[#This Row],[Earned_Premium]]*(1-CF_Gen_3[[#This Row],[Cancellation_Ratio]])*CF_Gen_3[[#This Row],[Loss_Ratio]]</f>
        <v>-68624444.630121917</v>
      </c>
      <c r="Z32" s="19">
        <f>CF_Gen_3[[#This Row],[Exp_Claim]]*CF_Gen_3[[#This Row],[Risk_Adjustment_Ratio]]</f>
        <v>-9607422.2482170686</v>
      </c>
      <c r="AA32" s="19">
        <f>IF(CF_Gen_3[[#This Row],[Contract]]="RC",-CF_Gen_3[[#This Row],[NPR_Ratio]]*CF_Gen_3[[#This Row],[Exp_Claim]],0)</f>
        <v>0</v>
      </c>
      <c r="AB32" s="19">
        <f>SUMIFS(Actual_CF[Actual_Premium],Actual_CF[ICG],CF_Gen_3[[#This Row],[ICG]],Actual_CF[Incurred],CF_Gen_3[[#This Row],[Incurred]])</f>
        <v>0</v>
      </c>
      <c r="AC32" s="19">
        <f>SUMIFS(Actual_CF[Actual_Commission],Actual_CF[ICG],CF_Gen_3[[#This Row],[ICG]],Actual_CF[Incurred],CF_Gen_3[[#This Row],[Incurred]])</f>
        <v>0</v>
      </c>
      <c r="AD32" s="19">
        <f>SUMIFS(Actual_CF[Actual_Acquisition],Actual_CF[ICG],CF_Gen_3[[#This Row],[ICG]],Actual_CF[Incurred],CF_Gen_3[[#This Row],[Incurred]])</f>
        <v>0</v>
      </c>
    </row>
    <row r="33" spans="1:30">
      <c r="A33" t="str">
        <f t="shared" si="1"/>
        <v>#2025#IC-Property</v>
      </c>
      <c r="B33">
        <f>_xlfn.XLOOKUP(CF_Gen_3[[#This Row],[ICG]],ICG[ICG],ICG[Cohort])</f>
        <v>2025</v>
      </c>
      <c r="C33" t="str">
        <f>_xlfn.XLOOKUP(CF_Gen_3[[#This Row],[ICG]],ICG[ICG],ICG[Portfolio])</f>
        <v>IC-Property</v>
      </c>
      <c r="D33" t="str">
        <f>_xlfn.XLOOKUP(CF_Gen_3[[#This Row],[ICG]],ICG[ICG],ICG[Contract])</f>
        <v>IC</v>
      </c>
      <c r="E33" s="2">
        <f t="shared" si="0"/>
        <v>45930</v>
      </c>
      <c r="F33">
        <v>32</v>
      </c>
      <c r="G33" s="2">
        <f>EOMONTH(DATE(YEAR(CF_Gen_3[[#This Row],[Valuation]])-1,12,31),CF_Gen_3[[#This Row],['#Incurred]]*3)</f>
        <v>48579</v>
      </c>
      <c r="H33" s="14">
        <f>SUMIFS(Expected_CF[Expected_Premium],Expected_CF[ICG],CF_Gen_3[[#This Row],[ICG]],Expected_CF[Incurred],CF_Gen_3[[#This Row],[Incurred]])</f>
        <v>0</v>
      </c>
      <c r="I33" s="14">
        <f>SUMIFS(Expected_CF[Expected_Commission],Expected_CF[ICG],CF_Gen_3[[#This Row],[ICG]],Expected_CF[Incurred],CF_Gen_3[[#This Row],[Incurred]])</f>
        <v>0</v>
      </c>
      <c r="J33" s="14">
        <f>IF(CF_Gen_3[[#This Row],[Contract]]="IC",SUMIFS(Expected_CF[Expected_Acquisition],Expected_CF[ICG],CF_Gen_3[[#This Row],[ICG]],Expected_CF[Incurred],CF_Gen_3[[#This Row],[Incurred]]),0)</f>
        <v>0</v>
      </c>
      <c r="K33" s="14">
        <f>SUMIFS(Earned[Earned_Premium],Earned[ICG],CF_Gen_3[[#This Row],[ICG]],Earned[Incurred],CF_Gen_3[[#This Row],[Incurred]])</f>
        <v>1627224394.2461593</v>
      </c>
      <c r="L33" s="14">
        <f>SUMIFS(Earned[Earned_Commission],Earned[ICG],CF_Gen_3[[#This Row],[ICG]],Earned[Incurred],CF_Gen_3[[#This Row],[Incurred]])</f>
        <v>-235196891.39540276</v>
      </c>
      <c r="M33" s="18">
        <f>_xlfn.XLOOKUP(CF_Gen_3[[#This Row],[ICG]],Assumptions[ICG],Assumptions[Loss_Ratio])</f>
        <v>0.4</v>
      </c>
      <c r="N33" s="18">
        <f>_xlfn.XLOOKUP(CF_Gen_3[[#This Row],[ICG]],Assumptions[ICG],Assumptions[Risk_Adjustment_Ratio])</f>
        <v>0.14000000000000001</v>
      </c>
      <c r="O33" s="18">
        <f>_xlfn.XLOOKUP(CF_Gen_3[[#This Row],[ICG]],Assumptions[ICG],Assumptions[PME_Ratio])</f>
        <v>4.4999999999999998E-2</v>
      </c>
      <c r="P33" s="18">
        <f>_xlfn.XLOOKUP(CF_Gen_3[[#This Row],[ICG]],Assumptions[ICG],Assumptions[ULAE_Ratio])</f>
        <v>0.11</v>
      </c>
      <c r="Q33" s="18">
        <f>_xlfn.XLOOKUP(CF_Gen_3[[#This Row],[ICG]],Assumptions[ICG],Assumptions[Cancellation_Ratio])</f>
        <v>7.0000000000000007E-2</v>
      </c>
      <c r="R33" s="18">
        <f>_xlfn.XLOOKUP(CF_Gen_3[[#This Row],[ICG]],Assumptions[ICG],Assumptions[Premium_Refund_Ratio])</f>
        <v>0.5</v>
      </c>
      <c r="S33" s="18">
        <f>IF(CF_Gen_3[[#This Row],[Contract]]="RC",_xlfn.XLOOKUP(CF_Gen_3[[#This Row],[ICG]],Assumptions[ICG],Assumptions[NPR_Ratio]),0)</f>
        <v>0</v>
      </c>
      <c r="T33" s="17">
        <f>T32*(1-CF_Gen_3[[#This Row],[Cancellation_Ratio]])</f>
        <v>0.10543174757085884</v>
      </c>
      <c r="U33" s="19">
        <f>IF(CF_Gen_3[[#This Row],[Incurred]]&lt;=CF_Gen_3[[#This Row],[Valuation]],CF_Gen_3[[#This Row],[Expected_Premium]],-CF_Gen_3[[#This Row],[Probability_of_Inforce]]*CF_Gen_3[[#This Row],[Premium_Refund_Ratio]]*CF_Gen_3[[#This Row],[Cancellation_Ratio]]*SUM(K33:K$105))</f>
        <v>-192148444.96434137</v>
      </c>
      <c r="V3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Row],[Cancellation_Ratio]]*SUM(L33:L$105))</f>
        <v>27772885.597016905</v>
      </c>
      <c r="W33" s="19">
        <f>CF_Gen_3[[#This Row],[Expected_Acquisition]]</f>
        <v>0</v>
      </c>
      <c r="X33" s="19">
        <f>-CF_Gen_3[[#This Row],[Probability_of_Inforce]]*CF_Gen_3[[#This Row],[Earned_Premium]]*(1-CF_Gen_3[[#This Row],[Cancellation_Ratio]])*CF_Gen_3[[#This Row],[PME_Ratio]]+CF_Gen_3[[#This Row],[ULAE_Ratio]]*CF_Gen_3[[#This Row],[Exp_Claim]]</f>
        <v>-14200113.205087971</v>
      </c>
      <c r="Y33" s="19">
        <f>-CF_Gen_3[[#This Row],[Probability_of_Inforce]]*CF_Gen_3[[#This Row],[Earned_Premium]]*(1-CF_Gen_3[[#This Row],[Cancellation_Ratio]])*CF_Gen_3[[#This Row],[Loss_Ratio]]</f>
        <v>-63820733.506013364</v>
      </c>
      <c r="Z33" s="19">
        <f>CF_Gen_3[[#This Row],[Exp_Claim]]*CF_Gen_3[[#This Row],[Risk_Adjustment_Ratio]]</f>
        <v>-8934902.6908418722</v>
      </c>
      <c r="AA33" s="19">
        <f>IF(CF_Gen_3[[#This Row],[Contract]]="RC",-CF_Gen_3[[#This Row],[NPR_Ratio]]*CF_Gen_3[[#This Row],[Exp_Claim]],0)</f>
        <v>0</v>
      </c>
      <c r="AB33" s="19">
        <f>SUMIFS(Actual_CF[Actual_Premium],Actual_CF[ICG],CF_Gen_3[[#This Row],[ICG]],Actual_CF[Incurred],CF_Gen_3[[#This Row],[Incurred]])</f>
        <v>0</v>
      </c>
      <c r="AC33" s="19">
        <f>SUMIFS(Actual_CF[Actual_Commission],Actual_CF[ICG],CF_Gen_3[[#This Row],[ICG]],Actual_CF[Incurred],CF_Gen_3[[#This Row],[Incurred]])</f>
        <v>0</v>
      </c>
      <c r="AD33" s="19">
        <f>SUMIFS(Actual_CF[Actual_Acquisition],Actual_CF[ICG],CF_Gen_3[[#This Row],[ICG]],Actual_CF[Incurred],CF_Gen_3[[#This Row],[Incurred]])</f>
        <v>0</v>
      </c>
    </row>
    <row r="34" spans="1:30">
      <c r="A34" t="str">
        <f t="shared" si="1"/>
        <v>#2025#IC-Property</v>
      </c>
      <c r="B34">
        <f>_xlfn.XLOOKUP(CF_Gen_3[[#This Row],[ICG]],ICG[ICG],ICG[Cohort])</f>
        <v>2025</v>
      </c>
      <c r="C34" t="str">
        <f>_xlfn.XLOOKUP(CF_Gen_3[[#This Row],[ICG]],ICG[ICG],ICG[Portfolio])</f>
        <v>IC-Property</v>
      </c>
      <c r="D34" t="str">
        <f>_xlfn.XLOOKUP(CF_Gen_3[[#This Row],[ICG]],ICG[ICG],ICG[Contract])</f>
        <v>IC</v>
      </c>
      <c r="E34" s="2">
        <f t="shared" si="0"/>
        <v>45930</v>
      </c>
      <c r="F34">
        <v>33</v>
      </c>
      <c r="G34" s="2">
        <f>EOMONTH(DATE(YEAR(CF_Gen_3[[#This Row],[Valuation]])-1,12,31),CF_Gen_3[[#This Row],['#Incurred]]*3)</f>
        <v>48669</v>
      </c>
      <c r="H34" s="14">
        <f>SUMIFS(Expected_CF[Expected_Premium],Expected_CF[ICG],CF_Gen_3[[#This Row],[ICG]],Expected_CF[Incurred],CF_Gen_3[[#This Row],[Incurred]])</f>
        <v>0</v>
      </c>
      <c r="I34" s="14">
        <f>SUMIFS(Expected_CF[Expected_Commission],Expected_CF[ICG],CF_Gen_3[[#This Row],[ICG]],Expected_CF[Incurred],CF_Gen_3[[#This Row],[Incurred]])</f>
        <v>0</v>
      </c>
      <c r="J34" s="14">
        <f>IF(CF_Gen_3[[#This Row],[Contract]]="IC",SUMIFS(Expected_CF[Expected_Acquisition],Expected_CF[ICG],CF_Gen_3[[#This Row],[ICG]],Expected_CF[Incurred],CF_Gen_3[[#This Row],[Incurred]]),0)</f>
        <v>0</v>
      </c>
      <c r="K34" s="14">
        <f>SUMIFS(Earned[Earned_Premium],Earned[ICG],CF_Gen_3[[#This Row],[ICG]],Earned[Incurred],CF_Gen_3[[#This Row],[Incurred]])</f>
        <v>1593323886.0326977</v>
      </c>
      <c r="L34" s="14">
        <f>SUMIFS(Earned[Earned_Commission],Earned[ICG],CF_Gen_3[[#This Row],[ICG]],Earned[Incurred],CF_Gen_3[[#This Row],[Incurred]])</f>
        <v>-230296956.15799856</v>
      </c>
      <c r="M34" s="18">
        <f>_xlfn.XLOOKUP(CF_Gen_3[[#This Row],[ICG]],Assumptions[ICG],Assumptions[Loss_Ratio])</f>
        <v>0.4</v>
      </c>
      <c r="N34" s="18">
        <f>_xlfn.XLOOKUP(CF_Gen_3[[#This Row],[ICG]],Assumptions[ICG],Assumptions[Risk_Adjustment_Ratio])</f>
        <v>0.14000000000000001</v>
      </c>
      <c r="O34" s="18">
        <f>_xlfn.XLOOKUP(CF_Gen_3[[#This Row],[ICG]],Assumptions[ICG],Assumptions[PME_Ratio])</f>
        <v>4.4999999999999998E-2</v>
      </c>
      <c r="P34" s="18">
        <f>_xlfn.XLOOKUP(CF_Gen_3[[#This Row],[ICG]],Assumptions[ICG],Assumptions[ULAE_Ratio])</f>
        <v>0.11</v>
      </c>
      <c r="Q34" s="18">
        <f>_xlfn.XLOOKUP(CF_Gen_3[[#This Row],[ICG]],Assumptions[ICG],Assumptions[Cancellation_Ratio])</f>
        <v>7.0000000000000007E-2</v>
      </c>
      <c r="R34" s="18">
        <f>_xlfn.XLOOKUP(CF_Gen_3[[#This Row],[ICG]],Assumptions[ICG],Assumptions[Premium_Refund_Ratio])</f>
        <v>0.5</v>
      </c>
      <c r="S34" s="18">
        <f>IF(CF_Gen_3[[#This Row],[Contract]]="RC",_xlfn.XLOOKUP(CF_Gen_3[[#This Row],[ICG]],Assumptions[ICG],Assumptions[NPR_Ratio]),0)</f>
        <v>0</v>
      </c>
      <c r="T34" s="17">
        <f>T33*(1-CF_Gen_3[[#This Row],[Cancellation_Ratio]])</f>
        <v>9.8051525240898718E-2</v>
      </c>
      <c r="U34" s="19">
        <f>IF(CF_Gen_3[[#This Row],[Incurred]]&lt;=CF_Gen_3[[#This Row],[Valuation]],CF_Gen_3[[#This Row],[Expected_Premium]],-CF_Gen_3[[#This Row],[Probability_of_Inforce]]*CF_Gen_3[[#This Row],[Premium_Refund_Ratio]]*CF_Gen_3[[#This Row],[Cancellation_Ratio]]*SUM(K34:K$105))</f>
        <v>-173113739.63506132</v>
      </c>
      <c r="V3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Row],[Cancellation_Ratio]]*SUM(L34:L$105))</f>
        <v>25021634.117562417</v>
      </c>
      <c r="W34" s="19">
        <f>CF_Gen_3[[#This Row],[Expected_Acquisition]]</f>
        <v>0</v>
      </c>
      <c r="X34" s="19">
        <f>-CF_Gen_3[[#This Row],[Probability_of_Inforce]]*CF_Gen_3[[#This Row],[Earned_Premium]]*(1-CF_Gen_3[[#This Row],[Cancellation_Ratio]])*CF_Gen_3[[#This Row],[PME_Ratio]]+CF_Gen_3[[#This Row],[ULAE_Ratio]]*CF_Gen_3[[#This Row],[Exp_Claim]]</f>
        <v>-12930978.087383237</v>
      </c>
      <c r="Y34" s="19">
        <f>-CF_Gen_3[[#This Row],[Probability_of_Inforce]]*CF_Gen_3[[#This Row],[Earned_Premium]]*(1-CF_Gen_3[[#This Row],[Cancellation_Ratio]])*CF_Gen_3[[#This Row],[Loss_Ratio]]</f>
        <v>-58116755.448913425</v>
      </c>
      <c r="Z34" s="19">
        <f>CF_Gen_3[[#This Row],[Exp_Claim]]*CF_Gen_3[[#This Row],[Risk_Adjustment_Ratio]]</f>
        <v>-8136345.7628478799</v>
      </c>
      <c r="AA34" s="19">
        <f>IF(CF_Gen_3[[#This Row],[Contract]]="RC",-CF_Gen_3[[#This Row],[NPR_Ratio]]*CF_Gen_3[[#This Row],[Exp_Claim]],0)</f>
        <v>0</v>
      </c>
      <c r="AB34" s="19">
        <f>SUMIFS(Actual_CF[Actual_Premium],Actual_CF[ICG],CF_Gen_3[[#This Row],[ICG]],Actual_CF[Incurred],CF_Gen_3[[#This Row],[Incurred]])</f>
        <v>0</v>
      </c>
      <c r="AC34" s="19">
        <f>SUMIFS(Actual_CF[Actual_Commission],Actual_CF[ICG],CF_Gen_3[[#This Row],[ICG]],Actual_CF[Incurred],CF_Gen_3[[#This Row],[Incurred]])</f>
        <v>0</v>
      </c>
      <c r="AD34" s="19">
        <f>SUMIFS(Actual_CF[Actual_Acquisition],Actual_CF[ICG],CF_Gen_3[[#This Row],[ICG]],Actual_CF[Incurred],CF_Gen_3[[#This Row],[Incurred]])</f>
        <v>0</v>
      </c>
    </row>
    <row r="35" spans="1:30">
      <c r="A35" t="str">
        <f t="shared" si="1"/>
        <v>#2025#IC-Property</v>
      </c>
      <c r="B35">
        <f>_xlfn.XLOOKUP(CF_Gen_3[[#This Row],[ICG]],ICG[ICG],ICG[Cohort])</f>
        <v>2025</v>
      </c>
      <c r="C35" t="str">
        <f>_xlfn.XLOOKUP(CF_Gen_3[[#This Row],[ICG]],ICG[ICG],ICG[Portfolio])</f>
        <v>IC-Property</v>
      </c>
      <c r="D35" t="str">
        <f>_xlfn.XLOOKUP(CF_Gen_3[[#This Row],[ICG]],ICG[ICG],ICG[Contract])</f>
        <v>IC</v>
      </c>
      <c r="E35" s="2">
        <f t="shared" si="0"/>
        <v>45930</v>
      </c>
      <c r="F35">
        <v>34</v>
      </c>
      <c r="G35" s="2">
        <f>EOMONTH(DATE(YEAR(CF_Gen_3[[#This Row],[Valuation]])-1,12,31),CF_Gen_3[[#This Row],['#Incurred]]*3)</f>
        <v>48760</v>
      </c>
      <c r="H35" s="14">
        <f>SUMIFS(Expected_CF[Expected_Premium],Expected_CF[ICG],CF_Gen_3[[#This Row],[ICG]],Expected_CF[Incurred],CF_Gen_3[[#This Row],[Incurred]])</f>
        <v>0</v>
      </c>
      <c r="I35" s="14">
        <f>SUMIFS(Expected_CF[Expected_Commission],Expected_CF[ICG],CF_Gen_3[[#This Row],[ICG]],Expected_CF[Incurred],CF_Gen_3[[#This Row],[Incurred]])</f>
        <v>0</v>
      </c>
      <c r="J35" s="14">
        <f>IF(CF_Gen_3[[#This Row],[Contract]]="IC",SUMIFS(Expected_CF[Expected_Acquisition],Expected_CF[ICG],CF_Gen_3[[#This Row],[ICG]],Expected_CF[Incurred],CF_Gen_3[[#This Row],[Incurred]]),0)</f>
        <v>0</v>
      </c>
      <c r="K35" s="14">
        <f>SUMIFS(Earned[Earned_Premium],Earned[ICG],CF_Gen_3[[#This Row],[ICG]],Earned[Incurred],CF_Gen_3[[#This Row],[Incurred]])</f>
        <v>1559423377.819236</v>
      </c>
      <c r="L35" s="14">
        <f>SUMIFS(Earned[Earned_Commission],Earned[ICG],CF_Gen_3[[#This Row],[ICG]],Earned[Incurred],CF_Gen_3[[#This Row],[Incurred]])</f>
        <v>-225397020.92059433</v>
      </c>
      <c r="M35" s="18">
        <f>_xlfn.XLOOKUP(CF_Gen_3[[#This Row],[ICG]],Assumptions[ICG],Assumptions[Loss_Ratio])</f>
        <v>0.4</v>
      </c>
      <c r="N35" s="18">
        <f>_xlfn.XLOOKUP(CF_Gen_3[[#This Row],[ICG]],Assumptions[ICG],Assumptions[Risk_Adjustment_Ratio])</f>
        <v>0.14000000000000001</v>
      </c>
      <c r="O35" s="18">
        <f>_xlfn.XLOOKUP(CF_Gen_3[[#This Row],[ICG]],Assumptions[ICG],Assumptions[PME_Ratio])</f>
        <v>4.4999999999999998E-2</v>
      </c>
      <c r="P35" s="18">
        <f>_xlfn.XLOOKUP(CF_Gen_3[[#This Row],[ICG]],Assumptions[ICG],Assumptions[ULAE_Ratio])</f>
        <v>0.11</v>
      </c>
      <c r="Q35" s="18">
        <f>_xlfn.XLOOKUP(CF_Gen_3[[#This Row],[ICG]],Assumptions[ICG],Assumptions[Cancellation_Ratio])</f>
        <v>7.0000000000000007E-2</v>
      </c>
      <c r="R35" s="18">
        <f>_xlfn.XLOOKUP(CF_Gen_3[[#This Row],[ICG]],Assumptions[ICG],Assumptions[Premium_Refund_Ratio])</f>
        <v>0.5</v>
      </c>
      <c r="S35" s="18">
        <f>IF(CF_Gen_3[[#This Row],[Contract]]="RC",_xlfn.XLOOKUP(CF_Gen_3[[#This Row],[ICG]],Assumptions[ICG],Assumptions[NPR_Ratio]),0)</f>
        <v>0</v>
      </c>
      <c r="T35" s="17">
        <f>T34*(1-CF_Gen_3[[#This Row],[Cancellation_Ratio]])</f>
        <v>9.1187918474035803E-2</v>
      </c>
      <c r="U35" s="19">
        <f>IF(CF_Gen_3[[#This Row],[Incurred]]&lt;=CF_Gen_3[[#This Row],[Valuation]],CF_Gen_3[[#This Row],[Expected_Premium]],-CF_Gen_3[[#This Row],[Probability_of_Inforce]]*CF_Gen_3[[#This Row],[Premium_Refund_Ratio]]*CF_Gen_3[[#This Row],[Cancellation_Ratio]]*SUM(K35:K$105))</f>
        <v>-155910561.75882709</v>
      </c>
      <c r="V3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Row],[Cancellation_Ratio]]*SUM(L35:L$105))</f>
        <v>22535109.227129649</v>
      </c>
      <c r="W35" s="19">
        <f>CF_Gen_3[[#This Row],[Expected_Acquisition]]</f>
        <v>0</v>
      </c>
      <c r="X35" s="19">
        <f>-CF_Gen_3[[#This Row],[Probability_of_Inforce]]*CF_Gen_3[[#This Row],[Earned_Premium]]*(1-CF_Gen_3[[#This Row],[Cancellation_Ratio]])*CF_Gen_3[[#This Row],[PME_Ratio]]+CF_Gen_3[[#This Row],[ULAE_Ratio]]*CF_Gen_3[[#This Row],[Exp_Claim]]</f>
        <v>-11769941.331452232</v>
      </c>
      <c r="Y35" s="19">
        <f>-CF_Gen_3[[#This Row],[Probability_of_Inforce]]*CF_Gen_3[[#This Row],[Earned_Premium]]*(1-CF_Gen_3[[#This Row],[Cancellation_Ratio]])*CF_Gen_3[[#This Row],[Loss_Ratio]]</f>
        <v>-52898612.725628003</v>
      </c>
      <c r="Z35" s="19">
        <f>CF_Gen_3[[#This Row],[Exp_Claim]]*CF_Gen_3[[#This Row],[Risk_Adjustment_Ratio]]</f>
        <v>-7405805.7815879211</v>
      </c>
      <c r="AA35" s="19">
        <f>IF(CF_Gen_3[[#This Row],[Contract]]="RC",-CF_Gen_3[[#This Row],[NPR_Ratio]]*CF_Gen_3[[#This Row],[Exp_Claim]],0)</f>
        <v>0</v>
      </c>
      <c r="AB35" s="19">
        <f>SUMIFS(Actual_CF[Actual_Premium],Actual_CF[ICG],CF_Gen_3[[#This Row],[ICG]],Actual_CF[Incurred],CF_Gen_3[[#This Row],[Incurred]])</f>
        <v>0</v>
      </c>
      <c r="AC35" s="19">
        <f>SUMIFS(Actual_CF[Actual_Commission],Actual_CF[ICG],CF_Gen_3[[#This Row],[ICG]],Actual_CF[Incurred],CF_Gen_3[[#This Row],[Incurred]])</f>
        <v>0</v>
      </c>
      <c r="AD35" s="19">
        <f>SUMIFS(Actual_CF[Actual_Acquisition],Actual_CF[ICG],CF_Gen_3[[#This Row],[ICG]],Actual_CF[Incurred],CF_Gen_3[[#This Row],[Incurred]])</f>
        <v>0</v>
      </c>
    </row>
    <row r="36" spans="1:30">
      <c r="A36" t="str">
        <f t="shared" si="1"/>
        <v>#2025#IC-Property</v>
      </c>
      <c r="B36">
        <f>_xlfn.XLOOKUP(CF_Gen_3[[#This Row],[ICG]],ICG[ICG],ICG[Cohort])</f>
        <v>2025</v>
      </c>
      <c r="C36" t="str">
        <f>_xlfn.XLOOKUP(CF_Gen_3[[#This Row],[ICG]],ICG[ICG],ICG[Portfolio])</f>
        <v>IC-Property</v>
      </c>
      <c r="D36" t="str">
        <f>_xlfn.XLOOKUP(CF_Gen_3[[#This Row],[ICG]],ICG[ICG],ICG[Contract])</f>
        <v>IC</v>
      </c>
      <c r="E36" s="2">
        <f t="shared" si="0"/>
        <v>45930</v>
      </c>
      <c r="F36">
        <v>35</v>
      </c>
      <c r="G36" s="2">
        <f>EOMONTH(DATE(YEAR(CF_Gen_3[[#This Row],[Valuation]])-1,12,31),CF_Gen_3[[#This Row],['#Incurred]]*3)</f>
        <v>48852</v>
      </c>
      <c r="H36" s="14">
        <f>SUMIFS(Expected_CF[Expected_Premium],Expected_CF[ICG],CF_Gen_3[[#This Row],[ICG]],Expected_CF[Incurred],CF_Gen_3[[#This Row],[Incurred]])</f>
        <v>0</v>
      </c>
      <c r="I36" s="14">
        <f>SUMIFS(Expected_CF[Expected_Commission],Expected_CF[ICG],CF_Gen_3[[#This Row],[ICG]],Expected_CF[Incurred],CF_Gen_3[[#This Row],[Incurred]])</f>
        <v>0</v>
      </c>
      <c r="J36" s="14">
        <f>IF(CF_Gen_3[[#This Row],[Contract]]="IC",SUMIFS(Expected_CF[Expected_Acquisition],Expected_CF[ICG],CF_Gen_3[[#This Row],[ICG]],Expected_CF[Incurred],CF_Gen_3[[#This Row],[Incurred]]),0)</f>
        <v>0</v>
      </c>
      <c r="K36" s="14">
        <f>SUMIFS(Earned[Earned_Premium],Earned[ICG],CF_Gen_3[[#This Row],[ICG]],Earned[Incurred],CF_Gen_3[[#This Row],[Incurred]])</f>
        <v>1525522869.6057744</v>
      </c>
      <c r="L36" s="14">
        <f>SUMIFS(Earned[Earned_Commission],Earned[ICG],CF_Gen_3[[#This Row],[ICG]],Earned[Incurred],CF_Gen_3[[#This Row],[Incurred]])</f>
        <v>-220497085.68319008</v>
      </c>
      <c r="M36" s="18">
        <f>_xlfn.XLOOKUP(CF_Gen_3[[#This Row],[ICG]],Assumptions[ICG],Assumptions[Loss_Ratio])</f>
        <v>0.4</v>
      </c>
      <c r="N36" s="18">
        <f>_xlfn.XLOOKUP(CF_Gen_3[[#This Row],[ICG]],Assumptions[ICG],Assumptions[Risk_Adjustment_Ratio])</f>
        <v>0.14000000000000001</v>
      </c>
      <c r="O36" s="18">
        <f>_xlfn.XLOOKUP(CF_Gen_3[[#This Row],[ICG]],Assumptions[ICG],Assumptions[PME_Ratio])</f>
        <v>4.4999999999999998E-2</v>
      </c>
      <c r="P36" s="18">
        <f>_xlfn.XLOOKUP(CF_Gen_3[[#This Row],[ICG]],Assumptions[ICG],Assumptions[ULAE_Ratio])</f>
        <v>0.11</v>
      </c>
      <c r="Q36" s="18">
        <f>_xlfn.XLOOKUP(CF_Gen_3[[#This Row],[ICG]],Assumptions[ICG],Assumptions[Cancellation_Ratio])</f>
        <v>7.0000000000000007E-2</v>
      </c>
      <c r="R36" s="18">
        <f>_xlfn.XLOOKUP(CF_Gen_3[[#This Row],[ICG]],Assumptions[ICG],Assumptions[Premium_Refund_Ratio])</f>
        <v>0.5</v>
      </c>
      <c r="S36" s="18">
        <f>IF(CF_Gen_3[[#This Row],[Contract]]="RC",_xlfn.XLOOKUP(CF_Gen_3[[#This Row],[ICG]],Assumptions[ICG],Assumptions[NPR_Ratio]),0)</f>
        <v>0</v>
      </c>
      <c r="T36" s="17">
        <f>T35*(1-CF_Gen_3[[#This Row],[Cancellation_Ratio]])</f>
        <v>8.4804764180853295E-2</v>
      </c>
      <c r="U36" s="19">
        <f>IF(CF_Gen_3[[#This Row],[Incurred]]&lt;=CF_Gen_3[[#This Row],[Valuation]],CF_Gen_3[[#This Row],[Expected_Premium]],-CF_Gen_3[[#This Row],[Probability_of_Inforce]]*CF_Gen_3[[#This Row],[Premium_Refund_Ratio]]*CF_Gen_3[[#This Row],[Cancellation_Ratio]]*SUM(K36:K$105))</f>
        <v>-140368193.82221675</v>
      </c>
      <c r="V3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Row],[Cancellation_Ratio]]*SUM(L36:L$105))</f>
        <v>20288635.639012247</v>
      </c>
      <c r="W36" s="19">
        <f>CF_Gen_3[[#This Row],[Expected_Acquisition]]</f>
        <v>0</v>
      </c>
      <c r="X36" s="19">
        <f>-CF_Gen_3[[#This Row],[Probability_of_Inforce]]*CF_Gen_3[[#This Row],[Earned_Premium]]*(1-CF_Gen_3[[#This Row],[Cancellation_Ratio]])*CF_Gen_3[[#This Row],[PME_Ratio]]+CF_Gen_3[[#This Row],[ULAE_Ratio]]*CF_Gen_3[[#This Row],[Exp_Claim]]</f>
        <v>-10708087.928723387</v>
      </c>
      <c r="Y36" s="19">
        <f>-CF_Gen_3[[#This Row],[Probability_of_Inforce]]*CF_Gen_3[[#This Row],[Earned_Premium]]*(1-CF_Gen_3[[#This Row],[Cancellation_Ratio]])*CF_Gen_3[[#This Row],[Loss_Ratio]]</f>
        <v>-48126237.881902874</v>
      </c>
      <c r="Z36" s="19">
        <f>CF_Gen_3[[#This Row],[Exp_Claim]]*CF_Gen_3[[#This Row],[Risk_Adjustment_Ratio]]</f>
        <v>-6737673.3034664029</v>
      </c>
      <c r="AA36" s="19">
        <f>IF(CF_Gen_3[[#This Row],[Contract]]="RC",-CF_Gen_3[[#This Row],[NPR_Ratio]]*CF_Gen_3[[#This Row],[Exp_Claim]],0)</f>
        <v>0</v>
      </c>
      <c r="AB36" s="19">
        <f>SUMIFS(Actual_CF[Actual_Premium],Actual_CF[ICG],CF_Gen_3[[#This Row],[ICG]],Actual_CF[Incurred],CF_Gen_3[[#This Row],[Incurred]])</f>
        <v>0</v>
      </c>
      <c r="AC36" s="19">
        <f>SUMIFS(Actual_CF[Actual_Commission],Actual_CF[ICG],CF_Gen_3[[#This Row],[ICG]],Actual_CF[Incurred],CF_Gen_3[[#This Row],[Incurred]])</f>
        <v>0</v>
      </c>
      <c r="AD36" s="19">
        <f>SUMIFS(Actual_CF[Actual_Acquisition],Actual_CF[ICG],CF_Gen_3[[#This Row],[ICG]],Actual_CF[Incurred],CF_Gen_3[[#This Row],[Incurred]])</f>
        <v>0</v>
      </c>
    </row>
    <row r="37" spans="1:30">
      <c r="A37" t="str">
        <f t="shared" si="1"/>
        <v>#2025#IC-Property</v>
      </c>
      <c r="B37">
        <f>_xlfn.XLOOKUP(CF_Gen_3[[#This Row],[ICG]],ICG[ICG],ICG[Cohort])</f>
        <v>2025</v>
      </c>
      <c r="C37" t="str">
        <f>_xlfn.XLOOKUP(CF_Gen_3[[#This Row],[ICG]],ICG[ICG],ICG[Portfolio])</f>
        <v>IC-Property</v>
      </c>
      <c r="D37" t="str">
        <f>_xlfn.XLOOKUP(CF_Gen_3[[#This Row],[ICG]],ICG[ICG],ICG[Contract])</f>
        <v>IC</v>
      </c>
      <c r="E37" s="2">
        <f t="shared" si="0"/>
        <v>45930</v>
      </c>
      <c r="F37">
        <v>36</v>
      </c>
      <c r="G37" s="2">
        <f>EOMONTH(DATE(YEAR(CF_Gen_3[[#This Row],[Valuation]])-1,12,31),CF_Gen_3[[#This Row],['#Incurred]]*3)</f>
        <v>48944</v>
      </c>
      <c r="H37" s="14">
        <f>SUMIFS(Expected_CF[Expected_Premium],Expected_CF[ICG],CF_Gen_3[[#This Row],[ICG]],Expected_CF[Incurred],CF_Gen_3[[#This Row],[Incurred]])</f>
        <v>0</v>
      </c>
      <c r="I37" s="14">
        <f>SUMIFS(Expected_CF[Expected_Commission],Expected_CF[ICG],CF_Gen_3[[#This Row],[ICG]],Expected_CF[Incurred],CF_Gen_3[[#This Row],[Incurred]])</f>
        <v>0</v>
      </c>
      <c r="J37" s="14">
        <f>IF(CF_Gen_3[[#This Row],[Contract]]="IC",SUMIFS(Expected_CF[Expected_Acquisition],Expected_CF[ICG],CF_Gen_3[[#This Row],[ICG]],Expected_CF[Incurred],CF_Gen_3[[#This Row],[Incurred]]),0)</f>
        <v>0</v>
      </c>
      <c r="K37" s="14">
        <f>SUMIFS(Earned[Earned_Premium],Earned[ICG],CF_Gen_3[[#This Row],[ICG]],Earned[Incurred],CF_Gen_3[[#This Row],[Incurred]])</f>
        <v>1525522869.6057744</v>
      </c>
      <c r="L37" s="14">
        <f>SUMIFS(Earned[Earned_Commission],Earned[ICG],CF_Gen_3[[#This Row],[ICG]],Earned[Incurred],CF_Gen_3[[#This Row],[Incurred]])</f>
        <v>-220497085.68319008</v>
      </c>
      <c r="M37" s="18">
        <f>_xlfn.XLOOKUP(CF_Gen_3[[#This Row],[ICG]],Assumptions[ICG],Assumptions[Loss_Ratio])</f>
        <v>0.4</v>
      </c>
      <c r="N37" s="18">
        <f>_xlfn.XLOOKUP(CF_Gen_3[[#This Row],[ICG]],Assumptions[ICG],Assumptions[Risk_Adjustment_Ratio])</f>
        <v>0.14000000000000001</v>
      </c>
      <c r="O37" s="18">
        <f>_xlfn.XLOOKUP(CF_Gen_3[[#This Row],[ICG]],Assumptions[ICG],Assumptions[PME_Ratio])</f>
        <v>4.4999999999999998E-2</v>
      </c>
      <c r="P37" s="18">
        <f>_xlfn.XLOOKUP(CF_Gen_3[[#This Row],[ICG]],Assumptions[ICG],Assumptions[ULAE_Ratio])</f>
        <v>0.11</v>
      </c>
      <c r="Q37" s="18">
        <f>_xlfn.XLOOKUP(CF_Gen_3[[#This Row],[ICG]],Assumptions[ICG],Assumptions[Cancellation_Ratio])</f>
        <v>7.0000000000000007E-2</v>
      </c>
      <c r="R37" s="18">
        <f>_xlfn.XLOOKUP(CF_Gen_3[[#This Row],[ICG]],Assumptions[ICG],Assumptions[Premium_Refund_Ratio])</f>
        <v>0.5</v>
      </c>
      <c r="S37" s="18">
        <f>IF(CF_Gen_3[[#This Row],[Contract]]="RC",_xlfn.XLOOKUP(CF_Gen_3[[#This Row],[ICG]],Assumptions[ICG],Assumptions[NPR_Ratio]),0)</f>
        <v>0</v>
      </c>
      <c r="T37" s="17">
        <f>T36*(1-CF_Gen_3[[#This Row],[Cancellation_Ratio]])</f>
        <v>7.8868430688193561E-2</v>
      </c>
      <c r="U37" s="19">
        <f>IF(CF_Gen_3[[#This Row],[Incurred]]&lt;=CF_Gen_3[[#This Row],[Valuation]],CF_Gen_3[[#This Row],[Expected_Premium]],-CF_Gen_3[[#This Row],[Probability_of_Inforce]]*CF_Gen_3[[#This Row],[Premium_Refund_Ratio]]*CF_Gen_3[[#This Row],[Cancellation_Ratio]]*SUM(K37:K$105))</f>
        <v>-126331374.43999508</v>
      </c>
      <c r="V3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Row],[Cancellation_Ratio]]*SUM(L37:L$105))</f>
        <v>18259772.075111024</v>
      </c>
      <c r="W37" s="19">
        <f>CF_Gen_3[[#This Row],[Expected_Acquisition]]</f>
        <v>0</v>
      </c>
      <c r="X37" s="19">
        <f>-CF_Gen_3[[#This Row],[Probability_of_Inforce]]*CF_Gen_3[[#This Row],[Earned_Premium]]*(1-CF_Gen_3[[#This Row],[Cancellation_Ratio]])*CF_Gen_3[[#This Row],[PME_Ratio]]+CF_Gen_3[[#This Row],[ULAE_Ratio]]*CF_Gen_3[[#This Row],[Exp_Claim]]</f>
        <v>-9958521.7737127505</v>
      </c>
      <c r="Y37" s="19">
        <f>-CF_Gen_3[[#This Row],[Probability_of_Inforce]]*CF_Gen_3[[#This Row],[Earned_Premium]]*(1-CF_Gen_3[[#This Row],[Cancellation_Ratio]])*CF_Gen_3[[#This Row],[Loss_Ratio]]</f>
        <v>-44757401.230169669</v>
      </c>
      <c r="Z37" s="19">
        <f>CF_Gen_3[[#This Row],[Exp_Claim]]*CF_Gen_3[[#This Row],[Risk_Adjustment_Ratio]]</f>
        <v>-6266036.1722237542</v>
      </c>
      <c r="AA37" s="19">
        <f>IF(CF_Gen_3[[#This Row],[Contract]]="RC",-CF_Gen_3[[#This Row],[NPR_Ratio]]*CF_Gen_3[[#This Row],[Exp_Claim]],0)</f>
        <v>0</v>
      </c>
      <c r="AB37" s="19">
        <f>SUMIFS(Actual_CF[Actual_Premium],Actual_CF[ICG],CF_Gen_3[[#This Row],[ICG]],Actual_CF[Incurred],CF_Gen_3[[#This Row],[Incurred]])</f>
        <v>0</v>
      </c>
      <c r="AC37" s="19">
        <f>SUMIFS(Actual_CF[Actual_Commission],Actual_CF[ICG],CF_Gen_3[[#This Row],[ICG]],Actual_CF[Incurred],CF_Gen_3[[#This Row],[Incurred]])</f>
        <v>0</v>
      </c>
      <c r="AD37" s="19">
        <f>SUMIFS(Actual_CF[Actual_Acquisition],Actual_CF[ICG],CF_Gen_3[[#This Row],[ICG]],Actual_CF[Incurred],CF_Gen_3[[#This Row],[Incurred]])</f>
        <v>0</v>
      </c>
    </row>
    <row r="38" spans="1:30">
      <c r="A38" t="str">
        <f t="shared" si="1"/>
        <v>#2025#IC-Property</v>
      </c>
      <c r="B38">
        <f>_xlfn.XLOOKUP(CF_Gen_3[[#This Row],[ICG]],ICG[ICG],ICG[Cohort])</f>
        <v>2025</v>
      </c>
      <c r="C38" t="str">
        <f>_xlfn.XLOOKUP(CF_Gen_3[[#This Row],[ICG]],ICG[ICG],ICG[Portfolio])</f>
        <v>IC-Property</v>
      </c>
      <c r="D38" t="str">
        <f>_xlfn.XLOOKUP(CF_Gen_3[[#This Row],[ICG]],ICG[ICG],ICG[Contract])</f>
        <v>IC</v>
      </c>
      <c r="E38" s="2">
        <f t="shared" si="0"/>
        <v>45930</v>
      </c>
      <c r="F38">
        <v>37</v>
      </c>
      <c r="G38" s="2">
        <f>EOMONTH(DATE(YEAR(CF_Gen_3[[#This Row],[Valuation]])-1,12,31),CF_Gen_3[[#This Row],['#Incurred]]*3)</f>
        <v>49034</v>
      </c>
      <c r="H38" s="14">
        <f>SUMIFS(Expected_CF[Expected_Premium],Expected_CF[ICG],CF_Gen_3[[#This Row],[ICG]],Expected_CF[Incurred],CF_Gen_3[[#This Row],[Incurred]])</f>
        <v>0</v>
      </c>
      <c r="I38" s="14">
        <f>SUMIFS(Expected_CF[Expected_Commission],Expected_CF[ICG],CF_Gen_3[[#This Row],[ICG]],Expected_CF[Incurred],CF_Gen_3[[#This Row],[Incurred]])</f>
        <v>0</v>
      </c>
      <c r="J38" s="14">
        <f>IF(CF_Gen_3[[#This Row],[Contract]]="IC",SUMIFS(Expected_CF[Expected_Acquisition],Expected_CF[ICG],CF_Gen_3[[#This Row],[ICG]],Expected_CF[Incurred],CF_Gen_3[[#This Row],[Incurred]]),0)</f>
        <v>0</v>
      </c>
      <c r="K38" s="14">
        <f>SUMIFS(Earned[Earned_Premium],Earned[ICG],CF_Gen_3[[#This Row],[ICG]],Earned[Incurred],CF_Gen_3[[#This Row],[Incurred]])</f>
        <v>1491622361.3923128</v>
      </c>
      <c r="L38" s="14">
        <f>SUMIFS(Earned[Earned_Commission],Earned[ICG],CF_Gen_3[[#This Row],[ICG]],Earned[Incurred],CF_Gen_3[[#This Row],[Incurred]])</f>
        <v>-215597150.44578588</v>
      </c>
      <c r="M38" s="18">
        <f>_xlfn.XLOOKUP(CF_Gen_3[[#This Row],[ICG]],Assumptions[ICG],Assumptions[Loss_Ratio])</f>
        <v>0.4</v>
      </c>
      <c r="N38" s="18">
        <f>_xlfn.XLOOKUP(CF_Gen_3[[#This Row],[ICG]],Assumptions[ICG],Assumptions[Risk_Adjustment_Ratio])</f>
        <v>0.14000000000000001</v>
      </c>
      <c r="O38" s="18">
        <f>_xlfn.XLOOKUP(CF_Gen_3[[#This Row],[ICG]],Assumptions[ICG],Assumptions[PME_Ratio])</f>
        <v>4.4999999999999998E-2</v>
      </c>
      <c r="P38" s="18">
        <f>_xlfn.XLOOKUP(CF_Gen_3[[#This Row],[ICG]],Assumptions[ICG],Assumptions[ULAE_Ratio])</f>
        <v>0.11</v>
      </c>
      <c r="Q38" s="18">
        <f>_xlfn.XLOOKUP(CF_Gen_3[[#This Row],[ICG]],Assumptions[ICG],Assumptions[Cancellation_Ratio])</f>
        <v>7.0000000000000007E-2</v>
      </c>
      <c r="R38" s="18">
        <f>_xlfn.XLOOKUP(CF_Gen_3[[#This Row],[ICG]],Assumptions[ICG],Assumptions[Premium_Refund_Ratio])</f>
        <v>0.5</v>
      </c>
      <c r="S38" s="18">
        <f>IF(CF_Gen_3[[#This Row],[Contract]]="RC",_xlfn.XLOOKUP(CF_Gen_3[[#This Row],[ICG]],Assumptions[ICG],Assumptions[NPR_Ratio]),0)</f>
        <v>0</v>
      </c>
      <c r="T38" s="17">
        <f>T37*(1-CF_Gen_3[[#This Row],[Cancellation_Ratio]])</f>
        <v>7.3347640540020007E-2</v>
      </c>
      <c r="U38" s="19">
        <f>IF(CF_Gen_3[[#This Row],[Incurred]]&lt;=CF_Gen_3[[#This Row],[Valuation]],CF_Gen_3[[#This Row],[Expected_Premium]],-CF_Gen_3[[#This Row],[Probability_of_Inforce]]*CF_Gen_3[[#This Row],[Premium_Refund_Ratio]]*CF_Gen_3[[#This Row],[Cancellation_Ratio]]*SUM(K38:K$105))</f>
        <v>-113571905.62155557</v>
      </c>
      <c r="V3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Row],[Cancellation_Ratio]]*SUM(L38:L$105))</f>
        <v>16415535.095524808</v>
      </c>
      <c r="W38" s="19">
        <f>CF_Gen_3[[#This Row],[Expected_Acquisition]]</f>
        <v>0</v>
      </c>
      <c r="X38" s="19">
        <f>-CF_Gen_3[[#This Row],[Probability_of_Inforce]]*CF_Gen_3[[#This Row],[Earned_Premium]]*(1-CF_Gen_3[[#This Row],[Cancellation_Ratio]])*CF_Gen_3[[#This Row],[PME_Ratio]]+CF_Gen_3[[#This Row],[ULAE_Ratio]]*CF_Gen_3[[#This Row],[Exp_Claim]]</f>
        <v>-9055615.7995627932</v>
      </c>
      <c r="Y38" s="19">
        <f>-CF_Gen_3[[#This Row],[Probability_of_Inforce]]*CF_Gen_3[[#This Row],[Earned_Premium]]*(1-CF_Gen_3[[#This Row],[Cancellation_Ratio]])*CF_Gen_3[[#This Row],[Loss_Ratio]]</f>
        <v>-40699396.85196761</v>
      </c>
      <c r="Z38" s="19">
        <f>CF_Gen_3[[#This Row],[Exp_Claim]]*CF_Gen_3[[#This Row],[Risk_Adjustment_Ratio]]</f>
        <v>-5697915.559275466</v>
      </c>
      <c r="AA38" s="19">
        <f>IF(CF_Gen_3[[#This Row],[Contract]]="RC",-CF_Gen_3[[#This Row],[NPR_Ratio]]*CF_Gen_3[[#This Row],[Exp_Claim]],0)</f>
        <v>0</v>
      </c>
      <c r="AB38" s="19">
        <f>SUMIFS(Actual_CF[Actual_Premium],Actual_CF[ICG],CF_Gen_3[[#This Row],[ICG]],Actual_CF[Incurred],CF_Gen_3[[#This Row],[Incurred]])</f>
        <v>0</v>
      </c>
      <c r="AC38" s="19">
        <f>SUMIFS(Actual_CF[Actual_Commission],Actual_CF[ICG],CF_Gen_3[[#This Row],[ICG]],Actual_CF[Incurred],CF_Gen_3[[#This Row],[Incurred]])</f>
        <v>0</v>
      </c>
      <c r="AD38" s="19">
        <f>SUMIFS(Actual_CF[Actual_Acquisition],Actual_CF[ICG],CF_Gen_3[[#This Row],[ICG]],Actual_CF[Incurred],CF_Gen_3[[#This Row],[Incurred]])</f>
        <v>0</v>
      </c>
    </row>
    <row r="39" spans="1:30">
      <c r="A39" t="str">
        <f t="shared" si="1"/>
        <v>#2025#IC-Property</v>
      </c>
      <c r="B39">
        <f>_xlfn.XLOOKUP(CF_Gen_3[[#This Row],[ICG]],ICG[ICG],ICG[Cohort])</f>
        <v>2025</v>
      </c>
      <c r="C39" t="str">
        <f>_xlfn.XLOOKUP(CF_Gen_3[[#This Row],[ICG]],ICG[ICG],ICG[Portfolio])</f>
        <v>IC-Property</v>
      </c>
      <c r="D39" t="str">
        <f>_xlfn.XLOOKUP(CF_Gen_3[[#This Row],[ICG]],ICG[ICG],ICG[Contract])</f>
        <v>IC</v>
      </c>
      <c r="E39" s="2">
        <f t="shared" si="0"/>
        <v>45930</v>
      </c>
      <c r="F39">
        <v>38</v>
      </c>
      <c r="G39" s="2">
        <f>EOMONTH(DATE(YEAR(CF_Gen_3[[#This Row],[Valuation]])-1,12,31),CF_Gen_3[[#This Row],['#Incurred]]*3)</f>
        <v>49125</v>
      </c>
      <c r="H39" s="14">
        <f>SUMIFS(Expected_CF[Expected_Premium],Expected_CF[ICG],CF_Gen_3[[#This Row],[ICG]],Expected_CF[Incurred],CF_Gen_3[[#This Row],[Incurred]])</f>
        <v>0</v>
      </c>
      <c r="I39" s="14">
        <f>SUMIFS(Expected_CF[Expected_Commission],Expected_CF[ICG],CF_Gen_3[[#This Row],[ICG]],Expected_CF[Incurred],CF_Gen_3[[#This Row],[Incurred]])</f>
        <v>0</v>
      </c>
      <c r="J39" s="14">
        <f>IF(CF_Gen_3[[#This Row],[Contract]]="IC",SUMIFS(Expected_CF[Expected_Acquisition],Expected_CF[ICG],CF_Gen_3[[#This Row],[ICG]],Expected_CF[Incurred],CF_Gen_3[[#This Row],[Incurred]]),0)</f>
        <v>0</v>
      </c>
      <c r="K39" s="14">
        <f>SUMIFS(Earned[Earned_Premium],Earned[ICG],CF_Gen_3[[#This Row],[ICG]],Earned[Incurred],CF_Gen_3[[#This Row],[Incurred]])</f>
        <v>1457721853.1788511</v>
      </c>
      <c r="L39" s="14">
        <f>SUMIFS(Earned[Earned_Commission],Earned[ICG],CF_Gen_3[[#This Row],[ICG]],Earned[Incurred],CF_Gen_3[[#This Row],[Incurred]])</f>
        <v>-210697215.20838165</v>
      </c>
      <c r="M39" s="18">
        <f>_xlfn.XLOOKUP(CF_Gen_3[[#This Row],[ICG]],Assumptions[ICG],Assumptions[Loss_Ratio])</f>
        <v>0.4</v>
      </c>
      <c r="N39" s="18">
        <f>_xlfn.XLOOKUP(CF_Gen_3[[#This Row],[ICG]],Assumptions[ICG],Assumptions[Risk_Adjustment_Ratio])</f>
        <v>0.14000000000000001</v>
      </c>
      <c r="O39" s="18">
        <f>_xlfn.XLOOKUP(CF_Gen_3[[#This Row],[ICG]],Assumptions[ICG],Assumptions[PME_Ratio])</f>
        <v>4.4999999999999998E-2</v>
      </c>
      <c r="P39" s="18">
        <f>_xlfn.XLOOKUP(CF_Gen_3[[#This Row],[ICG]],Assumptions[ICG],Assumptions[ULAE_Ratio])</f>
        <v>0.11</v>
      </c>
      <c r="Q39" s="18">
        <f>_xlfn.XLOOKUP(CF_Gen_3[[#This Row],[ICG]],Assumptions[ICG],Assumptions[Cancellation_Ratio])</f>
        <v>7.0000000000000007E-2</v>
      </c>
      <c r="R39" s="18">
        <f>_xlfn.XLOOKUP(CF_Gen_3[[#This Row],[ICG]],Assumptions[ICG],Assumptions[Premium_Refund_Ratio])</f>
        <v>0.5</v>
      </c>
      <c r="S39" s="18">
        <f>IF(CF_Gen_3[[#This Row],[Contract]]="RC",_xlfn.XLOOKUP(CF_Gen_3[[#This Row],[ICG]],Assumptions[ICG],Assumptions[NPR_Ratio]),0)</f>
        <v>0</v>
      </c>
      <c r="T39" s="17">
        <f>T38*(1-CF_Gen_3[[#This Row],[Cancellation_Ratio]])</f>
        <v>6.8213305702218605E-2</v>
      </c>
      <c r="U39" s="19">
        <f>IF(CF_Gen_3[[#This Row],[Incurred]]&lt;=CF_Gen_3[[#This Row],[Valuation]],CF_Gen_3[[#This Row],[Expected_Premium]],-CF_Gen_3[[#This Row],[Probability_of_Inforce]]*CF_Gen_3[[#This Row],[Premium_Refund_Ratio]]*CF_Gen_3[[#This Row],[Cancellation_Ratio]]*SUM(K39:K$105))</f>
        <v>-102060675.00349951</v>
      </c>
      <c r="V3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Row],[Cancellation_Ratio]]*SUM(L39:L$105))</f>
        <v>14751716.837222077</v>
      </c>
      <c r="W39" s="19">
        <f>CF_Gen_3[[#This Row],[Expected_Acquisition]]</f>
        <v>0</v>
      </c>
      <c r="X39" s="19">
        <f>-CF_Gen_3[[#This Row],[Probability_of_Inforce]]*CF_Gen_3[[#This Row],[Earned_Premium]]*(1-CF_Gen_3[[#This Row],[Cancellation_Ratio]])*CF_Gen_3[[#This Row],[PME_Ratio]]+CF_Gen_3[[#This Row],[ULAE_Ratio]]*CF_Gen_3[[#This Row],[Exp_Claim]]</f>
        <v>-8230319.9051026376</v>
      </c>
      <c r="Y39" s="19">
        <f>-CF_Gen_3[[#This Row],[Probability_of_Inforce]]*CF_Gen_3[[#This Row],[Earned_Premium]]*(1-CF_Gen_3[[#This Row],[Cancellation_Ratio]])*CF_Gen_3[[#This Row],[Loss_Ratio]]</f>
        <v>-36990201.820686013</v>
      </c>
      <c r="Z39" s="19">
        <f>CF_Gen_3[[#This Row],[Exp_Claim]]*CF_Gen_3[[#This Row],[Risk_Adjustment_Ratio]]</f>
        <v>-5178628.2548960419</v>
      </c>
      <c r="AA39" s="19">
        <f>IF(CF_Gen_3[[#This Row],[Contract]]="RC",-CF_Gen_3[[#This Row],[NPR_Ratio]]*CF_Gen_3[[#This Row],[Exp_Claim]],0)</f>
        <v>0</v>
      </c>
      <c r="AB39" s="19">
        <f>SUMIFS(Actual_CF[Actual_Premium],Actual_CF[ICG],CF_Gen_3[[#This Row],[ICG]],Actual_CF[Incurred],CF_Gen_3[[#This Row],[Incurred]])</f>
        <v>0</v>
      </c>
      <c r="AC39" s="19">
        <f>SUMIFS(Actual_CF[Actual_Commission],Actual_CF[ICG],CF_Gen_3[[#This Row],[ICG]],Actual_CF[Incurred],CF_Gen_3[[#This Row],[Incurred]])</f>
        <v>0</v>
      </c>
      <c r="AD39" s="19">
        <f>SUMIFS(Actual_CF[Actual_Acquisition],Actual_CF[ICG],CF_Gen_3[[#This Row],[ICG]],Actual_CF[Incurred],CF_Gen_3[[#This Row],[Incurred]])</f>
        <v>0</v>
      </c>
    </row>
    <row r="40" spans="1:30">
      <c r="A40" t="str">
        <f t="shared" si="1"/>
        <v>#2025#IC-Property</v>
      </c>
      <c r="B40">
        <f>_xlfn.XLOOKUP(CF_Gen_3[[#This Row],[ICG]],ICG[ICG],ICG[Cohort])</f>
        <v>2025</v>
      </c>
      <c r="C40" t="str">
        <f>_xlfn.XLOOKUP(CF_Gen_3[[#This Row],[ICG]],ICG[ICG],ICG[Portfolio])</f>
        <v>IC-Property</v>
      </c>
      <c r="D40" t="str">
        <f>_xlfn.XLOOKUP(CF_Gen_3[[#This Row],[ICG]],ICG[ICG],ICG[Contract])</f>
        <v>IC</v>
      </c>
      <c r="E40" s="2">
        <f t="shared" si="0"/>
        <v>45930</v>
      </c>
      <c r="F40">
        <v>39</v>
      </c>
      <c r="G40" s="2">
        <f>EOMONTH(DATE(YEAR(CF_Gen_3[[#This Row],[Valuation]])-1,12,31),CF_Gen_3[[#This Row],['#Incurred]]*3)</f>
        <v>49217</v>
      </c>
      <c r="H40" s="14">
        <f>SUMIFS(Expected_CF[Expected_Premium],Expected_CF[ICG],CF_Gen_3[[#This Row],[ICG]],Expected_CF[Incurred],CF_Gen_3[[#This Row],[Incurred]])</f>
        <v>0</v>
      </c>
      <c r="I40" s="14">
        <f>SUMIFS(Expected_CF[Expected_Commission],Expected_CF[ICG],CF_Gen_3[[#This Row],[ICG]],Expected_CF[Incurred],CF_Gen_3[[#This Row],[Incurred]])</f>
        <v>0</v>
      </c>
      <c r="J40" s="14">
        <f>IF(CF_Gen_3[[#This Row],[Contract]]="IC",SUMIFS(Expected_CF[Expected_Acquisition],Expected_CF[ICG],CF_Gen_3[[#This Row],[ICG]],Expected_CF[Incurred],CF_Gen_3[[#This Row],[Incurred]]),0)</f>
        <v>0</v>
      </c>
      <c r="K40" s="14">
        <f>SUMIFS(Earned[Earned_Premium],Earned[ICG],CF_Gen_3[[#This Row],[ICG]],Earned[Incurred],CF_Gen_3[[#This Row],[Incurred]])</f>
        <v>1423821344.9653893</v>
      </c>
      <c r="L40" s="14">
        <f>SUMIFS(Earned[Earned_Commission],Earned[ICG],CF_Gen_3[[#This Row],[ICG]],Earned[Incurred],CF_Gen_3[[#This Row],[Incurred]])</f>
        <v>-205797279.97097743</v>
      </c>
      <c r="M40" s="18">
        <f>_xlfn.XLOOKUP(CF_Gen_3[[#This Row],[ICG]],Assumptions[ICG],Assumptions[Loss_Ratio])</f>
        <v>0.4</v>
      </c>
      <c r="N40" s="18">
        <f>_xlfn.XLOOKUP(CF_Gen_3[[#This Row],[ICG]],Assumptions[ICG],Assumptions[Risk_Adjustment_Ratio])</f>
        <v>0.14000000000000001</v>
      </c>
      <c r="O40" s="18">
        <f>_xlfn.XLOOKUP(CF_Gen_3[[#This Row],[ICG]],Assumptions[ICG],Assumptions[PME_Ratio])</f>
        <v>4.4999999999999998E-2</v>
      </c>
      <c r="P40" s="18">
        <f>_xlfn.XLOOKUP(CF_Gen_3[[#This Row],[ICG]],Assumptions[ICG],Assumptions[ULAE_Ratio])</f>
        <v>0.11</v>
      </c>
      <c r="Q40" s="18">
        <f>_xlfn.XLOOKUP(CF_Gen_3[[#This Row],[ICG]],Assumptions[ICG],Assumptions[Cancellation_Ratio])</f>
        <v>7.0000000000000007E-2</v>
      </c>
      <c r="R40" s="18">
        <f>_xlfn.XLOOKUP(CF_Gen_3[[#This Row],[ICG]],Assumptions[ICG],Assumptions[Premium_Refund_Ratio])</f>
        <v>0.5</v>
      </c>
      <c r="S40" s="18">
        <f>IF(CF_Gen_3[[#This Row],[Contract]]="RC",_xlfn.XLOOKUP(CF_Gen_3[[#This Row],[ICG]],Assumptions[ICG],Assumptions[NPR_Ratio]),0)</f>
        <v>0</v>
      </c>
      <c r="T40" s="17">
        <f>T39*(1-CF_Gen_3[[#This Row],[Cancellation_Ratio]])</f>
        <v>6.3438374303063302E-2</v>
      </c>
      <c r="U40" s="19">
        <f>IF(CF_Gen_3[[#This Row],[Incurred]]&lt;=CF_Gen_3[[#This Row],[Valuation]],CF_Gen_3[[#This Row],[Expected_Premium]],-CF_Gen_3[[#This Row],[Probability_of_Inforce]]*CF_Gen_3[[#This Row],[Premium_Refund_Ratio]]*CF_Gen_3[[#This Row],[Cancellation_Ratio]]*SUM(K40:K$105))</f>
        <v>-91679785.093944505</v>
      </c>
      <c r="V4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Row],[Cancellation_Ratio]]*SUM(L40:L$105))</f>
        <v>13251276.550511448</v>
      </c>
      <c r="W40" s="19">
        <f>CF_Gen_3[[#This Row],[Expected_Acquisition]]</f>
        <v>0</v>
      </c>
      <c r="X40" s="19">
        <f>-CF_Gen_3[[#This Row],[Probability_of_Inforce]]*CF_Gen_3[[#This Row],[Earned_Premium]]*(1-CF_Gen_3[[#This Row],[Cancellation_Ratio]])*CF_Gen_3[[#This Row],[PME_Ratio]]+CF_Gen_3[[#This Row],[ULAE_Ratio]]*CF_Gen_3[[#This Row],[Exp_Claim]]</f>
        <v>-7476192.918449047</v>
      </c>
      <c r="Y40" s="19">
        <f>-CF_Gen_3[[#This Row],[Probability_of_Inforce]]*CF_Gen_3[[#This Row],[Earned_Premium]]*(1-CF_Gen_3[[#This Row],[Cancellation_Ratio]])*CF_Gen_3[[#This Row],[Loss_Ratio]]</f>
        <v>-33600867.0492092</v>
      </c>
      <c r="Z40" s="19">
        <f>CF_Gen_3[[#This Row],[Exp_Claim]]*CF_Gen_3[[#This Row],[Risk_Adjustment_Ratio]]</f>
        <v>-4704121.3868892882</v>
      </c>
      <c r="AA40" s="19">
        <f>IF(CF_Gen_3[[#This Row],[Contract]]="RC",-CF_Gen_3[[#This Row],[NPR_Ratio]]*CF_Gen_3[[#This Row],[Exp_Claim]],0)</f>
        <v>0</v>
      </c>
      <c r="AB40" s="19">
        <f>SUMIFS(Actual_CF[Actual_Premium],Actual_CF[ICG],CF_Gen_3[[#This Row],[ICG]],Actual_CF[Incurred],CF_Gen_3[[#This Row],[Incurred]])</f>
        <v>0</v>
      </c>
      <c r="AC40" s="19">
        <f>SUMIFS(Actual_CF[Actual_Commission],Actual_CF[ICG],CF_Gen_3[[#This Row],[ICG]],Actual_CF[Incurred],CF_Gen_3[[#This Row],[Incurred]])</f>
        <v>0</v>
      </c>
      <c r="AD40" s="19">
        <f>SUMIFS(Actual_CF[Actual_Acquisition],Actual_CF[ICG],CF_Gen_3[[#This Row],[ICG]],Actual_CF[Incurred],CF_Gen_3[[#This Row],[Incurred]])</f>
        <v>0</v>
      </c>
    </row>
    <row r="41" spans="1:30">
      <c r="A41" t="str">
        <f t="shared" si="1"/>
        <v>#2025#IC-Property</v>
      </c>
      <c r="B41">
        <f>_xlfn.XLOOKUP(CF_Gen_3[[#This Row],[ICG]],ICG[ICG],ICG[Cohort])</f>
        <v>2025</v>
      </c>
      <c r="C41" t="str">
        <f>_xlfn.XLOOKUP(CF_Gen_3[[#This Row],[ICG]],ICG[ICG],ICG[Portfolio])</f>
        <v>IC-Property</v>
      </c>
      <c r="D41" t="str">
        <f>_xlfn.XLOOKUP(CF_Gen_3[[#This Row],[ICG]],ICG[ICG],ICG[Contract])</f>
        <v>IC</v>
      </c>
      <c r="E41" s="2">
        <f t="shared" si="0"/>
        <v>45930</v>
      </c>
      <c r="F41">
        <v>40</v>
      </c>
      <c r="G41" s="2">
        <f>EOMONTH(DATE(YEAR(CF_Gen_3[[#This Row],[Valuation]])-1,12,31),CF_Gen_3[[#This Row],['#Incurred]]*3)</f>
        <v>49309</v>
      </c>
      <c r="H41" s="14">
        <f>SUMIFS(Expected_CF[Expected_Premium],Expected_CF[ICG],CF_Gen_3[[#This Row],[ICG]],Expected_CF[Incurred],CF_Gen_3[[#This Row],[Incurred]])</f>
        <v>0</v>
      </c>
      <c r="I41" s="14">
        <f>SUMIFS(Expected_CF[Expected_Commission],Expected_CF[ICG],CF_Gen_3[[#This Row],[ICG]],Expected_CF[Incurred],CF_Gen_3[[#This Row],[Incurred]])</f>
        <v>0</v>
      </c>
      <c r="J41" s="14">
        <f>IF(CF_Gen_3[[#This Row],[Contract]]="IC",SUMIFS(Expected_CF[Expected_Acquisition],Expected_CF[ICG],CF_Gen_3[[#This Row],[ICG]],Expected_CF[Incurred],CF_Gen_3[[#This Row],[Incurred]]),0)</f>
        <v>0</v>
      </c>
      <c r="K41" s="14">
        <f>SUMIFS(Earned[Earned_Premium],Earned[ICG],CF_Gen_3[[#This Row],[ICG]],Earned[Incurred],CF_Gen_3[[#This Row],[Incurred]])</f>
        <v>1423821344.9653893</v>
      </c>
      <c r="L41" s="14">
        <f>SUMIFS(Earned[Earned_Commission],Earned[ICG],CF_Gen_3[[#This Row],[ICG]],Earned[Incurred],CF_Gen_3[[#This Row],[Incurred]])</f>
        <v>-205797279.97097743</v>
      </c>
      <c r="M41" s="18">
        <f>_xlfn.XLOOKUP(CF_Gen_3[[#This Row],[ICG]],Assumptions[ICG],Assumptions[Loss_Ratio])</f>
        <v>0.4</v>
      </c>
      <c r="N41" s="18">
        <f>_xlfn.XLOOKUP(CF_Gen_3[[#This Row],[ICG]],Assumptions[ICG],Assumptions[Risk_Adjustment_Ratio])</f>
        <v>0.14000000000000001</v>
      </c>
      <c r="O41" s="18">
        <f>_xlfn.XLOOKUP(CF_Gen_3[[#This Row],[ICG]],Assumptions[ICG],Assumptions[PME_Ratio])</f>
        <v>4.4999999999999998E-2</v>
      </c>
      <c r="P41" s="18">
        <f>_xlfn.XLOOKUP(CF_Gen_3[[#This Row],[ICG]],Assumptions[ICG],Assumptions[ULAE_Ratio])</f>
        <v>0.11</v>
      </c>
      <c r="Q41" s="18">
        <f>_xlfn.XLOOKUP(CF_Gen_3[[#This Row],[ICG]],Assumptions[ICG],Assumptions[Cancellation_Ratio])</f>
        <v>7.0000000000000007E-2</v>
      </c>
      <c r="R41" s="18">
        <f>_xlfn.XLOOKUP(CF_Gen_3[[#This Row],[ICG]],Assumptions[ICG],Assumptions[Premium_Refund_Ratio])</f>
        <v>0.5</v>
      </c>
      <c r="S41" s="18">
        <f>IF(CF_Gen_3[[#This Row],[Contract]]="RC",_xlfn.XLOOKUP(CF_Gen_3[[#This Row],[ICG]],Assumptions[ICG],Assumptions[NPR_Ratio]),0)</f>
        <v>0</v>
      </c>
      <c r="T41" s="17">
        <f>T40*(1-CF_Gen_3[[#This Row],[Cancellation_Ratio]])</f>
        <v>5.8997688101848869E-2</v>
      </c>
      <c r="U41" s="19">
        <f>IF(CF_Gen_3[[#This Row],[Incurred]]&lt;=CF_Gen_3[[#This Row],[Valuation]],CF_Gen_3[[#This Row],[Expected_Premium]],-CF_Gen_3[[#This Row],[Probability_of_Inforce]]*CF_Gen_3[[#This Row],[Premium_Refund_Ratio]]*CF_Gen_3[[#This Row],[Cancellation_Ratio]]*SUM(K41:K$105))</f>
        <v>-82322124.270562589</v>
      </c>
      <c r="V4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Row],[Cancellation_Ratio]]*SUM(L41:L$105))</f>
        <v>11898732.46121786</v>
      </c>
      <c r="W41" s="19">
        <f>CF_Gen_3[[#This Row],[Expected_Acquisition]]</f>
        <v>0</v>
      </c>
      <c r="X41" s="19">
        <f>-CF_Gen_3[[#This Row],[Probability_of_Inforce]]*CF_Gen_3[[#This Row],[Earned_Premium]]*(1-CF_Gen_3[[#This Row],[Cancellation_Ratio]])*CF_Gen_3[[#This Row],[PME_Ratio]]+CF_Gen_3[[#This Row],[ULAE_Ratio]]*CF_Gen_3[[#This Row],[Exp_Claim]]</f>
        <v>-6952859.4141576141</v>
      </c>
      <c r="Y41" s="19">
        <f>-CF_Gen_3[[#This Row],[Probability_of_Inforce]]*CF_Gen_3[[#This Row],[Earned_Premium]]*(1-CF_Gen_3[[#This Row],[Cancellation_Ratio]])*CF_Gen_3[[#This Row],[Loss_Ratio]]</f>
        <v>-31248806.355764557</v>
      </c>
      <c r="Z41" s="19">
        <f>CF_Gen_3[[#This Row],[Exp_Claim]]*CF_Gen_3[[#This Row],[Risk_Adjustment_Ratio]]</f>
        <v>-4374832.889807038</v>
      </c>
      <c r="AA41" s="19">
        <f>IF(CF_Gen_3[[#This Row],[Contract]]="RC",-CF_Gen_3[[#This Row],[NPR_Ratio]]*CF_Gen_3[[#This Row],[Exp_Claim]],0)</f>
        <v>0</v>
      </c>
      <c r="AB41" s="19">
        <f>SUMIFS(Actual_CF[Actual_Premium],Actual_CF[ICG],CF_Gen_3[[#This Row],[ICG]],Actual_CF[Incurred],CF_Gen_3[[#This Row],[Incurred]])</f>
        <v>0</v>
      </c>
      <c r="AC41" s="19">
        <f>SUMIFS(Actual_CF[Actual_Commission],Actual_CF[ICG],CF_Gen_3[[#This Row],[ICG]],Actual_CF[Incurred],CF_Gen_3[[#This Row],[Incurred]])</f>
        <v>0</v>
      </c>
      <c r="AD41" s="19">
        <f>SUMIFS(Actual_CF[Actual_Acquisition],Actual_CF[ICG],CF_Gen_3[[#This Row],[ICG]],Actual_CF[Incurred],CF_Gen_3[[#This Row],[Incurred]])</f>
        <v>0</v>
      </c>
    </row>
    <row r="42" spans="1:30">
      <c r="A42" t="str">
        <f t="shared" si="1"/>
        <v>#2025#IC-Property</v>
      </c>
      <c r="B42">
        <f>_xlfn.XLOOKUP(CF_Gen_3[[#This Row],[ICG]],ICG[ICG],ICG[Cohort])</f>
        <v>2025</v>
      </c>
      <c r="C42" t="str">
        <f>_xlfn.XLOOKUP(CF_Gen_3[[#This Row],[ICG]],ICG[ICG],ICG[Portfolio])</f>
        <v>IC-Property</v>
      </c>
      <c r="D42" t="str">
        <f>_xlfn.XLOOKUP(CF_Gen_3[[#This Row],[ICG]],ICG[ICG],ICG[Contract])</f>
        <v>IC</v>
      </c>
      <c r="E42" s="2">
        <f t="shared" si="0"/>
        <v>45930</v>
      </c>
      <c r="F42">
        <v>41</v>
      </c>
      <c r="G42" s="2">
        <f>EOMONTH(DATE(YEAR(CF_Gen_3[[#This Row],[Valuation]])-1,12,31),CF_Gen_3[[#This Row],['#Incurred]]*3)</f>
        <v>49399</v>
      </c>
      <c r="H42" s="14">
        <f>SUMIFS(Expected_CF[Expected_Premium],Expected_CF[ICG],CF_Gen_3[[#This Row],[ICG]],Expected_CF[Incurred],CF_Gen_3[[#This Row],[Incurred]])</f>
        <v>0</v>
      </c>
      <c r="I42" s="14">
        <f>SUMIFS(Expected_CF[Expected_Commission],Expected_CF[ICG],CF_Gen_3[[#This Row],[ICG]],Expected_CF[Incurred],CF_Gen_3[[#This Row],[Incurred]])</f>
        <v>0</v>
      </c>
      <c r="J42" s="14">
        <f>IF(CF_Gen_3[[#This Row],[Contract]]="IC",SUMIFS(Expected_CF[Expected_Acquisition],Expected_CF[ICG],CF_Gen_3[[#This Row],[ICG]],Expected_CF[Incurred],CF_Gen_3[[#This Row],[Incurred]]),0)</f>
        <v>0</v>
      </c>
      <c r="K42" s="14">
        <f>SUMIFS(Earned[Earned_Premium],Earned[ICG],CF_Gen_3[[#This Row],[ICG]],Earned[Incurred],CF_Gen_3[[#This Row],[Incurred]])</f>
        <v>1389920836.7519279</v>
      </c>
      <c r="L42" s="14">
        <f>SUMIFS(Earned[Earned_Commission],Earned[ICG],CF_Gen_3[[#This Row],[ICG]],Earned[Incurred],CF_Gen_3[[#This Row],[Incurred]])</f>
        <v>-200897344.73357323</v>
      </c>
      <c r="M42" s="18">
        <f>_xlfn.XLOOKUP(CF_Gen_3[[#This Row],[ICG]],Assumptions[ICG],Assumptions[Loss_Ratio])</f>
        <v>0.4</v>
      </c>
      <c r="N42" s="18">
        <f>_xlfn.XLOOKUP(CF_Gen_3[[#This Row],[ICG]],Assumptions[ICG],Assumptions[Risk_Adjustment_Ratio])</f>
        <v>0.14000000000000001</v>
      </c>
      <c r="O42" s="18">
        <f>_xlfn.XLOOKUP(CF_Gen_3[[#This Row],[ICG]],Assumptions[ICG],Assumptions[PME_Ratio])</f>
        <v>4.4999999999999998E-2</v>
      </c>
      <c r="P42" s="18">
        <f>_xlfn.XLOOKUP(CF_Gen_3[[#This Row],[ICG]],Assumptions[ICG],Assumptions[ULAE_Ratio])</f>
        <v>0.11</v>
      </c>
      <c r="Q42" s="18">
        <f>_xlfn.XLOOKUP(CF_Gen_3[[#This Row],[ICG]],Assumptions[ICG],Assumptions[Cancellation_Ratio])</f>
        <v>7.0000000000000007E-2</v>
      </c>
      <c r="R42" s="18">
        <f>_xlfn.XLOOKUP(CF_Gen_3[[#This Row],[ICG]],Assumptions[ICG],Assumptions[Premium_Refund_Ratio])</f>
        <v>0.5</v>
      </c>
      <c r="S42" s="18">
        <f>IF(CF_Gen_3[[#This Row],[Contract]]="RC",_xlfn.XLOOKUP(CF_Gen_3[[#This Row],[ICG]],Assumptions[ICG],Assumptions[NPR_Ratio]),0)</f>
        <v>0</v>
      </c>
      <c r="T42" s="17">
        <f>T41*(1-CF_Gen_3[[#This Row],[Cancellation_Ratio]])</f>
        <v>5.4867849934719444E-2</v>
      </c>
      <c r="U42" s="19">
        <f>IF(CF_Gen_3[[#This Row],[Incurred]]&lt;=CF_Gen_3[[#This Row],[Valuation]],CF_Gen_3[[#This Row],[Expected_Premium]],-CF_Gen_3[[#This Row],[Probability_of_Inforce]]*CF_Gen_3[[#This Row],[Premium_Refund_Ratio]]*CF_Gen_3[[#This Row],[Cancellation_Ratio]]*SUM(K42:K$105))</f>
        <v>-73825305.01549378</v>
      </c>
      <c r="V4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Row],[Cancellation_Ratio]]*SUM(L42:L$105))</f>
        <v>10670613.289327875</v>
      </c>
      <c r="W42" s="19">
        <f>CF_Gen_3[[#This Row],[Expected_Acquisition]]</f>
        <v>0</v>
      </c>
      <c r="X42" s="19">
        <f>-CF_Gen_3[[#This Row],[Probability_of_Inforce]]*CF_Gen_3[[#This Row],[Earned_Premium]]*(1-CF_Gen_3[[#This Row],[Cancellation_Ratio]])*CF_Gen_3[[#This Row],[PME_Ratio]]+CF_Gen_3[[#This Row],[ULAE_Ratio]]*CF_Gen_3[[#This Row],[Exp_Claim]]</f>
        <v>-6312203.0824245196</v>
      </c>
      <c r="Y42" s="19">
        <f>-CF_Gen_3[[#This Row],[Probability_of_Inforce]]*CF_Gen_3[[#This Row],[Earned_Premium]]*(1-CF_Gen_3[[#This Row],[Cancellation_Ratio]])*CF_Gen_3[[#This Row],[Loss_Ratio]]</f>
        <v>-28369452.055840537</v>
      </c>
      <c r="Z42" s="19">
        <f>CF_Gen_3[[#This Row],[Exp_Claim]]*CF_Gen_3[[#This Row],[Risk_Adjustment_Ratio]]</f>
        <v>-3971723.2878176756</v>
      </c>
      <c r="AA42" s="19">
        <f>IF(CF_Gen_3[[#This Row],[Contract]]="RC",-CF_Gen_3[[#This Row],[NPR_Ratio]]*CF_Gen_3[[#This Row],[Exp_Claim]],0)</f>
        <v>0</v>
      </c>
      <c r="AB42" s="19">
        <f>SUMIFS(Actual_CF[Actual_Premium],Actual_CF[ICG],CF_Gen_3[[#This Row],[ICG]],Actual_CF[Incurred],CF_Gen_3[[#This Row],[Incurred]])</f>
        <v>0</v>
      </c>
      <c r="AC42" s="19">
        <f>SUMIFS(Actual_CF[Actual_Commission],Actual_CF[ICG],CF_Gen_3[[#This Row],[ICG]],Actual_CF[Incurred],CF_Gen_3[[#This Row],[Incurred]])</f>
        <v>0</v>
      </c>
      <c r="AD42" s="19">
        <f>SUMIFS(Actual_CF[Actual_Acquisition],Actual_CF[ICG],CF_Gen_3[[#This Row],[ICG]],Actual_CF[Incurred],CF_Gen_3[[#This Row],[Incurred]])</f>
        <v>0</v>
      </c>
    </row>
    <row r="43" spans="1:30">
      <c r="A43" t="str">
        <f t="shared" si="1"/>
        <v>#2025#IC-Property</v>
      </c>
      <c r="B43">
        <f>_xlfn.XLOOKUP(CF_Gen_3[[#This Row],[ICG]],ICG[ICG],ICG[Cohort])</f>
        <v>2025</v>
      </c>
      <c r="C43" t="str">
        <f>_xlfn.XLOOKUP(CF_Gen_3[[#This Row],[ICG]],ICG[ICG],ICG[Portfolio])</f>
        <v>IC-Property</v>
      </c>
      <c r="D43" t="str">
        <f>_xlfn.XLOOKUP(CF_Gen_3[[#This Row],[ICG]],ICG[ICG],ICG[Contract])</f>
        <v>IC</v>
      </c>
      <c r="E43" s="2">
        <f t="shared" si="0"/>
        <v>45930</v>
      </c>
      <c r="F43">
        <v>42</v>
      </c>
      <c r="G43" s="2">
        <f>EOMONTH(DATE(YEAR(CF_Gen_3[[#This Row],[Valuation]])-1,12,31),CF_Gen_3[[#This Row],['#Incurred]]*3)</f>
        <v>49490</v>
      </c>
      <c r="H43" s="14">
        <f>SUMIFS(Expected_CF[Expected_Premium],Expected_CF[ICG],CF_Gen_3[[#This Row],[ICG]],Expected_CF[Incurred],CF_Gen_3[[#This Row],[Incurred]])</f>
        <v>0</v>
      </c>
      <c r="I43" s="14">
        <f>SUMIFS(Expected_CF[Expected_Commission],Expected_CF[ICG],CF_Gen_3[[#This Row],[ICG]],Expected_CF[Incurred],CF_Gen_3[[#This Row],[Incurred]])</f>
        <v>0</v>
      </c>
      <c r="J43" s="14">
        <f>IF(CF_Gen_3[[#This Row],[Contract]]="IC",SUMIFS(Expected_CF[Expected_Acquisition],Expected_CF[ICG],CF_Gen_3[[#This Row],[ICG]],Expected_CF[Incurred],CF_Gen_3[[#This Row],[Incurred]]),0)</f>
        <v>0</v>
      </c>
      <c r="K43" s="14">
        <f>SUMIFS(Earned[Earned_Premium],Earned[ICG],CF_Gen_3[[#This Row],[ICG]],Earned[Incurred],CF_Gen_3[[#This Row],[Incurred]])</f>
        <v>1356020328.5384662</v>
      </c>
      <c r="L43" s="14">
        <f>SUMIFS(Earned[Earned_Commission],Earned[ICG],CF_Gen_3[[#This Row],[ICG]],Earned[Incurred],CF_Gen_3[[#This Row],[Incurred]])</f>
        <v>-195997409.49616897</v>
      </c>
      <c r="M43" s="18">
        <f>_xlfn.XLOOKUP(CF_Gen_3[[#This Row],[ICG]],Assumptions[ICG],Assumptions[Loss_Ratio])</f>
        <v>0.4</v>
      </c>
      <c r="N43" s="18">
        <f>_xlfn.XLOOKUP(CF_Gen_3[[#This Row],[ICG]],Assumptions[ICG],Assumptions[Risk_Adjustment_Ratio])</f>
        <v>0.14000000000000001</v>
      </c>
      <c r="O43" s="18">
        <f>_xlfn.XLOOKUP(CF_Gen_3[[#This Row],[ICG]],Assumptions[ICG],Assumptions[PME_Ratio])</f>
        <v>4.4999999999999998E-2</v>
      </c>
      <c r="P43" s="18">
        <f>_xlfn.XLOOKUP(CF_Gen_3[[#This Row],[ICG]],Assumptions[ICG],Assumptions[ULAE_Ratio])</f>
        <v>0.11</v>
      </c>
      <c r="Q43" s="18">
        <f>_xlfn.XLOOKUP(CF_Gen_3[[#This Row],[ICG]],Assumptions[ICG],Assumptions[Cancellation_Ratio])</f>
        <v>7.0000000000000007E-2</v>
      </c>
      <c r="R43" s="18">
        <f>_xlfn.XLOOKUP(CF_Gen_3[[#This Row],[ICG]],Assumptions[ICG],Assumptions[Premium_Refund_Ratio])</f>
        <v>0.5</v>
      </c>
      <c r="S43" s="18">
        <f>IF(CF_Gen_3[[#This Row],[Contract]]="RC",_xlfn.XLOOKUP(CF_Gen_3[[#This Row],[ICG]],Assumptions[ICG],Assumptions[NPR_Ratio]),0)</f>
        <v>0</v>
      </c>
      <c r="T43" s="17">
        <f>T42*(1-CF_Gen_3[[#This Row],[Cancellation_Ratio]])</f>
        <v>5.1027100439289076E-2</v>
      </c>
      <c r="U43" s="19">
        <f>IF(CF_Gen_3[[#This Row],[Incurred]]&lt;=CF_Gen_3[[#This Row],[Valuation]],CF_Gen_3[[#This Row],[Expected_Premium]],-CF_Gen_3[[#This Row],[Probability_of_Inforce]]*CF_Gen_3[[#This Row],[Premium_Refund_Ratio]]*CF_Gen_3[[#This Row],[Cancellation_Ratio]]*SUM(K43:K$105))</f>
        <v>-66175206.609523177</v>
      </c>
      <c r="V4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Row],[Cancellation_Ratio]]*SUM(L43:L$105))</f>
        <v>9564878.0445051957</v>
      </c>
      <c r="W43" s="19">
        <f>CF_Gen_3[[#This Row],[Expected_Acquisition]]</f>
        <v>0</v>
      </c>
      <c r="X43" s="19">
        <f>-CF_Gen_3[[#This Row],[Probability_of_Inforce]]*CF_Gen_3[[#This Row],[Earned_Premium]]*(1-CF_Gen_3[[#This Row],[Cancellation_Ratio]])*CF_Gen_3[[#This Row],[PME_Ratio]]+CF_Gen_3[[#This Row],[ULAE_Ratio]]*CF_Gen_3[[#This Row],[Exp_Claim]]</f>
        <v>-5727169.6260046847</v>
      </c>
      <c r="Y43" s="19">
        <f>-CF_Gen_3[[#This Row],[Probability_of_Inforce]]*CF_Gen_3[[#This Row],[Earned_Premium]]*(1-CF_Gen_3[[#This Row],[Cancellation_Ratio]])*CF_Gen_3[[#This Row],[Loss_Ratio]]</f>
        <v>-25740088.20676263</v>
      </c>
      <c r="Z43" s="19">
        <f>CF_Gen_3[[#This Row],[Exp_Claim]]*CF_Gen_3[[#This Row],[Risk_Adjustment_Ratio]]</f>
        <v>-3603612.3489467688</v>
      </c>
      <c r="AA43" s="19">
        <f>IF(CF_Gen_3[[#This Row],[Contract]]="RC",-CF_Gen_3[[#This Row],[NPR_Ratio]]*CF_Gen_3[[#This Row],[Exp_Claim]],0)</f>
        <v>0</v>
      </c>
      <c r="AB43" s="19">
        <f>SUMIFS(Actual_CF[Actual_Premium],Actual_CF[ICG],CF_Gen_3[[#This Row],[ICG]],Actual_CF[Incurred],CF_Gen_3[[#This Row],[Incurred]])</f>
        <v>0</v>
      </c>
      <c r="AC43" s="19">
        <f>SUMIFS(Actual_CF[Actual_Commission],Actual_CF[ICG],CF_Gen_3[[#This Row],[ICG]],Actual_CF[Incurred],CF_Gen_3[[#This Row],[Incurred]])</f>
        <v>0</v>
      </c>
      <c r="AD43" s="19">
        <f>SUMIFS(Actual_CF[Actual_Acquisition],Actual_CF[ICG],CF_Gen_3[[#This Row],[ICG]],Actual_CF[Incurred],CF_Gen_3[[#This Row],[Incurred]])</f>
        <v>0</v>
      </c>
    </row>
    <row r="44" spans="1:30">
      <c r="A44" t="str">
        <f t="shared" si="1"/>
        <v>#2025#IC-Property</v>
      </c>
      <c r="B44">
        <f>_xlfn.XLOOKUP(CF_Gen_3[[#This Row],[ICG]],ICG[ICG],ICG[Cohort])</f>
        <v>2025</v>
      </c>
      <c r="C44" t="str">
        <f>_xlfn.XLOOKUP(CF_Gen_3[[#This Row],[ICG]],ICG[ICG],ICG[Portfolio])</f>
        <v>IC-Property</v>
      </c>
      <c r="D44" t="str">
        <f>_xlfn.XLOOKUP(CF_Gen_3[[#This Row],[ICG]],ICG[ICG],ICG[Contract])</f>
        <v>IC</v>
      </c>
      <c r="E44" s="2">
        <f t="shared" si="0"/>
        <v>45930</v>
      </c>
      <c r="F44">
        <v>43</v>
      </c>
      <c r="G44" s="2">
        <f>EOMONTH(DATE(YEAR(CF_Gen_3[[#This Row],[Valuation]])-1,12,31),CF_Gen_3[[#This Row],['#Incurred]]*3)</f>
        <v>49582</v>
      </c>
      <c r="H44" s="14">
        <f>SUMIFS(Expected_CF[Expected_Premium],Expected_CF[ICG],CF_Gen_3[[#This Row],[ICG]],Expected_CF[Incurred],CF_Gen_3[[#This Row],[Incurred]])</f>
        <v>0</v>
      </c>
      <c r="I44" s="14">
        <f>SUMIFS(Expected_CF[Expected_Commission],Expected_CF[ICG],CF_Gen_3[[#This Row],[ICG]],Expected_CF[Incurred],CF_Gen_3[[#This Row],[Incurred]])</f>
        <v>0</v>
      </c>
      <c r="J44" s="14">
        <f>IF(CF_Gen_3[[#This Row],[Contract]]="IC",SUMIFS(Expected_CF[Expected_Acquisition],Expected_CF[ICG],CF_Gen_3[[#This Row],[ICG]],Expected_CF[Incurred],CF_Gen_3[[#This Row],[Incurred]]),0)</f>
        <v>0</v>
      </c>
      <c r="K44" s="14">
        <f>SUMIFS(Earned[Earned_Premium],Earned[ICG],CF_Gen_3[[#This Row],[ICG]],Earned[Incurred],CF_Gen_3[[#This Row],[Incurred]])</f>
        <v>1322119820.3250043</v>
      </c>
      <c r="L44" s="14">
        <f>SUMIFS(Earned[Earned_Commission],Earned[ICG],CF_Gen_3[[#This Row],[ICG]],Earned[Incurred],CF_Gen_3[[#This Row],[Incurred]])</f>
        <v>-191097474.25876474</v>
      </c>
      <c r="M44" s="18">
        <f>_xlfn.XLOOKUP(CF_Gen_3[[#This Row],[ICG]],Assumptions[ICG],Assumptions[Loss_Ratio])</f>
        <v>0.4</v>
      </c>
      <c r="N44" s="18">
        <f>_xlfn.XLOOKUP(CF_Gen_3[[#This Row],[ICG]],Assumptions[ICG],Assumptions[Risk_Adjustment_Ratio])</f>
        <v>0.14000000000000001</v>
      </c>
      <c r="O44" s="18">
        <f>_xlfn.XLOOKUP(CF_Gen_3[[#This Row],[ICG]],Assumptions[ICG],Assumptions[PME_Ratio])</f>
        <v>4.4999999999999998E-2</v>
      </c>
      <c r="P44" s="18">
        <f>_xlfn.XLOOKUP(CF_Gen_3[[#This Row],[ICG]],Assumptions[ICG],Assumptions[ULAE_Ratio])</f>
        <v>0.11</v>
      </c>
      <c r="Q44" s="18">
        <f>_xlfn.XLOOKUP(CF_Gen_3[[#This Row],[ICG]],Assumptions[ICG],Assumptions[Cancellation_Ratio])</f>
        <v>7.0000000000000007E-2</v>
      </c>
      <c r="R44" s="18">
        <f>_xlfn.XLOOKUP(CF_Gen_3[[#This Row],[ICG]],Assumptions[ICG],Assumptions[Premium_Refund_Ratio])</f>
        <v>0.5</v>
      </c>
      <c r="S44" s="18">
        <f>IF(CF_Gen_3[[#This Row],[Contract]]="RC",_xlfn.XLOOKUP(CF_Gen_3[[#This Row],[ICG]],Assumptions[ICG],Assumptions[NPR_Ratio]),0)</f>
        <v>0</v>
      </c>
      <c r="T44" s="17">
        <f>T43*(1-CF_Gen_3[[#This Row],[Cancellation_Ratio]])</f>
        <v>4.7455203408538836E-2</v>
      </c>
      <c r="U44" s="19">
        <f>IF(CF_Gen_3[[#This Row],[Incurred]]&lt;=CF_Gen_3[[#This Row],[Valuation]],CF_Gen_3[[#This Row],[Expected_Premium]],-CF_Gen_3[[#This Row],[Probability_of_Inforce]]*CF_Gen_3[[#This Row],[Premium_Refund_Ratio]]*CF_Gen_3[[#This Row],[Cancellation_Ratio]]*SUM(K44:K$105))</f>
        <v>-59290684.428764813</v>
      </c>
      <c r="V4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Row],[Cancellation_Ratio]]*SUM(L44:L$105))</f>
        <v>8569798.188658271</v>
      </c>
      <c r="W44" s="19">
        <f>CF_Gen_3[[#This Row],[Expected_Acquisition]]</f>
        <v>0</v>
      </c>
      <c r="X44" s="19">
        <f>-CF_Gen_3[[#This Row],[Probability_of_Inforce]]*CF_Gen_3[[#This Row],[Earned_Premium]]*(1-CF_Gen_3[[#This Row],[Cancellation_Ratio]])*CF_Gen_3[[#This Row],[PME_Ratio]]+CF_Gen_3[[#This Row],[ULAE_Ratio]]*CF_Gen_3[[#This Row],[Exp_Claim]]</f>
        <v>-5193111.058379747</v>
      </c>
      <c r="Y44" s="19">
        <f>-CF_Gen_3[[#This Row],[Probability_of_Inforce]]*CF_Gen_3[[#This Row],[Earned_Premium]]*(1-CF_Gen_3[[#This Row],[Cancellation_Ratio]])*CF_Gen_3[[#This Row],[Loss_Ratio]]</f>
        <v>-23339824.98148201</v>
      </c>
      <c r="Z44" s="19">
        <f>CF_Gen_3[[#This Row],[Exp_Claim]]*CF_Gen_3[[#This Row],[Risk_Adjustment_Ratio]]</f>
        <v>-3267575.4974074815</v>
      </c>
      <c r="AA44" s="19">
        <f>IF(CF_Gen_3[[#This Row],[Contract]]="RC",-CF_Gen_3[[#This Row],[NPR_Ratio]]*CF_Gen_3[[#This Row],[Exp_Claim]],0)</f>
        <v>0</v>
      </c>
      <c r="AB44" s="19">
        <f>SUMIFS(Actual_CF[Actual_Premium],Actual_CF[ICG],CF_Gen_3[[#This Row],[ICG]],Actual_CF[Incurred],CF_Gen_3[[#This Row],[Incurred]])</f>
        <v>0</v>
      </c>
      <c r="AC44" s="19">
        <f>SUMIFS(Actual_CF[Actual_Commission],Actual_CF[ICG],CF_Gen_3[[#This Row],[ICG]],Actual_CF[Incurred],CF_Gen_3[[#This Row],[Incurred]])</f>
        <v>0</v>
      </c>
      <c r="AD44" s="19">
        <f>SUMIFS(Actual_CF[Actual_Acquisition],Actual_CF[ICG],CF_Gen_3[[#This Row],[ICG]],Actual_CF[Incurred],CF_Gen_3[[#This Row],[Incurred]])</f>
        <v>0</v>
      </c>
    </row>
    <row r="45" spans="1:30">
      <c r="A45" t="str">
        <f t="shared" si="1"/>
        <v>#2025#IC-Property</v>
      </c>
      <c r="B45">
        <f>_xlfn.XLOOKUP(CF_Gen_3[[#This Row],[ICG]],ICG[ICG],ICG[Cohort])</f>
        <v>2025</v>
      </c>
      <c r="C45" t="str">
        <f>_xlfn.XLOOKUP(CF_Gen_3[[#This Row],[ICG]],ICG[ICG],ICG[Portfolio])</f>
        <v>IC-Property</v>
      </c>
      <c r="D45" t="str">
        <f>_xlfn.XLOOKUP(CF_Gen_3[[#This Row],[ICG]],ICG[ICG],ICG[Contract])</f>
        <v>IC</v>
      </c>
      <c r="E45" s="2">
        <f t="shared" si="0"/>
        <v>45930</v>
      </c>
      <c r="F45">
        <v>44</v>
      </c>
      <c r="G45" s="2">
        <f>EOMONTH(DATE(YEAR(CF_Gen_3[[#This Row],[Valuation]])-1,12,31),CF_Gen_3[[#This Row],['#Incurred]]*3)</f>
        <v>49674</v>
      </c>
      <c r="H45" s="14">
        <f>SUMIFS(Expected_CF[Expected_Premium],Expected_CF[ICG],CF_Gen_3[[#This Row],[ICG]],Expected_CF[Incurred],CF_Gen_3[[#This Row],[Incurred]])</f>
        <v>0</v>
      </c>
      <c r="I45" s="14">
        <f>SUMIFS(Expected_CF[Expected_Commission],Expected_CF[ICG],CF_Gen_3[[#This Row],[ICG]],Expected_CF[Incurred],CF_Gen_3[[#This Row],[Incurred]])</f>
        <v>0</v>
      </c>
      <c r="J45" s="14">
        <f>IF(CF_Gen_3[[#This Row],[Contract]]="IC",SUMIFS(Expected_CF[Expected_Acquisition],Expected_CF[ICG],CF_Gen_3[[#This Row],[ICG]],Expected_CF[Incurred],CF_Gen_3[[#This Row],[Incurred]]),0)</f>
        <v>0</v>
      </c>
      <c r="K45" s="14">
        <f>SUMIFS(Earned[Earned_Premium],Earned[ICG],CF_Gen_3[[#This Row],[ICG]],Earned[Incurred],CF_Gen_3[[#This Row],[Incurred]])</f>
        <v>1322119820.3250043</v>
      </c>
      <c r="L45" s="14">
        <f>SUMIFS(Earned[Earned_Commission],Earned[ICG],CF_Gen_3[[#This Row],[ICG]],Earned[Incurred],CF_Gen_3[[#This Row],[Incurred]])</f>
        <v>-191097474.25876474</v>
      </c>
      <c r="M45" s="18">
        <f>_xlfn.XLOOKUP(CF_Gen_3[[#This Row],[ICG]],Assumptions[ICG],Assumptions[Loss_Ratio])</f>
        <v>0.4</v>
      </c>
      <c r="N45" s="18">
        <f>_xlfn.XLOOKUP(CF_Gen_3[[#This Row],[ICG]],Assumptions[ICG],Assumptions[Risk_Adjustment_Ratio])</f>
        <v>0.14000000000000001</v>
      </c>
      <c r="O45" s="18">
        <f>_xlfn.XLOOKUP(CF_Gen_3[[#This Row],[ICG]],Assumptions[ICG],Assumptions[PME_Ratio])</f>
        <v>4.4999999999999998E-2</v>
      </c>
      <c r="P45" s="18">
        <f>_xlfn.XLOOKUP(CF_Gen_3[[#This Row],[ICG]],Assumptions[ICG],Assumptions[ULAE_Ratio])</f>
        <v>0.11</v>
      </c>
      <c r="Q45" s="18">
        <f>_xlfn.XLOOKUP(CF_Gen_3[[#This Row],[ICG]],Assumptions[ICG],Assumptions[Cancellation_Ratio])</f>
        <v>7.0000000000000007E-2</v>
      </c>
      <c r="R45" s="18">
        <f>_xlfn.XLOOKUP(CF_Gen_3[[#This Row],[ICG]],Assumptions[ICG],Assumptions[Premium_Refund_Ratio])</f>
        <v>0.5</v>
      </c>
      <c r="S45" s="18">
        <f>IF(CF_Gen_3[[#This Row],[Contract]]="RC",_xlfn.XLOOKUP(CF_Gen_3[[#This Row],[ICG]],Assumptions[ICG],Assumptions[NPR_Ratio]),0)</f>
        <v>0</v>
      </c>
      <c r="T45" s="17">
        <f>T44*(1-CF_Gen_3[[#This Row],[Cancellation_Ratio]])</f>
        <v>4.4133339169941117E-2</v>
      </c>
      <c r="U45" s="19">
        <f>IF(CF_Gen_3[[#This Row],[Incurred]]&lt;=CF_Gen_3[[#This Row],[Valuation]],CF_Gen_3[[#This Row],[Expected_Premium]],-CF_Gen_3[[#This Row],[Probability_of_Inforce]]*CF_Gen_3[[#This Row],[Premium_Refund_Ratio]]*CF_Gen_3[[#This Row],[Cancellation_Ratio]]*SUM(K45:K$105))</f>
        <v>-53098101.832871579</v>
      </c>
      <c r="V4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Row],[Cancellation_Ratio]]*SUM(L45:L$105))</f>
        <v>7674730.3778428519</v>
      </c>
      <c r="W45" s="19">
        <f>CF_Gen_3[[#This Row],[Expected_Acquisition]]</f>
        <v>0</v>
      </c>
      <c r="X45" s="19">
        <f>-CF_Gen_3[[#This Row],[Probability_of_Inforce]]*CF_Gen_3[[#This Row],[Earned_Premium]]*(1-CF_Gen_3[[#This Row],[Cancellation_Ratio]])*CF_Gen_3[[#This Row],[PME_Ratio]]+CF_Gen_3[[#This Row],[ULAE_Ratio]]*CF_Gen_3[[#This Row],[Exp_Claim]]</f>
        <v>-4829593.2842931645</v>
      </c>
      <c r="Y45" s="19">
        <f>-CF_Gen_3[[#This Row],[Probability_of_Inforce]]*CF_Gen_3[[#This Row],[Earned_Premium]]*(1-CF_Gen_3[[#This Row],[Cancellation_Ratio]])*CF_Gen_3[[#This Row],[Loss_Ratio]]</f>
        <v>-21706037.23277827</v>
      </c>
      <c r="Z45" s="19">
        <f>CF_Gen_3[[#This Row],[Exp_Claim]]*CF_Gen_3[[#This Row],[Risk_Adjustment_Ratio]]</f>
        <v>-3038845.212588958</v>
      </c>
      <c r="AA45" s="19">
        <f>IF(CF_Gen_3[[#This Row],[Contract]]="RC",-CF_Gen_3[[#This Row],[NPR_Ratio]]*CF_Gen_3[[#This Row],[Exp_Claim]],0)</f>
        <v>0</v>
      </c>
      <c r="AB45" s="19">
        <f>SUMIFS(Actual_CF[Actual_Premium],Actual_CF[ICG],CF_Gen_3[[#This Row],[ICG]],Actual_CF[Incurred],CF_Gen_3[[#This Row],[Incurred]])</f>
        <v>0</v>
      </c>
      <c r="AC45" s="19">
        <f>SUMIFS(Actual_CF[Actual_Commission],Actual_CF[ICG],CF_Gen_3[[#This Row],[ICG]],Actual_CF[Incurred],CF_Gen_3[[#This Row],[Incurred]])</f>
        <v>0</v>
      </c>
      <c r="AD45" s="19">
        <f>SUMIFS(Actual_CF[Actual_Acquisition],Actual_CF[ICG],CF_Gen_3[[#This Row],[ICG]],Actual_CF[Incurred],CF_Gen_3[[#This Row],[Incurred]])</f>
        <v>0</v>
      </c>
    </row>
    <row r="46" spans="1:30">
      <c r="A46" t="str">
        <f t="shared" si="1"/>
        <v>#2025#IC-Property</v>
      </c>
      <c r="B46">
        <f>_xlfn.XLOOKUP(CF_Gen_3[[#This Row],[ICG]],ICG[ICG],ICG[Cohort])</f>
        <v>2025</v>
      </c>
      <c r="C46" t="str">
        <f>_xlfn.XLOOKUP(CF_Gen_3[[#This Row],[ICG]],ICG[ICG],ICG[Portfolio])</f>
        <v>IC-Property</v>
      </c>
      <c r="D46" t="str">
        <f>_xlfn.XLOOKUP(CF_Gen_3[[#This Row],[ICG]],ICG[ICG],ICG[Contract])</f>
        <v>IC</v>
      </c>
      <c r="E46" s="2">
        <f t="shared" si="0"/>
        <v>45930</v>
      </c>
      <c r="F46">
        <v>45</v>
      </c>
      <c r="G46" s="2">
        <f>EOMONTH(DATE(YEAR(CF_Gen_3[[#This Row],[Valuation]])-1,12,31),CF_Gen_3[[#This Row],['#Incurred]]*3)</f>
        <v>49765</v>
      </c>
      <c r="H46" s="14">
        <f>SUMIFS(Expected_CF[Expected_Premium],Expected_CF[ICG],CF_Gen_3[[#This Row],[ICG]],Expected_CF[Incurred],CF_Gen_3[[#This Row],[Incurred]])</f>
        <v>0</v>
      </c>
      <c r="I46" s="14">
        <f>SUMIFS(Expected_CF[Expected_Commission],Expected_CF[ICG],CF_Gen_3[[#This Row],[ICG]],Expected_CF[Incurred],CF_Gen_3[[#This Row],[Incurred]])</f>
        <v>0</v>
      </c>
      <c r="J46" s="14">
        <f>IF(CF_Gen_3[[#This Row],[Contract]]="IC",SUMIFS(Expected_CF[Expected_Acquisition],Expected_CF[ICG],CF_Gen_3[[#This Row],[ICG]],Expected_CF[Incurred],CF_Gen_3[[#This Row],[Incurred]]),0)</f>
        <v>0</v>
      </c>
      <c r="K46" s="14">
        <f>SUMIFS(Earned[Earned_Premium],Earned[ICG],CF_Gen_3[[#This Row],[ICG]],Earned[Incurred],CF_Gen_3[[#This Row],[Incurred]])</f>
        <v>1288219312.1115429</v>
      </c>
      <c r="L46" s="14">
        <f>SUMIFS(Earned[Earned_Commission],Earned[ICG],CF_Gen_3[[#This Row],[ICG]],Earned[Incurred],CF_Gen_3[[#This Row],[Incurred]])</f>
        <v>-186197539.02136055</v>
      </c>
      <c r="M46" s="18">
        <f>_xlfn.XLOOKUP(CF_Gen_3[[#This Row],[ICG]],Assumptions[ICG],Assumptions[Loss_Ratio])</f>
        <v>0.4</v>
      </c>
      <c r="N46" s="18">
        <f>_xlfn.XLOOKUP(CF_Gen_3[[#This Row],[ICG]],Assumptions[ICG],Assumptions[Risk_Adjustment_Ratio])</f>
        <v>0.14000000000000001</v>
      </c>
      <c r="O46" s="18">
        <f>_xlfn.XLOOKUP(CF_Gen_3[[#This Row],[ICG]],Assumptions[ICG],Assumptions[PME_Ratio])</f>
        <v>4.4999999999999998E-2</v>
      </c>
      <c r="P46" s="18">
        <f>_xlfn.XLOOKUP(CF_Gen_3[[#This Row],[ICG]],Assumptions[ICG],Assumptions[ULAE_Ratio])</f>
        <v>0.11</v>
      </c>
      <c r="Q46" s="18">
        <f>_xlfn.XLOOKUP(CF_Gen_3[[#This Row],[ICG]],Assumptions[ICG],Assumptions[Cancellation_Ratio])</f>
        <v>7.0000000000000007E-2</v>
      </c>
      <c r="R46" s="18">
        <f>_xlfn.XLOOKUP(CF_Gen_3[[#This Row],[ICG]],Assumptions[ICG],Assumptions[Premium_Refund_Ratio])</f>
        <v>0.5</v>
      </c>
      <c r="S46" s="18">
        <f>IF(CF_Gen_3[[#This Row],[Contract]]="RC",_xlfn.XLOOKUP(CF_Gen_3[[#This Row],[ICG]],Assumptions[ICG],Assumptions[NPR_Ratio]),0)</f>
        <v>0</v>
      </c>
      <c r="T46" s="17">
        <f>T45*(1-CF_Gen_3[[#This Row],[Cancellation_Ratio]])</f>
        <v>4.104400542804524E-2</v>
      </c>
      <c r="U46" s="19">
        <f>IF(CF_Gen_3[[#This Row],[Incurred]]&lt;=CF_Gen_3[[#This Row],[Valuation]],CF_Gen_3[[#This Row],[Expected_Premium]],-CF_Gen_3[[#This Row],[Probability_of_Inforce]]*CF_Gen_3[[#This Row],[Premium_Refund_Ratio]]*CF_Gen_3[[#This Row],[Cancellation_Ratio]]*SUM(K46:K$105))</f>
        <v>-47481956.446702465</v>
      </c>
      <c r="V4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Row],[Cancellation_Ratio]]*SUM(L46:L$105))</f>
        <v>6862980.0494171642</v>
      </c>
      <c r="W46" s="19">
        <f>CF_Gen_3[[#This Row],[Expected_Acquisition]]</f>
        <v>0</v>
      </c>
      <c r="X46" s="19">
        <f>-CF_Gen_3[[#This Row],[Probability_of_Inforce]]*CF_Gen_3[[#This Row],[Earned_Premium]]*(1-CF_Gen_3[[#This Row],[Cancellation_Ratio]])*CF_Gen_3[[#This Row],[PME_Ratio]]+CF_Gen_3[[#This Row],[ULAE_Ratio]]*CF_Gen_3[[#This Row],[Exp_Claim]]</f>
        <v>-4376354.5299210381</v>
      </c>
      <c r="Y46" s="19">
        <f>-CF_Gen_3[[#This Row],[Probability_of_Inforce]]*CF_Gen_3[[#This Row],[Earned_Premium]]*(1-CF_Gen_3[[#This Row],[Cancellation_Ratio]])*CF_Gen_3[[#This Row],[Loss_Ratio]]</f>
        <v>-19669009.12324062</v>
      </c>
      <c r="Z46" s="19">
        <f>CF_Gen_3[[#This Row],[Exp_Claim]]*CF_Gen_3[[#This Row],[Risk_Adjustment_Ratio]]</f>
        <v>-2753661.2772536869</v>
      </c>
      <c r="AA46" s="19">
        <f>IF(CF_Gen_3[[#This Row],[Contract]]="RC",-CF_Gen_3[[#This Row],[NPR_Ratio]]*CF_Gen_3[[#This Row],[Exp_Claim]],0)</f>
        <v>0</v>
      </c>
      <c r="AB46" s="19">
        <f>SUMIFS(Actual_CF[Actual_Premium],Actual_CF[ICG],CF_Gen_3[[#This Row],[ICG]],Actual_CF[Incurred],CF_Gen_3[[#This Row],[Incurred]])</f>
        <v>0</v>
      </c>
      <c r="AC46" s="19">
        <f>SUMIFS(Actual_CF[Actual_Commission],Actual_CF[ICG],CF_Gen_3[[#This Row],[ICG]],Actual_CF[Incurred],CF_Gen_3[[#This Row],[Incurred]])</f>
        <v>0</v>
      </c>
      <c r="AD46" s="19">
        <f>SUMIFS(Actual_CF[Actual_Acquisition],Actual_CF[ICG],CF_Gen_3[[#This Row],[ICG]],Actual_CF[Incurred],CF_Gen_3[[#This Row],[Incurred]])</f>
        <v>0</v>
      </c>
    </row>
    <row r="47" spans="1:30">
      <c r="A47" t="str">
        <f t="shared" si="1"/>
        <v>#2025#IC-Property</v>
      </c>
      <c r="B47">
        <f>_xlfn.XLOOKUP(CF_Gen_3[[#This Row],[ICG]],ICG[ICG],ICG[Cohort])</f>
        <v>2025</v>
      </c>
      <c r="C47" t="str">
        <f>_xlfn.XLOOKUP(CF_Gen_3[[#This Row],[ICG]],ICG[ICG],ICG[Portfolio])</f>
        <v>IC-Property</v>
      </c>
      <c r="D47" t="str">
        <f>_xlfn.XLOOKUP(CF_Gen_3[[#This Row],[ICG]],ICG[ICG],ICG[Contract])</f>
        <v>IC</v>
      </c>
      <c r="E47" s="2">
        <f t="shared" si="0"/>
        <v>45930</v>
      </c>
      <c r="F47">
        <v>46</v>
      </c>
      <c r="G47" s="2">
        <f>EOMONTH(DATE(YEAR(CF_Gen_3[[#This Row],[Valuation]])-1,12,31),CF_Gen_3[[#This Row],['#Incurred]]*3)</f>
        <v>49856</v>
      </c>
      <c r="H47" s="14">
        <f>SUMIFS(Expected_CF[Expected_Premium],Expected_CF[ICG],CF_Gen_3[[#This Row],[ICG]],Expected_CF[Incurred],CF_Gen_3[[#This Row],[Incurred]])</f>
        <v>0</v>
      </c>
      <c r="I47" s="14">
        <f>SUMIFS(Expected_CF[Expected_Commission],Expected_CF[ICG],CF_Gen_3[[#This Row],[ICG]],Expected_CF[Incurred],CF_Gen_3[[#This Row],[Incurred]])</f>
        <v>0</v>
      </c>
      <c r="J47" s="14">
        <f>IF(CF_Gen_3[[#This Row],[Contract]]="IC",SUMIFS(Expected_CF[Expected_Acquisition],Expected_CF[ICG],CF_Gen_3[[#This Row],[ICG]],Expected_CF[Incurred],CF_Gen_3[[#This Row],[Incurred]]),0)</f>
        <v>0</v>
      </c>
      <c r="K47" s="14">
        <f>SUMIFS(Earned[Earned_Premium],Earned[ICG],CF_Gen_3[[#This Row],[ICG]],Earned[Incurred],CF_Gen_3[[#This Row],[Incurred]])</f>
        <v>1254318803.8980813</v>
      </c>
      <c r="L47" s="14">
        <f>SUMIFS(Earned[Earned_Commission],Earned[ICG],CF_Gen_3[[#This Row],[ICG]],Earned[Incurred],CF_Gen_3[[#This Row],[Incurred]])</f>
        <v>-181297603.78395632</v>
      </c>
      <c r="M47" s="18">
        <f>_xlfn.XLOOKUP(CF_Gen_3[[#This Row],[ICG]],Assumptions[ICG],Assumptions[Loss_Ratio])</f>
        <v>0.4</v>
      </c>
      <c r="N47" s="18">
        <f>_xlfn.XLOOKUP(CF_Gen_3[[#This Row],[ICG]],Assumptions[ICG],Assumptions[Risk_Adjustment_Ratio])</f>
        <v>0.14000000000000001</v>
      </c>
      <c r="O47" s="18">
        <f>_xlfn.XLOOKUP(CF_Gen_3[[#This Row],[ICG]],Assumptions[ICG],Assumptions[PME_Ratio])</f>
        <v>4.4999999999999998E-2</v>
      </c>
      <c r="P47" s="18">
        <f>_xlfn.XLOOKUP(CF_Gen_3[[#This Row],[ICG]],Assumptions[ICG],Assumptions[ULAE_Ratio])</f>
        <v>0.11</v>
      </c>
      <c r="Q47" s="18">
        <f>_xlfn.XLOOKUP(CF_Gen_3[[#This Row],[ICG]],Assumptions[ICG],Assumptions[Cancellation_Ratio])</f>
        <v>7.0000000000000007E-2</v>
      </c>
      <c r="R47" s="18">
        <f>_xlfn.XLOOKUP(CF_Gen_3[[#This Row],[ICG]],Assumptions[ICG],Assumptions[Premium_Refund_Ratio])</f>
        <v>0.5</v>
      </c>
      <c r="S47" s="18">
        <f>IF(CF_Gen_3[[#This Row],[Contract]]="RC",_xlfn.XLOOKUP(CF_Gen_3[[#This Row],[ICG]],Assumptions[ICG],Assumptions[NPR_Ratio]),0)</f>
        <v>0</v>
      </c>
      <c r="T47" s="17">
        <f>T46*(1-CF_Gen_3[[#This Row],[Cancellation_Ratio]])</f>
        <v>3.8170925048082067E-2</v>
      </c>
      <c r="U47" s="19">
        <f>IF(CF_Gen_3[[#This Row],[Incurred]]&lt;=CF_Gen_3[[#This Row],[Valuation]],CF_Gen_3[[#This Row],[Expected_Premium]],-CF_Gen_3[[#This Row],[Probability_of_Inforce]]*CF_Gen_3[[#This Row],[Premium_Refund_Ratio]]*CF_Gen_3[[#This Row],[Cancellation_Ratio]]*SUM(K47:K$105))</f>
        <v>-42437181.197149739</v>
      </c>
      <c r="V4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Row],[Cancellation_Ratio]]*SUM(L47:L$105))</f>
        <v>6133814.8152437033</v>
      </c>
      <c r="W47" s="19">
        <f>CF_Gen_3[[#This Row],[Expected_Acquisition]]</f>
        <v>0</v>
      </c>
      <c r="X47" s="19">
        <f>-CF_Gen_3[[#This Row],[Probability_of_Inforce]]*CF_Gen_3[[#This Row],[Earned_Premium]]*(1-CF_Gen_3[[#This Row],[Cancellation_Ratio]])*CF_Gen_3[[#This Row],[PME_Ratio]]+CF_Gen_3[[#This Row],[ULAE_Ratio]]*CF_Gen_3[[#This Row],[Exp_Claim]]</f>
        <v>-3962904.1940679708</v>
      </c>
      <c r="Y47" s="19">
        <f>-CF_Gen_3[[#This Row],[Probability_of_Inforce]]*CF_Gen_3[[#This Row],[Earned_Premium]]*(1-CF_Gen_3[[#This Row],[Cancellation_Ratio]])*CF_Gen_3[[#This Row],[Loss_Ratio]]</f>
        <v>-17810805.366597623</v>
      </c>
      <c r="Z47" s="19">
        <f>CF_Gen_3[[#This Row],[Exp_Claim]]*CF_Gen_3[[#This Row],[Risk_Adjustment_Ratio]]</f>
        <v>-2493512.7513236674</v>
      </c>
      <c r="AA47" s="19">
        <f>IF(CF_Gen_3[[#This Row],[Contract]]="RC",-CF_Gen_3[[#This Row],[NPR_Ratio]]*CF_Gen_3[[#This Row],[Exp_Claim]],0)</f>
        <v>0</v>
      </c>
      <c r="AB47" s="19">
        <f>SUMIFS(Actual_CF[Actual_Premium],Actual_CF[ICG],CF_Gen_3[[#This Row],[ICG]],Actual_CF[Incurred],CF_Gen_3[[#This Row],[Incurred]])</f>
        <v>0</v>
      </c>
      <c r="AC47" s="19">
        <f>SUMIFS(Actual_CF[Actual_Commission],Actual_CF[ICG],CF_Gen_3[[#This Row],[ICG]],Actual_CF[Incurred],CF_Gen_3[[#This Row],[Incurred]])</f>
        <v>0</v>
      </c>
      <c r="AD47" s="19">
        <f>SUMIFS(Actual_CF[Actual_Acquisition],Actual_CF[ICG],CF_Gen_3[[#This Row],[ICG]],Actual_CF[Incurred],CF_Gen_3[[#This Row],[Incurred]])</f>
        <v>0</v>
      </c>
    </row>
    <row r="48" spans="1:30">
      <c r="A48" t="str">
        <f t="shared" si="1"/>
        <v>#2025#IC-Property</v>
      </c>
      <c r="B48">
        <f>_xlfn.XLOOKUP(CF_Gen_3[[#This Row],[ICG]],ICG[ICG],ICG[Cohort])</f>
        <v>2025</v>
      </c>
      <c r="C48" t="str">
        <f>_xlfn.XLOOKUP(CF_Gen_3[[#This Row],[ICG]],ICG[ICG],ICG[Portfolio])</f>
        <v>IC-Property</v>
      </c>
      <c r="D48" t="str">
        <f>_xlfn.XLOOKUP(CF_Gen_3[[#This Row],[ICG]],ICG[ICG],ICG[Contract])</f>
        <v>IC</v>
      </c>
      <c r="E48" s="2">
        <f t="shared" si="0"/>
        <v>45930</v>
      </c>
      <c r="F48">
        <v>47</v>
      </c>
      <c r="G48" s="2">
        <f>EOMONTH(DATE(YEAR(CF_Gen_3[[#This Row],[Valuation]])-1,12,31),CF_Gen_3[[#This Row],['#Incurred]]*3)</f>
        <v>49948</v>
      </c>
      <c r="H48" s="14">
        <f>SUMIFS(Expected_CF[Expected_Premium],Expected_CF[ICG],CF_Gen_3[[#This Row],[ICG]],Expected_CF[Incurred],CF_Gen_3[[#This Row],[Incurred]])</f>
        <v>0</v>
      </c>
      <c r="I48" s="14">
        <f>SUMIFS(Expected_CF[Expected_Commission],Expected_CF[ICG],CF_Gen_3[[#This Row],[ICG]],Expected_CF[Incurred],CF_Gen_3[[#This Row],[Incurred]])</f>
        <v>0</v>
      </c>
      <c r="J48" s="14">
        <f>IF(CF_Gen_3[[#This Row],[Contract]]="IC",SUMIFS(Expected_CF[Expected_Acquisition],Expected_CF[ICG],CF_Gen_3[[#This Row],[ICG]],Expected_CF[Incurred],CF_Gen_3[[#This Row],[Incurred]]),0)</f>
        <v>0</v>
      </c>
      <c r="K48" s="14">
        <f>SUMIFS(Earned[Earned_Premium],Earned[ICG],CF_Gen_3[[#This Row],[ICG]],Earned[Incurred],CF_Gen_3[[#This Row],[Incurred]])</f>
        <v>1220418295.6846194</v>
      </c>
      <c r="L48" s="14">
        <f>SUMIFS(Earned[Earned_Commission],Earned[ICG],CF_Gen_3[[#This Row],[ICG]],Earned[Incurred],CF_Gen_3[[#This Row],[Incurred]])</f>
        <v>-176397668.54655206</v>
      </c>
      <c r="M48" s="18">
        <f>_xlfn.XLOOKUP(CF_Gen_3[[#This Row],[ICG]],Assumptions[ICG],Assumptions[Loss_Ratio])</f>
        <v>0.4</v>
      </c>
      <c r="N48" s="18">
        <f>_xlfn.XLOOKUP(CF_Gen_3[[#This Row],[ICG]],Assumptions[ICG],Assumptions[Risk_Adjustment_Ratio])</f>
        <v>0.14000000000000001</v>
      </c>
      <c r="O48" s="18">
        <f>_xlfn.XLOOKUP(CF_Gen_3[[#This Row],[ICG]],Assumptions[ICG],Assumptions[PME_Ratio])</f>
        <v>4.4999999999999998E-2</v>
      </c>
      <c r="P48" s="18">
        <f>_xlfn.XLOOKUP(CF_Gen_3[[#This Row],[ICG]],Assumptions[ICG],Assumptions[ULAE_Ratio])</f>
        <v>0.11</v>
      </c>
      <c r="Q48" s="18">
        <f>_xlfn.XLOOKUP(CF_Gen_3[[#This Row],[ICG]],Assumptions[ICG],Assumptions[Cancellation_Ratio])</f>
        <v>7.0000000000000007E-2</v>
      </c>
      <c r="R48" s="18">
        <f>_xlfn.XLOOKUP(CF_Gen_3[[#This Row],[ICG]],Assumptions[ICG],Assumptions[Premium_Refund_Ratio])</f>
        <v>0.5</v>
      </c>
      <c r="S48" s="18">
        <f>IF(CF_Gen_3[[#This Row],[Contract]]="RC",_xlfn.XLOOKUP(CF_Gen_3[[#This Row],[ICG]],Assumptions[ICG],Assumptions[NPR_Ratio]),0)</f>
        <v>0</v>
      </c>
      <c r="T48" s="17">
        <f>T47*(1-CF_Gen_3[[#This Row],[Cancellation_Ratio]])</f>
        <v>3.5498960294716324E-2</v>
      </c>
      <c r="U48" s="19">
        <f>IF(CF_Gen_3[[#This Row],[Incurred]]&lt;=CF_Gen_3[[#This Row],[Valuation]],CF_Gen_3[[#This Row],[Expected_Premium]],-CF_Gen_3[[#This Row],[Probability_of_Inforce]]*CF_Gen_3[[#This Row],[Premium_Refund_Ratio]]*CF_Gen_3[[#This Row],[Cancellation_Ratio]]*SUM(K48:K$105))</f>
        <v>-37908133.043771967</v>
      </c>
      <c r="V4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Row],[Cancellation_Ratio]]*SUM(L48:L$105))</f>
        <v>5479192.10283776</v>
      </c>
      <c r="W48" s="19">
        <f>CF_Gen_3[[#This Row],[Expected_Acquisition]]</f>
        <v>0</v>
      </c>
      <c r="X48" s="19">
        <f>-CF_Gen_3[[#This Row],[Probability_of_Inforce]]*CF_Gen_3[[#This Row],[Earned_Premium]]*(1-CF_Gen_3[[#This Row],[Cancellation_Ratio]])*CF_Gen_3[[#This Row],[PME_Ratio]]+CF_Gen_3[[#This Row],[ULAE_Ratio]]*CF_Gen_3[[#This Row],[Exp_Claim]]</f>
        <v>-3585892.7680377206</v>
      </c>
      <c r="Y48" s="19">
        <f>-CF_Gen_3[[#This Row],[Probability_of_Inforce]]*CF_Gen_3[[#This Row],[Earned_Premium]]*(1-CF_Gen_3[[#This Row],[Cancellation_Ratio]])*CF_Gen_3[[#This Row],[Loss_Ratio]]</f>
        <v>-16116371.991180766</v>
      </c>
      <c r="Z48" s="19">
        <f>CF_Gen_3[[#This Row],[Exp_Claim]]*CF_Gen_3[[#This Row],[Risk_Adjustment_Ratio]]</f>
        <v>-2256292.0787653076</v>
      </c>
      <c r="AA48" s="19">
        <f>IF(CF_Gen_3[[#This Row],[Contract]]="RC",-CF_Gen_3[[#This Row],[NPR_Ratio]]*CF_Gen_3[[#This Row],[Exp_Claim]],0)</f>
        <v>0</v>
      </c>
      <c r="AB48" s="19">
        <f>SUMIFS(Actual_CF[Actual_Premium],Actual_CF[ICG],CF_Gen_3[[#This Row],[ICG]],Actual_CF[Incurred],CF_Gen_3[[#This Row],[Incurred]])</f>
        <v>0</v>
      </c>
      <c r="AC48" s="19">
        <f>SUMIFS(Actual_CF[Actual_Commission],Actual_CF[ICG],CF_Gen_3[[#This Row],[ICG]],Actual_CF[Incurred],CF_Gen_3[[#This Row],[Incurred]])</f>
        <v>0</v>
      </c>
      <c r="AD48" s="19">
        <f>SUMIFS(Actual_CF[Actual_Acquisition],Actual_CF[ICG],CF_Gen_3[[#This Row],[ICG]],Actual_CF[Incurred],CF_Gen_3[[#This Row],[Incurred]])</f>
        <v>0</v>
      </c>
    </row>
    <row r="49" spans="1:30">
      <c r="A49" t="str">
        <f t="shared" si="1"/>
        <v>#2025#IC-Property</v>
      </c>
      <c r="B49">
        <f>_xlfn.XLOOKUP(CF_Gen_3[[#This Row],[ICG]],ICG[ICG],ICG[Cohort])</f>
        <v>2025</v>
      </c>
      <c r="C49" t="str">
        <f>_xlfn.XLOOKUP(CF_Gen_3[[#This Row],[ICG]],ICG[ICG],ICG[Portfolio])</f>
        <v>IC-Property</v>
      </c>
      <c r="D49" t="str">
        <f>_xlfn.XLOOKUP(CF_Gen_3[[#This Row],[ICG]],ICG[ICG],ICG[Contract])</f>
        <v>IC</v>
      </c>
      <c r="E49" s="2">
        <f t="shared" si="0"/>
        <v>45930</v>
      </c>
      <c r="F49">
        <v>48</v>
      </c>
      <c r="G49" s="2">
        <f>EOMONTH(DATE(YEAR(CF_Gen_3[[#This Row],[Valuation]])-1,12,31),CF_Gen_3[[#This Row],['#Incurred]]*3)</f>
        <v>50040</v>
      </c>
      <c r="H49" s="14">
        <f>SUMIFS(Expected_CF[Expected_Premium],Expected_CF[ICG],CF_Gen_3[[#This Row],[ICG]],Expected_CF[Incurred],CF_Gen_3[[#This Row],[Incurred]])</f>
        <v>0</v>
      </c>
      <c r="I49" s="14">
        <f>SUMIFS(Expected_CF[Expected_Commission],Expected_CF[ICG],CF_Gen_3[[#This Row],[ICG]],Expected_CF[Incurred],CF_Gen_3[[#This Row],[Incurred]])</f>
        <v>0</v>
      </c>
      <c r="J49" s="14">
        <f>IF(CF_Gen_3[[#This Row],[Contract]]="IC",SUMIFS(Expected_CF[Expected_Acquisition],Expected_CF[ICG],CF_Gen_3[[#This Row],[ICG]],Expected_CF[Incurred],CF_Gen_3[[#This Row],[Incurred]]),0)</f>
        <v>0</v>
      </c>
      <c r="K49" s="14">
        <f>SUMIFS(Earned[Earned_Premium],Earned[ICG],CF_Gen_3[[#This Row],[ICG]],Earned[Incurred],CF_Gen_3[[#This Row],[Incurred]])</f>
        <v>1220418295.6846194</v>
      </c>
      <c r="L49" s="14">
        <f>SUMIFS(Earned[Earned_Commission],Earned[ICG],CF_Gen_3[[#This Row],[ICG]],Earned[Incurred],CF_Gen_3[[#This Row],[Incurred]])</f>
        <v>-176397668.54655206</v>
      </c>
      <c r="M49" s="18">
        <f>_xlfn.XLOOKUP(CF_Gen_3[[#This Row],[ICG]],Assumptions[ICG],Assumptions[Loss_Ratio])</f>
        <v>0.4</v>
      </c>
      <c r="N49" s="18">
        <f>_xlfn.XLOOKUP(CF_Gen_3[[#This Row],[ICG]],Assumptions[ICG],Assumptions[Risk_Adjustment_Ratio])</f>
        <v>0.14000000000000001</v>
      </c>
      <c r="O49" s="18">
        <f>_xlfn.XLOOKUP(CF_Gen_3[[#This Row],[ICG]],Assumptions[ICG],Assumptions[PME_Ratio])</f>
        <v>4.4999999999999998E-2</v>
      </c>
      <c r="P49" s="18">
        <f>_xlfn.XLOOKUP(CF_Gen_3[[#This Row],[ICG]],Assumptions[ICG],Assumptions[ULAE_Ratio])</f>
        <v>0.11</v>
      </c>
      <c r="Q49" s="18">
        <f>_xlfn.XLOOKUP(CF_Gen_3[[#This Row],[ICG]],Assumptions[ICG],Assumptions[Cancellation_Ratio])</f>
        <v>7.0000000000000007E-2</v>
      </c>
      <c r="R49" s="18">
        <f>_xlfn.XLOOKUP(CF_Gen_3[[#This Row],[ICG]],Assumptions[ICG],Assumptions[Premium_Refund_Ratio])</f>
        <v>0.5</v>
      </c>
      <c r="S49" s="18">
        <f>IF(CF_Gen_3[[#This Row],[Contract]]="RC",_xlfn.XLOOKUP(CF_Gen_3[[#This Row],[ICG]],Assumptions[ICG],Assumptions[NPR_Ratio]),0)</f>
        <v>0</v>
      </c>
      <c r="T49" s="17">
        <f>T48*(1-CF_Gen_3[[#This Row],[Cancellation_Ratio]])</f>
        <v>3.301403307408618E-2</v>
      </c>
      <c r="U49" s="19">
        <f>IF(CF_Gen_3[[#This Row],[Incurred]]&lt;=CF_Gen_3[[#This Row],[Valuation]],CF_Gen_3[[#This Row],[Expected_Premium]],-CF_Gen_3[[#This Row],[Probability_of_Inforce]]*CF_Gen_3[[#This Row],[Premium_Refund_Ratio]]*CF_Gen_3[[#This Row],[Cancellation_Ratio]]*SUM(K49:K$105))</f>
        <v>-33844381.181479603</v>
      </c>
      <c r="V4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Row],[Cancellation_Ratio]]*SUM(L49:L$105))</f>
        <v>4891822.7094135517</v>
      </c>
      <c r="W49" s="19">
        <f>CF_Gen_3[[#This Row],[Expected_Acquisition]]</f>
        <v>0</v>
      </c>
      <c r="X49" s="19">
        <f>-CF_Gen_3[[#This Row],[Probability_of_Inforce]]*CF_Gen_3[[#This Row],[Earned_Premium]]*(1-CF_Gen_3[[#This Row],[Cancellation_Ratio]])*CF_Gen_3[[#This Row],[PME_Ratio]]+CF_Gen_3[[#This Row],[ULAE_Ratio]]*CF_Gen_3[[#This Row],[Exp_Claim]]</f>
        <v>-3334880.2742750798</v>
      </c>
      <c r="Y49" s="19">
        <f>-CF_Gen_3[[#This Row],[Probability_of_Inforce]]*CF_Gen_3[[#This Row],[Earned_Premium]]*(1-CF_Gen_3[[#This Row],[Cancellation_Ratio]])*CF_Gen_3[[#This Row],[Loss_Ratio]]</f>
        <v>-14988225.951798111</v>
      </c>
      <c r="Z49" s="19">
        <f>CF_Gen_3[[#This Row],[Exp_Claim]]*CF_Gen_3[[#This Row],[Risk_Adjustment_Ratio]]</f>
        <v>-2098351.6332517359</v>
      </c>
      <c r="AA49" s="19">
        <f>IF(CF_Gen_3[[#This Row],[Contract]]="RC",-CF_Gen_3[[#This Row],[NPR_Ratio]]*CF_Gen_3[[#This Row],[Exp_Claim]],0)</f>
        <v>0</v>
      </c>
      <c r="AB49" s="19">
        <f>SUMIFS(Actual_CF[Actual_Premium],Actual_CF[ICG],CF_Gen_3[[#This Row],[ICG]],Actual_CF[Incurred],CF_Gen_3[[#This Row],[Incurred]])</f>
        <v>0</v>
      </c>
      <c r="AC49" s="19">
        <f>SUMIFS(Actual_CF[Actual_Commission],Actual_CF[ICG],CF_Gen_3[[#This Row],[ICG]],Actual_CF[Incurred],CF_Gen_3[[#This Row],[Incurred]])</f>
        <v>0</v>
      </c>
      <c r="AD49" s="19">
        <f>SUMIFS(Actual_CF[Actual_Acquisition],Actual_CF[ICG],CF_Gen_3[[#This Row],[ICG]],Actual_CF[Incurred],CF_Gen_3[[#This Row],[Incurred]])</f>
        <v>0</v>
      </c>
    </row>
    <row r="50" spans="1:30">
      <c r="A50" t="str">
        <f t="shared" si="1"/>
        <v>#2025#IC-Property</v>
      </c>
      <c r="B50">
        <f>_xlfn.XLOOKUP(CF_Gen_3[[#This Row],[ICG]],ICG[ICG],ICG[Cohort])</f>
        <v>2025</v>
      </c>
      <c r="C50" t="str">
        <f>_xlfn.XLOOKUP(CF_Gen_3[[#This Row],[ICG]],ICG[ICG],ICG[Portfolio])</f>
        <v>IC-Property</v>
      </c>
      <c r="D50" t="str">
        <f>_xlfn.XLOOKUP(CF_Gen_3[[#This Row],[ICG]],ICG[ICG],ICG[Contract])</f>
        <v>IC</v>
      </c>
      <c r="E50" s="2">
        <f t="shared" si="0"/>
        <v>45930</v>
      </c>
      <c r="F50">
        <v>49</v>
      </c>
      <c r="G50" s="2">
        <f>EOMONTH(DATE(YEAR(CF_Gen_3[[#This Row],[Valuation]])-1,12,31),CF_Gen_3[[#This Row],['#Incurred]]*3)</f>
        <v>50130</v>
      </c>
      <c r="H50" s="14">
        <f>SUMIFS(Expected_CF[Expected_Premium],Expected_CF[ICG],CF_Gen_3[[#This Row],[ICG]],Expected_CF[Incurred],CF_Gen_3[[#This Row],[Incurred]])</f>
        <v>0</v>
      </c>
      <c r="I50" s="14">
        <f>SUMIFS(Expected_CF[Expected_Commission],Expected_CF[ICG],CF_Gen_3[[#This Row],[ICG]],Expected_CF[Incurred],CF_Gen_3[[#This Row],[Incurred]])</f>
        <v>0</v>
      </c>
      <c r="J50" s="14">
        <f>IF(CF_Gen_3[[#This Row],[Contract]]="IC",SUMIFS(Expected_CF[Expected_Acquisition],Expected_CF[ICG],CF_Gen_3[[#This Row],[ICG]],Expected_CF[Incurred],CF_Gen_3[[#This Row],[Incurred]]),0)</f>
        <v>0</v>
      </c>
      <c r="K50" s="14">
        <f>SUMIFS(Earned[Earned_Premium],Earned[ICG],CF_Gen_3[[#This Row],[ICG]],Earned[Incurred],CF_Gen_3[[#This Row],[Incurred]])</f>
        <v>1186517787.471158</v>
      </c>
      <c r="L50" s="14">
        <f>SUMIFS(Earned[Earned_Commission],Earned[ICG],CF_Gen_3[[#This Row],[ICG]],Earned[Incurred],CF_Gen_3[[#This Row],[Incurred]])</f>
        <v>-171497733.30914786</v>
      </c>
      <c r="M50" s="18">
        <f>_xlfn.XLOOKUP(CF_Gen_3[[#This Row],[ICG]],Assumptions[ICG],Assumptions[Loss_Ratio])</f>
        <v>0.4</v>
      </c>
      <c r="N50" s="18">
        <f>_xlfn.XLOOKUP(CF_Gen_3[[#This Row],[ICG]],Assumptions[ICG],Assumptions[Risk_Adjustment_Ratio])</f>
        <v>0.14000000000000001</v>
      </c>
      <c r="O50" s="18">
        <f>_xlfn.XLOOKUP(CF_Gen_3[[#This Row],[ICG]],Assumptions[ICG],Assumptions[PME_Ratio])</f>
        <v>4.4999999999999998E-2</v>
      </c>
      <c r="P50" s="18">
        <f>_xlfn.XLOOKUP(CF_Gen_3[[#This Row],[ICG]],Assumptions[ICG],Assumptions[ULAE_Ratio])</f>
        <v>0.11</v>
      </c>
      <c r="Q50" s="18">
        <f>_xlfn.XLOOKUP(CF_Gen_3[[#This Row],[ICG]],Assumptions[ICG],Assumptions[Cancellation_Ratio])</f>
        <v>7.0000000000000007E-2</v>
      </c>
      <c r="R50" s="18">
        <f>_xlfn.XLOOKUP(CF_Gen_3[[#This Row],[ICG]],Assumptions[ICG],Assumptions[Premium_Refund_Ratio])</f>
        <v>0.5</v>
      </c>
      <c r="S50" s="18">
        <f>IF(CF_Gen_3[[#This Row],[Contract]]="RC",_xlfn.XLOOKUP(CF_Gen_3[[#This Row],[ICG]],Assumptions[ICG],Assumptions[NPR_Ratio]),0)</f>
        <v>0</v>
      </c>
      <c r="T50" s="17">
        <f>T49*(1-CF_Gen_3[[#This Row],[Cancellation_Ratio]])</f>
        <v>3.0703050758900147E-2</v>
      </c>
      <c r="U50" s="19">
        <f>IF(CF_Gen_3[[#This Row],[Incurred]]&lt;=CF_Gen_3[[#This Row],[Valuation]],CF_Gen_3[[#This Row],[Expected_Premium]],-CF_Gen_3[[#This Row],[Probability_of_Inforce]]*CF_Gen_3[[#This Row],[Premium_Refund_Ratio]]*CF_Gen_3[[#This Row],[Cancellation_Ratio]]*SUM(K50:K$105))</f>
        <v>-30163804.727993704</v>
      </c>
      <c r="V5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Row],[Cancellation_Ratio]]*SUM(L50:L$105))</f>
        <v>4359836.9897648282</v>
      </c>
      <c r="W50" s="19">
        <f>CF_Gen_3[[#This Row],[Expected_Acquisition]]</f>
        <v>0</v>
      </c>
      <c r="X50" s="19">
        <f>-CF_Gen_3[[#This Row],[Probability_of_Inforce]]*CF_Gen_3[[#This Row],[Earned_Premium]]*(1-CF_Gen_3[[#This Row],[Cancellation_Ratio]])*CF_Gen_3[[#This Row],[PME_Ratio]]+CF_Gen_3[[#This Row],[ULAE_Ratio]]*CF_Gen_3[[#This Row],[Exp_Claim]]</f>
        <v>-3015287.5813237187</v>
      </c>
      <c r="Y50" s="19">
        <f>-CF_Gen_3[[#This Row],[Probability_of_Inforce]]*CF_Gen_3[[#This Row],[Earned_Premium]]*(1-CF_Gen_3[[#This Row],[Cancellation_Ratio]])*CF_Gen_3[[#This Row],[Loss_Ratio]]</f>
        <v>-13551854.298084129</v>
      </c>
      <c r="Z50" s="19">
        <f>CF_Gen_3[[#This Row],[Exp_Claim]]*CF_Gen_3[[#This Row],[Risk_Adjustment_Ratio]]</f>
        <v>-1897259.6017317781</v>
      </c>
      <c r="AA50" s="19">
        <f>IF(CF_Gen_3[[#This Row],[Contract]]="RC",-CF_Gen_3[[#This Row],[NPR_Ratio]]*CF_Gen_3[[#This Row],[Exp_Claim]],0)</f>
        <v>0</v>
      </c>
      <c r="AB50" s="19">
        <f>SUMIFS(Actual_CF[Actual_Premium],Actual_CF[ICG],CF_Gen_3[[#This Row],[ICG]],Actual_CF[Incurred],CF_Gen_3[[#This Row],[Incurred]])</f>
        <v>0</v>
      </c>
      <c r="AC50" s="19">
        <f>SUMIFS(Actual_CF[Actual_Commission],Actual_CF[ICG],CF_Gen_3[[#This Row],[ICG]],Actual_CF[Incurred],CF_Gen_3[[#This Row],[Incurred]])</f>
        <v>0</v>
      </c>
      <c r="AD50" s="19">
        <f>SUMIFS(Actual_CF[Actual_Acquisition],Actual_CF[ICG],CF_Gen_3[[#This Row],[ICG]],Actual_CF[Incurred],CF_Gen_3[[#This Row],[Incurred]])</f>
        <v>0</v>
      </c>
    </row>
    <row r="51" spans="1:30">
      <c r="A51" t="str">
        <f t="shared" si="1"/>
        <v>#2025#IC-Property</v>
      </c>
      <c r="B51">
        <f>_xlfn.XLOOKUP(CF_Gen_3[[#This Row],[ICG]],ICG[ICG],ICG[Cohort])</f>
        <v>2025</v>
      </c>
      <c r="C51" t="str">
        <f>_xlfn.XLOOKUP(CF_Gen_3[[#This Row],[ICG]],ICG[ICG],ICG[Portfolio])</f>
        <v>IC-Property</v>
      </c>
      <c r="D51" t="str">
        <f>_xlfn.XLOOKUP(CF_Gen_3[[#This Row],[ICG]],ICG[ICG],ICG[Contract])</f>
        <v>IC</v>
      </c>
      <c r="E51" s="2">
        <f t="shared" si="0"/>
        <v>45930</v>
      </c>
      <c r="F51">
        <v>50</v>
      </c>
      <c r="G51" s="2">
        <f>EOMONTH(DATE(YEAR(CF_Gen_3[[#This Row],[Valuation]])-1,12,31),CF_Gen_3[[#This Row],['#Incurred]]*3)</f>
        <v>50221</v>
      </c>
      <c r="H51" s="14">
        <f>SUMIFS(Expected_CF[Expected_Premium],Expected_CF[ICG],CF_Gen_3[[#This Row],[ICG]],Expected_CF[Incurred],CF_Gen_3[[#This Row],[Incurred]])</f>
        <v>0</v>
      </c>
      <c r="I51" s="14">
        <f>SUMIFS(Expected_CF[Expected_Commission],Expected_CF[ICG],CF_Gen_3[[#This Row],[ICG]],Expected_CF[Incurred],CF_Gen_3[[#This Row],[Incurred]])</f>
        <v>0</v>
      </c>
      <c r="J51" s="14">
        <f>IF(CF_Gen_3[[#This Row],[Contract]]="IC",SUMIFS(Expected_CF[Expected_Acquisition],Expected_CF[ICG],CF_Gen_3[[#This Row],[ICG]],Expected_CF[Incurred],CF_Gen_3[[#This Row],[Incurred]]),0)</f>
        <v>0</v>
      </c>
      <c r="K51" s="14">
        <f>SUMIFS(Earned[Earned_Premium],Earned[ICG],CF_Gen_3[[#This Row],[ICG]],Earned[Incurred],CF_Gen_3[[#This Row],[Incurred]])</f>
        <v>1152617279.2576962</v>
      </c>
      <c r="L51" s="14">
        <f>SUMIFS(Earned[Earned_Commission],Earned[ICG],CF_Gen_3[[#This Row],[ICG]],Earned[Incurred],CF_Gen_3[[#This Row],[Incurred]])</f>
        <v>-166597798.07174364</v>
      </c>
      <c r="M51" s="18">
        <f>_xlfn.XLOOKUP(CF_Gen_3[[#This Row],[ICG]],Assumptions[ICG],Assumptions[Loss_Ratio])</f>
        <v>0.4</v>
      </c>
      <c r="N51" s="18">
        <f>_xlfn.XLOOKUP(CF_Gen_3[[#This Row],[ICG]],Assumptions[ICG],Assumptions[Risk_Adjustment_Ratio])</f>
        <v>0.14000000000000001</v>
      </c>
      <c r="O51" s="18">
        <f>_xlfn.XLOOKUP(CF_Gen_3[[#This Row],[ICG]],Assumptions[ICG],Assumptions[PME_Ratio])</f>
        <v>4.4999999999999998E-2</v>
      </c>
      <c r="P51" s="18">
        <f>_xlfn.XLOOKUP(CF_Gen_3[[#This Row],[ICG]],Assumptions[ICG],Assumptions[ULAE_Ratio])</f>
        <v>0.11</v>
      </c>
      <c r="Q51" s="18">
        <f>_xlfn.XLOOKUP(CF_Gen_3[[#This Row],[ICG]],Assumptions[ICG],Assumptions[Cancellation_Ratio])</f>
        <v>7.0000000000000007E-2</v>
      </c>
      <c r="R51" s="18">
        <f>_xlfn.XLOOKUP(CF_Gen_3[[#This Row],[ICG]],Assumptions[ICG],Assumptions[Premium_Refund_Ratio])</f>
        <v>0.5</v>
      </c>
      <c r="S51" s="18">
        <f>IF(CF_Gen_3[[#This Row],[Contract]]="RC",_xlfn.XLOOKUP(CF_Gen_3[[#This Row],[ICG]],Assumptions[ICG],Assumptions[NPR_Ratio]),0)</f>
        <v>0</v>
      </c>
      <c r="T51" s="17">
        <f>T50*(1-CF_Gen_3[[#This Row],[Cancellation_Ratio]])</f>
        <v>2.8553837205777133E-2</v>
      </c>
      <c r="U51" s="19">
        <f>IF(CF_Gen_3[[#This Row],[Incurred]]&lt;=CF_Gen_3[[#This Row],[Valuation]],CF_Gen_3[[#This Row],[Expected_Premium]],-CF_Gen_3[[#This Row],[Probability_of_Inforce]]*CF_Gen_3[[#This Row],[Premium_Refund_Ratio]]*CF_Gen_3[[#This Row],[Cancellation_Ratio]]*SUM(K51:K$105))</f>
        <v>-26866551.14595177</v>
      </c>
      <c r="V5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Row],[Cancellation_Ratio]]*SUM(L51:L$105))</f>
        <v>3883256.257948868</v>
      </c>
      <c r="W51" s="19">
        <f>CF_Gen_3[[#This Row],[Expected_Acquisition]]</f>
        <v>0</v>
      </c>
      <c r="X51" s="19">
        <f>-CF_Gen_3[[#This Row],[Probability_of_Inforce]]*CF_Gen_3[[#This Row],[Earned_Premium]]*(1-CF_Gen_3[[#This Row],[Cancellation_Ratio]])*CF_Gen_3[[#This Row],[PME_Ratio]]+CF_Gen_3[[#This Row],[ULAE_Ratio]]*CF_Gen_3[[#This Row],[Exp_Claim]]</f>
        <v>-2724096.9520415985</v>
      </c>
      <c r="Y51" s="19">
        <f>-CF_Gen_3[[#This Row],[Probability_of_Inforce]]*CF_Gen_3[[#This Row],[Earned_Premium]]*(1-CF_Gen_3[[#This Row],[Cancellation_Ratio]])*CF_Gen_3[[#This Row],[Loss_Ratio]]</f>
        <v>-12243132.368726285</v>
      </c>
      <c r="Z51" s="19">
        <f>CF_Gen_3[[#This Row],[Exp_Claim]]*CF_Gen_3[[#This Row],[Risk_Adjustment_Ratio]]</f>
        <v>-1714038.5316216801</v>
      </c>
      <c r="AA51" s="19">
        <f>IF(CF_Gen_3[[#This Row],[Contract]]="RC",-CF_Gen_3[[#This Row],[NPR_Ratio]]*CF_Gen_3[[#This Row],[Exp_Claim]],0)</f>
        <v>0</v>
      </c>
      <c r="AB51" s="19">
        <f>SUMIFS(Actual_CF[Actual_Premium],Actual_CF[ICG],CF_Gen_3[[#This Row],[ICG]],Actual_CF[Incurred],CF_Gen_3[[#This Row],[Incurred]])</f>
        <v>0</v>
      </c>
      <c r="AC51" s="19">
        <f>SUMIFS(Actual_CF[Actual_Commission],Actual_CF[ICG],CF_Gen_3[[#This Row],[ICG]],Actual_CF[Incurred],CF_Gen_3[[#This Row],[Incurred]])</f>
        <v>0</v>
      </c>
      <c r="AD51" s="19">
        <f>SUMIFS(Actual_CF[Actual_Acquisition],Actual_CF[ICG],CF_Gen_3[[#This Row],[ICG]],Actual_CF[Incurred],CF_Gen_3[[#This Row],[Incurred]])</f>
        <v>0</v>
      </c>
    </row>
    <row r="52" spans="1:30">
      <c r="A52" t="str">
        <f t="shared" si="1"/>
        <v>#2025#IC-Property</v>
      </c>
      <c r="B52">
        <f>_xlfn.XLOOKUP(CF_Gen_3[[#This Row],[ICG]],ICG[ICG],ICG[Cohort])</f>
        <v>2025</v>
      </c>
      <c r="C52" t="str">
        <f>_xlfn.XLOOKUP(CF_Gen_3[[#This Row],[ICG]],ICG[ICG],ICG[Portfolio])</f>
        <v>IC-Property</v>
      </c>
      <c r="D52" t="str">
        <f>_xlfn.XLOOKUP(CF_Gen_3[[#This Row],[ICG]],ICG[ICG],ICG[Contract])</f>
        <v>IC</v>
      </c>
      <c r="E52" s="2">
        <f t="shared" si="0"/>
        <v>45930</v>
      </c>
      <c r="F52">
        <v>51</v>
      </c>
      <c r="G52" s="2">
        <f>EOMONTH(DATE(YEAR(CF_Gen_3[[#This Row],[Valuation]])-1,12,31),CF_Gen_3[[#This Row],['#Incurred]]*3)</f>
        <v>50313</v>
      </c>
      <c r="H52" s="14">
        <f>SUMIFS(Expected_CF[Expected_Premium],Expected_CF[ICG],CF_Gen_3[[#This Row],[ICG]],Expected_CF[Incurred],CF_Gen_3[[#This Row],[Incurred]])</f>
        <v>0</v>
      </c>
      <c r="I52" s="14">
        <f>SUMIFS(Expected_CF[Expected_Commission],Expected_CF[ICG],CF_Gen_3[[#This Row],[ICG]],Expected_CF[Incurred],CF_Gen_3[[#This Row],[Incurred]])</f>
        <v>0</v>
      </c>
      <c r="J52" s="14">
        <f>IF(CF_Gen_3[[#This Row],[Contract]]="IC",SUMIFS(Expected_CF[Expected_Acquisition],Expected_CF[ICG],CF_Gen_3[[#This Row],[ICG]],Expected_CF[Incurred],CF_Gen_3[[#This Row],[Incurred]]),0)</f>
        <v>0</v>
      </c>
      <c r="K52" s="14">
        <f>SUMIFS(Earned[Earned_Premium],Earned[ICG],CF_Gen_3[[#This Row],[ICG]],Earned[Incurred],CF_Gen_3[[#This Row],[Incurred]])</f>
        <v>1118716771.0442345</v>
      </c>
      <c r="L52" s="14">
        <f>SUMIFS(Earned[Earned_Commission],Earned[ICG],CF_Gen_3[[#This Row],[ICG]],Earned[Incurred],CF_Gen_3[[#This Row],[Incurred]])</f>
        <v>-161697862.83433941</v>
      </c>
      <c r="M52" s="18">
        <f>_xlfn.XLOOKUP(CF_Gen_3[[#This Row],[ICG]],Assumptions[ICG],Assumptions[Loss_Ratio])</f>
        <v>0.4</v>
      </c>
      <c r="N52" s="18">
        <f>_xlfn.XLOOKUP(CF_Gen_3[[#This Row],[ICG]],Assumptions[ICG],Assumptions[Risk_Adjustment_Ratio])</f>
        <v>0.14000000000000001</v>
      </c>
      <c r="O52" s="18">
        <f>_xlfn.XLOOKUP(CF_Gen_3[[#This Row],[ICG]],Assumptions[ICG],Assumptions[PME_Ratio])</f>
        <v>4.4999999999999998E-2</v>
      </c>
      <c r="P52" s="18">
        <f>_xlfn.XLOOKUP(CF_Gen_3[[#This Row],[ICG]],Assumptions[ICG],Assumptions[ULAE_Ratio])</f>
        <v>0.11</v>
      </c>
      <c r="Q52" s="18">
        <f>_xlfn.XLOOKUP(CF_Gen_3[[#This Row],[ICG]],Assumptions[ICG],Assumptions[Cancellation_Ratio])</f>
        <v>7.0000000000000007E-2</v>
      </c>
      <c r="R52" s="18">
        <f>_xlfn.XLOOKUP(CF_Gen_3[[#This Row],[ICG]],Assumptions[ICG],Assumptions[Premium_Refund_Ratio])</f>
        <v>0.5</v>
      </c>
      <c r="S52" s="18">
        <f>IF(CF_Gen_3[[#This Row],[Contract]]="RC",_xlfn.XLOOKUP(CF_Gen_3[[#This Row],[ICG]],Assumptions[ICG],Assumptions[NPR_Ratio]),0)</f>
        <v>0</v>
      </c>
      <c r="T52" s="17">
        <f>T51*(1-CF_Gen_3[[#This Row],[Cancellation_Ratio]])</f>
        <v>2.6555068601372734E-2</v>
      </c>
      <c r="U52" s="19">
        <f>IF(CF_Gen_3[[#This Row],[Incurred]]&lt;=CF_Gen_3[[#This Row],[Valuation]],CF_Gen_3[[#This Row],[Expected_Premium]],-CF_Gen_3[[#This Row],[Probability_of_Inforce]]*CF_Gen_3[[#This Row],[Premium_Refund_Ratio]]*CF_Gen_3[[#This Row],[Cancellation_Ratio]]*SUM(K52:K$105))</f>
        <v>-23914618.483471598</v>
      </c>
      <c r="V5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Row],[Cancellation_Ratio]]*SUM(L52:L$105))</f>
        <v>3456587.7614102992</v>
      </c>
      <c r="W52" s="19">
        <f>CF_Gen_3[[#This Row],[Expected_Acquisition]]</f>
        <v>0</v>
      </c>
      <c r="X52" s="19">
        <f>-CF_Gen_3[[#This Row],[Probability_of_Inforce]]*CF_Gen_3[[#This Row],[Earned_Premium]]*(1-CF_Gen_3[[#This Row],[Cancellation_Ratio]])*CF_Gen_3[[#This Row],[PME_Ratio]]+CF_Gen_3[[#This Row],[ULAE_Ratio]]*CF_Gen_3[[#This Row],[Exp_Claim]]</f>
        <v>-2458898.10171049</v>
      </c>
      <c r="Y52" s="19">
        <f>-CF_Gen_3[[#This Row],[Probability_of_Inforce]]*CF_Gen_3[[#This Row],[Earned_Premium]]*(1-CF_Gen_3[[#This Row],[Cancellation_Ratio]])*CF_Gen_3[[#This Row],[Loss_Ratio]]</f>
        <v>-11051227.423417933</v>
      </c>
      <c r="Z52" s="19">
        <f>CF_Gen_3[[#This Row],[Exp_Claim]]*CF_Gen_3[[#This Row],[Risk_Adjustment_Ratio]]</f>
        <v>-1547171.8392785108</v>
      </c>
      <c r="AA52" s="19">
        <f>IF(CF_Gen_3[[#This Row],[Contract]]="RC",-CF_Gen_3[[#This Row],[NPR_Ratio]]*CF_Gen_3[[#This Row],[Exp_Claim]],0)</f>
        <v>0</v>
      </c>
      <c r="AB52" s="19">
        <f>SUMIFS(Actual_CF[Actual_Premium],Actual_CF[ICG],CF_Gen_3[[#This Row],[ICG]],Actual_CF[Incurred],CF_Gen_3[[#This Row],[Incurred]])</f>
        <v>0</v>
      </c>
      <c r="AC52" s="19">
        <f>SUMIFS(Actual_CF[Actual_Commission],Actual_CF[ICG],CF_Gen_3[[#This Row],[ICG]],Actual_CF[Incurred],CF_Gen_3[[#This Row],[Incurred]])</f>
        <v>0</v>
      </c>
      <c r="AD52" s="19">
        <f>SUMIFS(Actual_CF[Actual_Acquisition],Actual_CF[ICG],CF_Gen_3[[#This Row],[ICG]],Actual_CF[Incurred],CF_Gen_3[[#This Row],[Incurred]])</f>
        <v>0</v>
      </c>
    </row>
    <row r="53" spans="1:30">
      <c r="A53" t="str">
        <f t="shared" si="1"/>
        <v>#2025#IC-Property</v>
      </c>
      <c r="B53">
        <f>_xlfn.XLOOKUP(CF_Gen_3[[#This Row],[ICG]],ICG[ICG],ICG[Cohort])</f>
        <v>2025</v>
      </c>
      <c r="C53" t="str">
        <f>_xlfn.XLOOKUP(CF_Gen_3[[#This Row],[ICG]],ICG[ICG],ICG[Portfolio])</f>
        <v>IC-Property</v>
      </c>
      <c r="D53" t="str">
        <f>_xlfn.XLOOKUP(CF_Gen_3[[#This Row],[ICG]],ICG[ICG],ICG[Contract])</f>
        <v>IC</v>
      </c>
      <c r="E53" s="2">
        <f t="shared" si="0"/>
        <v>45930</v>
      </c>
      <c r="F53">
        <v>52</v>
      </c>
      <c r="G53" s="2">
        <f>EOMONTH(DATE(YEAR(CF_Gen_3[[#This Row],[Valuation]])-1,12,31),CF_Gen_3[[#This Row],['#Incurred]]*3)</f>
        <v>50405</v>
      </c>
      <c r="H53" s="14">
        <f>SUMIFS(Expected_CF[Expected_Premium],Expected_CF[ICG],CF_Gen_3[[#This Row],[ICG]],Expected_CF[Incurred],CF_Gen_3[[#This Row],[Incurred]])</f>
        <v>0</v>
      </c>
      <c r="I53" s="14">
        <f>SUMIFS(Expected_CF[Expected_Commission],Expected_CF[ICG],CF_Gen_3[[#This Row],[ICG]],Expected_CF[Incurred],CF_Gen_3[[#This Row],[Incurred]])</f>
        <v>0</v>
      </c>
      <c r="J53" s="14">
        <f>IF(CF_Gen_3[[#This Row],[Contract]]="IC",SUMIFS(Expected_CF[Expected_Acquisition],Expected_CF[ICG],CF_Gen_3[[#This Row],[ICG]],Expected_CF[Incurred],CF_Gen_3[[#This Row],[Incurred]]),0)</f>
        <v>0</v>
      </c>
      <c r="K53" s="14">
        <f>SUMIFS(Earned[Earned_Premium],Earned[ICG],CF_Gen_3[[#This Row],[ICG]],Earned[Incurred],CF_Gen_3[[#This Row],[Incurred]])</f>
        <v>1118716771.0442345</v>
      </c>
      <c r="L53" s="14">
        <f>SUMIFS(Earned[Earned_Commission],Earned[ICG],CF_Gen_3[[#This Row],[ICG]],Earned[Incurred],CF_Gen_3[[#This Row],[Incurred]])</f>
        <v>-161697862.83433941</v>
      </c>
      <c r="M53" s="18">
        <f>_xlfn.XLOOKUP(CF_Gen_3[[#This Row],[ICG]],Assumptions[ICG],Assumptions[Loss_Ratio])</f>
        <v>0.4</v>
      </c>
      <c r="N53" s="18">
        <f>_xlfn.XLOOKUP(CF_Gen_3[[#This Row],[ICG]],Assumptions[ICG],Assumptions[Risk_Adjustment_Ratio])</f>
        <v>0.14000000000000001</v>
      </c>
      <c r="O53" s="18">
        <f>_xlfn.XLOOKUP(CF_Gen_3[[#This Row],[ICG]],Assumptions[ICG],Assumptions[PME_Ratio])</f>
        <v>4.4999999999999998E-2</v>
      </c>
      <c r="P53" s="18">
        <f>_xlfn.XLOOKUP(CF_Gen_3[[#This Row],[ICG]],Assumptions[ICG],Assumptions[ULAE_Ratio])</f>
        <v>0.11</v>
      </c>
      <c r="Q53" s="18">
        <f>_xlfn.XLOOKUP(CF_Gen_3[[#This Row],[ICG]],Assumptions[ICG],Assumptions[Cancellation_Ratio])</f>
        <v>7.0000000000000007E-2</v>
      </c>
      <c r="R53" s="18">
        <f>_xlfn.XLOOKUP(CF_Gen_3[[#This Row],[ICG]],Assumptions[ICG],Assumptions[Premium_Refund_Ratio])</f>
        <v>0.5</v>
      </c>
      <c r="S53" s="18">
        <f>IF(CF_Gen_3[[#This Row],[Contract]]="RC",_xlfn.XLOOKUP(CF_Gen_3[[#This Row],[ICG]],Assumptions[ICG],Assumptions[NPR_Ratio]),0)</f>
        <v>0</v>
      </c>
      <c r="T53" s="17">
        <f>T52*(1-CF_Gen_3[[#This Row],[Cancellation_Ratio]])</f>
        <v>2.469621379927664E-2</v>
      </c>
      <c r="U53" s="19">
        <f>IF(CF_Gen_3[[#This Row],[Incurred]]&lt;=CF_Gen_3[[#This Row],[Valuation]],CF_Gen_3[[#This Row],[Expected_Premium]],-CF_Gen_3[[#This Row],[Probability_of_Inforce]]*CF_Gen_3[[#This Row],[Premium_Refund_Ratio]]*CF_Gen_3[[#This Row],[Cancellation_Ratio]]*SUM(K53:K$105))</f>
        <v>-21273612.790079519</v>
      </c>
      <c r="V5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Row],[Cancellation_Ratio]]*SUM(L53:L$105))</f>
        <v>3074860.2434110739</v>
      </c>
      <c r="W53" s="19">
        <f>CF_Gen_3[[#This Row],[Expected_Acquisition]]</f>
        <v>0</v>
      </c>
      <c r="X53" s="19">
        <f>-CF_Gen_3[[#This Row],[Probability_of_Inforce]]*CF_Gen_3[[#This Row],[Earned_Premium]]*(1-CF_Gen_3[[#This Row],[Cancellation_Ratio]])*CF_Gen_3[[#This Row],[PME_Ratio]]+CF_Gen_3[[#This Row],[ULAE_Ratio]]*CF_Gen_3[[#This Row],[Exp_Claim]]</f>
        <v>-2286775.2345907553</v>
      </c>
      <c r="Y53" s="19">
        <f>-CF_Gen_3[[#This Row],[Probability_of_Inforce]]*CF_Gen_3[[#This Row],[Earned_Premium]]*(1-CF_Gen_3[[#This Row],[Cancellation_Ratio]])*CF_Gen_3[[#This Row],[Loss_Ratio]]</f>
        <v>-10277641.503778676</v>
      </c>
      <c r="Z53" s="19">
        <f>CF_Gen_3[[#This Row],[Exp_Claim]]*CF_Gen_3[[#This Row],[Risk_Adjustment_Ratio]]</f>
        <v>-1438869.8105290148</v>
      </c>
      <c r="AA53" s="19">
        <f>IF(CF_Gen_3[[#This Row],[Contract]]="RC",-CF_Gen_3[[#This Row],[NPR_Ratio]]*CF_Gen_3[[#This Row],[Exp_Claim]],0)</f>
        <v>0</v>
      </c>
      <c r="AB53" s="19">
        <f>SUMIFS(Actual_CF[Actual_Premium],Actual_CF[ICG],CF_Gen_3[[#This Row],[ICG]],Actual_CF[Incurred],CF_Gen_3[[#This Row],[Incurred]])</f>
        <v>0</v>
      </c>
      <c r="AC53" s="19">
        <f>SUMIFS(Actual_CF[Actual_Commission],Actual_CF[ICG],CF_Gen_3[[#This Row],[ICG]],Actual_CF[Incurred],CF_Gen_3[[#This Row],[Incurred]])</f>
        <v>0</v>
      </c>
      <c r="AD53" s="19">
        <f>SUMIFS(Actual_CF[Actual_Acquisition],Actual_CF[ICG],CF_Gen_3[[#This Row],[ICG]],Actual_CF[Incurred],CF_Gen_3[[#This Row],[Incurred]])</f>
        <v>0</v>
      </c>
    </row>
    <row r="54" spans="1:30">
      <c r="A54" t="str">
        <f t="shared" si="1"/>
        <v>#2025#IC-Property</v>
      </c>
      <c r="B54">
        <f>_xlfn.XLOOKUP(CF_Gen_3[[#This Row],[ICG]],ICG[ICG],ICG[Cohort])</f>
        <v>2025</v>
      </c>
      <c r="C54" t="str">
        <f>_xlfn.XLOOKUP(CF_Gen_3[[#This Row],[ICG]],ICG[ICG],ICG[Portfolio])</f>
        <v>IC-Property</v>
      </c>
      <c r="D54" t="str">
        <f>_xlfn.XLOOKUP(CF_Gen_3[[#This Row],[ICG]],ICG[ICG],ICG[Contract])</f>
        <v>IC</v>
      </c>
      <c r="E54" s="2">
        <f t="shared" si="0"/>
        <v>45930</v>
      </c>
      <c r="F54">
        <v>53</v>
      </c>
      <c r="G54" s="2">
        <f>EOMONTH(DATE(YEAR(CF_Gen_3[[#This Row],[Valuation]])-1,12,31),CF_Gen_3[[#This Row],['#Incurred]]*3)</f>
        <v>50495</v>
      </c>
      <c r="H54" s="14">
        <f>SUMIFS(Expected_CF[Expected_Premium],Expected_CF[ICG],CF_Gen_3[[#This Row],[ICG]],Expected_CF[Incurred],CF_Gen_3[[#This Row],[Incurred]])</f>
        <v>0</v>
      </c>
      <c r="I54" s="14">
        <f>SUMIFS(Expected_CF[Expected_Commission],Expected_CF[ICG],CF_Gen_3[[#This Row],[ICG]],Expected_CF[Incurred],CF_Gen_3[[#This Row],[Incurred]])</f>
        <v>0</v>
      </c>
      <c r="J54" s="14">
        <f>IF(CF_Gen_3[[#This Row],[Contract]]="IC",SUMIFS(Expected_CF[Expected_Acquisition],Expected_CF[ICG],CF_Gen_3[[#This Row],[ICG]],Expected_CF[Incurred],CF_Gen_3[[#This Row],[Incurred]]),0)</f>
        <v>0</v>
      </c>
      <c r="K54" s="14">
        <f>SUMIFS(Earned[Earned_Premium],Earned[ICG],CF_Gen_3[[#This Row],[ICG]],Earned[Incurred],CF_Gen_3[[#This Row],[Incurred]])</f>
        <v>1084816262.8307731</v>
      </c>
      <c r="L54" s="14">
        <f>SUMIFS(Earned[Earned_Commission],Earned[ICG],CF_Gen_3[[#This Row],[ICG]],Earned[Incurred],CF_Gen_3[[#This Row],[Incurred]])</f>
        <v>-156797927.59693521</v>
      </c>
      <c r="M54" s="18">
        <f>_xlfn.XLOOKUP(CF_Gen_3[[#This Row],[ICG]],Assumptions[ICG],Assumptions[Loss_Ratio])</f>
        <v>0.4</v>
      </c>
      <c r="N54" s="18">
        <f>_xlfn.XLOOKUP(CF_Gen_3[[#This Row],[ICG]],Assumptions[ICG],Assumptions[Risk_Adjustment_Ratio])</f>
        <v>0.14000000000000001</v>
      </c>
      <c r="O54" s="18">
        <f>_xlfn.XLOOKUP(CF_Gen_3[[#This Row],[ICG]],Assumptions[ICG],Assumptions[PME_Ratio])</f>
        <v>4.4999999999999998E-2</v>
      </c>
      <c r="P54" s="18">
        <f>_xlfn.XLOOKUP(CF_Gen_3[[#This Row],[ICG]],Assumptions[ICG],Assumptions[ULAE_Ratio])</f>
        <v>0.11</v>
      </c>
      <c r="Q54" s="18">
        <f>_xlfn.XLOOKUP(CF_Gen_3[[#This Row],[ICG]],Assumptions[ICG],Assumptions[Cancellation_Ratio])</f>
        <v>7.0000000000000007E-2</v>
      </c>
      <c r="R54" s="18">
        <f>_xlfn.XLOOKUP(CF_Gen_3[[#This Row],[ICG]],Assumptions[ICG],Assumptions[Premium_Refund_Ratio])</f>
        <v>0.5</v>
      </c>
      <c r="S54" s="18">
        <f>IF(CF_Gen_3[[#This Row],[Contract]]="RC",_xlfn.XLOOKUP(CF_Gen_3[[#This Row],[ICG]],Assumptions[ICG],Assumptions[NPR_Ratio]),0)</f>
        <v>0</v>
      </c>
      <c r="T54" s="17">
        <f>T53*(1-CF_Gen_3[[#This Row],[Cancellation_Ratio]])</f>
        <v>2.2967478833327275E-2</v>
      </c>
      <c r="U54" s="19">
        <f>IF(CF_Gen_3[[#This Row],[Incurred]]&lt;=CF_Gen_3[[#This Row],[Valuation]],CF_Gen_3[[#This Row],[Expected_Premium]],-CF_Gen_3[[#This Row],[Probability_of_Inforce]]*CF_Gen_3[[#This Row],[Premium_Refund_Ratio]]*CF_Gen_3[[#This Row],[Cancellation_Ratio]]*SUM(K54:K$105))</f>
        <v>-18885166.263193317</v>
      </c>
      <c r="V5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Row],[Cancellation_Ratio]]*SUM(L54:L$105))</f>
        <v>2729637.2979008304</v>
      </c>
      <c r="W54" s="19">
        <f>CF_Gen_3[[#This Row],[Expected_Acquisition]]</f>
        <v>0</v>
      </c>
      <c r="X54" s="19">
        <f>-CF_Gen_3[[#This Row],[Probability_of_Inforce]]*CF_Gen_3[[#This Row],[Earned_Premium]]*(1-CF_Gen_3[[#This Row],[Cancellation_Ratio]])*CF_Gen_3[[#This Row],[PME_Ratio]]+CF_Gen_3[[#This Row],[ULAE_Ratio]]*CF_Gen_3[[#This Row],[Exp_Claim]]</f>
        <v>-2062255.4842854817</v>
      </c>
      <c r="Y54" s="19">
        <f>-CF_Gen_3[[#This Row],[Probability_of_Inforce]]*CF_Gen_3[[#This Row],[Earned_Premium]]*(1-CF_Gen_3[[#This Row],[Cancellation_Ratio]])*CF_Gen_3[[#This Row],[Loss_Ratio]]</f>
        <v>-9268563.9743167721</v>
      </c>
      <c r="Z54" s="19">
        <f>CF_Gen_3[[#This Row],[Exp_Claim]]*CF_Gen_3[[#This Row],[Risk_Adjustment_Ratio]]</f>
        <v>-1297598.9564043481</v>
      </c>
      <c r="AA54" s="19">
        <f>IF(CF_Gen_3[[#This Row],[Contract]]="RC",-CF_Gen_3[[#This Row],[NPR_Ratio]]*CF_Gen_3[[#This Row],[Exp_Claim]],0)</f>
        <v>0</v>
      </c>
      <c r="AB54" s="19">
        <f>SUMIFS(Actual_CF[Actual_Premium],Actual_CF[ICG],CF_Gen_3[[#This Row],[ICG]],Actual_CF[Incurred],CF_Gen_3[[#This Row],[Incurred]])</f>
        <v>0</v>
      </c>
      <c r="AC54" s="19">
        <f>SUMIFS(Actual_CF[Actual_Commission],Actual_CF[ICG],CF_Gen_3[[#This Row],[ICG]],Actual_CF[Incurred],CF_Gen_3[[#This Row],[Incurred]])</f>
        <v>0</v>
      </c>
      <c r="AD54" s="19">
        <f>SUMIFS(Actual_CF[Actual_Acquisition],Actual_CF[ICG],CF_Gen_3[[#This Row],[ICG]],Actual_CF[Incurred],CF_Gen_3[[#This Row],[Incurred]])</f>
        <v>0</v>
      </c>
    </row>
    <row r="55" spans="1:30">
      <c r="A55" t="str">
        <f t="shared" si="1"/>
        <v>#2025#IC-Property</v>
      </c>
      <c r="B55">
        <f>_xlfn.XLOOKUP(CF_Gen_3[[#This Row],[ICG]],ICG[ICG],ICG[Cohort])</f>
        <v>2025</v>
      </c>
      <c r="C55" t="str">
        <f>_xlfn.XLOOKUP(CF_Gen_3[[#This Row],[ICG]],ICG[ICG],ICG[Portfolio])</f>
        <v>IC-Property</v>
      </c>
      <c r="D55" t="str">
        <f>_xlfn.XLOOKUP(CF_Gen_3[[#This Row],[ICG]],ICG[ICG],ICG[Contract])</f>
        <v>IC</v>
      </c>
      <c r="E55" s="2">
        <f t="shared" si="0"/>
        <v>45930</v>
      </c>
      <c r="F55">
        <v>54</v>
      </c>
      <c r="G55" s="2">
        <f>EOMONTH(DATE(YEAR(CF_Gen_3[[#This Row],[Valuation]])-1,12,31),CF_Gen_3[[#This Row],['#Incurred]]*3)</f>
        <v>50586</v>
      </c>
      <c r="H55" s="14">
        <f>SUMIFS(Expected_CF[Expected_Premium],Expected_CF[ICG],CF_Gen_3[[#This Row],[ICG]],Expected_CF[Incurred],CF_Gen_3[[#This Row],[Incurred]])</f>
        <v>0</v>
      </c>
      <c r="I55" s="14">
        <f>SUMIFS(Expected_CF[Expected_Commission],Expected_CF[ICG],CF_Gen_3[[#This Row],[ICG]],Expected_CF[Incurred],CF_Gen_3[[#This Row],[Incurred]])</f>
        <v>0</v>
      </c>
      <c r="J55" s="14">
        <f>IF(CF_Gen_3[[#This Row],[Contract]]="IC",SUMIFS(Expected_CF[Expected_Acquisition],Expected_CF[ICG],CF_Gen_3[[#This Row],[ICG]],Expected_CF[Incurred],CF_Gen_3[[#This Row],[Incurred]]),0)</f>
        <v>0</v>
      </c>
      <c r="K55" s="14">
        <f>SUMIFS(Earned[Earned_Premium],Earned[ICG],CF_Gen_3[[#This Row],[ICG]],Earned[Incurred],CF_Gen_3[[#This Row],[Incurred]])</f>
        <v>1050915754.6173114</v>
      </c>
      <c r="L55" s="14">
        <f>SUMIFS(Earned[Earned_Commission],Earned[ICG],CF_Gen_3[[#This Row],[ICG]],Earned[Incurred],CF_Gen_3[[#This Row],[Incurred]])</f>
        <v>-151897992.35953096</v>
      </c>
      <c r="M55" s="18">
        <f>_xlfn.XLOOKUP(CF_Gen_3[[#This Row],[ICG]],Assumptions[ICG],Assumptions[Loss_Ratio])</f>
        <v>0.4</v>
      </c>
      <c r="N55" s="18">
        <f>_xlfn.XLOOKUP(CF_Gen_3[[#This Row],[ICG]],Assumptions[ICG],Assumptions[Risk_Adjustment_Ratio])</f>
        <v>0.14000000000000001</v>
      </c>
      <c r="O55" s="18">
        <f>_xlfn.XLOOKUP(CF_Gen_3[[#This Row],[ICG]],Assumptions[ICG],Assumptions[PME_Ratio])</f>
        <v>4.4999999999999998E-2</v>
      </c>
      <c r="P55" s="18">
        <f>_xlfn.XLOOKUP(CF_Gen_3[[#This Row],[ICG]],Assumptions[ICG],Assumptions[ULAE_Ratio])</f>
        <v>0.11</v>
      </c>
      <c r="Q55" s="18">
        <f>_xlfn.XLOOKUP(CF_Gen_3[[#This Row],[ICG]],Assumptions[ICG],Assumptions[Cancellation_Ratio])</f>
        <v>7.0000000000000007E-2</v>
      </c>
      <c r="R55" s="18">
        <f>_xlfn.XLOOKUP(CF_Gen_3[[#This Row],[ICG]],Assumptions[ICG],Assumptions[Premium_Refund_Ratio])</f>
        <v>0.5</v>
      </c>
      <c r="S55" s="18">
        <f>IF(CF_Gen_3[[#This Row],[Contract]]="RC",_xlfn.XLOOKUP(CF_Gen_3[[#This Row],[ICG]],Assumptions[ICG],Assumptions[NPR_Ratio]),0)</f>
        <v>0</v>
      </c>
      <c r="T55" s="17">
        <f>T54*(1-CF_Gen_3[[#This Row],[Cancellation_Ratio]])</f>
        <v>2.1359755314994365E-2</v>
      </c>
      <c r="U55" s="19">
        <f>IF(CF_Gen_3[[#This Row],[Incurred]]&lt;=CF_Gen_3[[#This Row],[Valuation]],CF_Gen_3[[#This Row],[Expected_Premium]],-CF_Gen_3[[#This Row],[Probability_of_Inforce]]*CF_Gen_3[[#This Row],[Premium_Refund_Ratio]]*CF_Gen_3[[#This Row],[Cancellation_Ratio]]*SUM(K55:K$105))</f>
        <v>-16752205.277017068</v>
      </c>
      <c r="V5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Row],[Cancellation_Ratio]]*SUM(L55:L$105))</f>
        <v>2421341.8991898671</v>
      </c>
      <c r="W55" s="19">
        <f>CF_Gen_3[[#This Row],[Expected_Acquisition]]</f>
        <v>0</v>
      </c>
      <c r="X55" s="19">
        <f>-CF_Gen_3[[#This Row],[Probability_of_Inforce]]*CF_Gen_3[[#This Row],[Earned_Premium]]*(1-CF_Gen_3[[#This Row],[Cancellation_Ratio]])*CF_Gen_3[[#This Row],[PME_Ratio]]+CF_Gen_3[[#This Row],[ULAE_Ratio]]*CF_Gen_3[[#This Row],[Exp_Claim]]</f>
        <v>-1857963.3003734511</v>
      </c>
      <c r="Y55" s="19">
        <f>-CF_Gen_3[[#This Row],[Probability_of_Inforce]]*CF_Gen_3[[#This Row],[Earned_Premium]]*(1-CF_Gen_3[[#This Row],[Cancellation_Ratio]])*CF_Gen_3[[#This Row],[Loss_Ratio]]</f>
        <v>-8350396.855611016</v>
      </c>
      <c r="Z55" s="19">
        <f>CF_Gen_3[[#This Row],[Exp_Claim]]*CF_Gen_3[[#This Row],[Risk_Adjustment_Ratio]]</f>
        <v>-1169055.5597855423</v>
      </c>
      <c r="AA55" s="19">
        <f>IF(CF_Gen_3[[#This Row],[Contract]]="RC",-CF_Gen_3[[#This Row],[NPR_Ratio]]*CF_Gen_3[[#This Row],[Exp_Claim]],0)</f>
        <v>0</v>
      </c>
      <c r="AB55" s="19">
        <f>SUMIFS(Actual_CF[Actual_Premium],Actual_CF[ICG],CF_Gen_3[[#This Row],[ICG]],Actual_CF[Incurred],CF_Gen_3[[#This Row],[Incurred]])</f>
        <v>0</v>
      </c>
      <c r="AC55" s="19">
        <f>SUMIFS(Actual_CF[Actual_Commission],Actual_CF[ICG],CF_Gen_3[[#This Row],[ICG]],Actual_CF[Incurred],CF_Gen_3[[#This Row],[Incurred]])</f>
        <v>0</v>
      </c>
      <c r="AD55" s="19">
        <f>SUMIFS(Actual_CF[Actual_Acquisition],Actual_CF[ICG],CF_Gen_3[[#This Row],[ICG]],Actual_CF[Incurred],CF_Gen_3[[#This Row],[Incurred]])</f>
        <v>0</v>
      </c>
    </row>
    <row r="56" spans="1:30">
      <c r="A56" t="str">
        <f t="shared" si="1"/>
        <v>#2025#IC-Property</v>
      </c>
      <c r="B56">
        <f>_xlfn.XLOOKUP(CF_Gen_3[[#This Row],[ICG]],ICG[ICG],ICG[Cohort])</f>
        <v>2025</v>
      </c>
      <c r="C56" t="str">
        <f>_xlfn.XLOOKUP(CF_Gen_3[[#This Row],[ICG]],ICG[ICG],ICG[Portfolio])</f>
        <v>IC-Property</v>
      </c>
      <c r="D56" t="str">
        <f>_xlfn.XLOOKUP(CF_Gen_3[[#This Row],[ICG]],ICG[ICG],ICG[Contract])</f>
        <v>IC</v>
      </c>
      <c r="E56" s="2">
        <f t="shared" si="0"/>
        <v>45930</v>
      </c>
      <c r="F56">
        <v>55</v>
      </c>
      <c r="G56" s="2">
        <f>EOMONTH(DATE(YEAR(CF_Gen_3[[#This Row],[Valuation]])-1,12,31),CF_Gen_3[[#This Row],['#Incurred]]*3)</f>
        <v>50678</v>
      </c>
      <c r="H56" s="14">
        <f>SUMIFS(Expected_CF[Expected_Premium],Expected_CF[ICG],CF_Gen_3[[#This Row],[ICG]],Expected_CF[Incurred],CF_Gen_3[[#This Row],[Incurred]])</f>
        <v>0</v>
      </c>
      <c r="I56" s="14">
        <f>SUMIFS(Expected_CF[Expected_Commission],Expected_CF[ICG],CF_Gen_3[[#This Row],[ICG]],Expected_CF[Incurred],CF_Gen_3[[#This Row],[Incurred]])</f>
        <v>0</v>
      </c>
      <c r="J56" s="14">
        <f>IF(CF_Gen_3[[#This Row],[Contract]]="IC",SUMIFS(Expected_CF[Expected_Acquisition],Expected_CF[ICG],CF_Gen_3[[#This Row],[ICG]],Expected_CF[Incurred],CF_Gen_3[[#This Row],[Incurred]]),0)</f>
        <v>0</v>
      </c>
      <c r="K56" s="14">
        <f>SUMIFS(Earned[Earned_Premium],Earned[ICG],CF_Gen_3[[#This Row],[ICG]],Earned[Incurred],CF_Gen_3[[#This Row],[Incurred]])</f>
        <v>1017015246.4038496</v>
      </c>
      <c r="L56" s="14">
        <f>SUMIFS(Earned[Earned_Commission],Earned[ICG],CF_Gen_3[[#This Row],[ICG]],Earned[Incurred],CF_Gen_3[[#This Row],[Incurred]])</f>
        <v>-146998057.12212673</v>
      </c>
      <c r="M56" s="18">
        <f>_xlfn.XLOOKUP(CF_Gen_3[[#This Row],[ICG]],Assumptions[ICG],Assumptions[Loss_Ratio])</f>
        <v>0.4</v>
      </c>
      <c r="N56" s="18">
        <f>_xlfn.XLOOKUP(CF_Gen_3[[#This Row],[ICG]],Assumptions[ICG],Assumptions[Risk_Adjustment_Ratio])</f>
        <v>0.14000000000000001</v>
      </c>
      <c r="O56" s="18">
        <f>_xlfn.XLOOKUP(CF_Gen_3[[#This Row],[ICG]],Assumptions[ICG],Assumptions[PME_Ratio])</f>
        <v>4.4999999999999998E-2</v>
      </c>
      <c r="P56" s="18">
        <f>_xlfn.XLOOKUP(CF_Gen_3[[#This Row],[ICG]],Assumptions[ICG],Assumptions[ULAE_Ratio])</f>
        <v>0.11</v>
      </c>
      <c r="Q56" s="18">
        <f>_xlfn.XLOOKUP(CF_Gen_3[[#This Row],[ICG]],Assumptions[ICG],Assumptions[Cancellation_Ratio])</f>
        <v>7.0000000000000007E-2</v>
      </c>
      <c r="R56" s="18">
        <f>_xlfn.XLOOKUP(CF_Gen_3[[#This Row],[ICG]],Assumptions[ICG],Assumptions[Premium_Refund_Ratio])</f>
        <v>0.5</v>
      </c>
      <c r="S56" s="18">
        <f>IF(CF_Gen_3[[#This Row],[Contract]]="RC",_xlfn.XLOOKUP(CF_Gen_3[[#This Row],[ICG]],Assumptions[ICG],Assumptions[NPR_Ratio]),0)</f>
        <v>0</v>
      </c>
      <c r="T56" s="17">
        <f>T55*(1-CF_Gen_3[[#This Row],[Cancellation_Ratio]])</f>
        <v>1.9864572442944758E-2</v>
      </c>
      <c r="U56" s="19">
        <f>IF(CF_Gen_3[[#This Row],[Incurred]]&lt;=CF_Gen_3[[#This Row],[Valuation]],CF_Gen_3[[#This Row],[Expected_Premium]],-CF_Gen_3[[#This Row],[Probability_of_Inforce]]*CF_Gen_3[[#This Row],[Premium_Refund_Ratio]]*CF_Gen_3[[#This Row],[Cancellation_Ratio]]*SUM(K56:K$105))</f>
        <v>-14848891.182759911</v>
      </c>
      <c r="V5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Row],[Cancellation_Ratio]]*SUM(L56:L$105))</f>
        <v>2146239.3626858438</v>
      </c>
      <c r="W56" s="19">
        <f>CF_Gen_3[[#This Row],[Expected_Acquisition]]</f>
        <v>0</v>
      </c>
      <c r="X56" s="19">
        <f>-CF_Gen_3[[#This Row],[Probability_of_Inforce]]*CF_Gen_3[[#This Row],[Earned_Premium]]*(1-CF_Gen_3[[#This Row],[Cancellation_Ratio]])*CF_Gen_3[[#This Row],[PME_Ratio]]+CF_Gen_3[[#This Row],[ULAE_Ratio]]*CF_Gen_3[[#This Row],[Exp_Claim]]</f>
        <v>-1672166.9703361057</v>
      </c>
      <c r="Y56" s="19">
        <f>-CF_Gen_3[[#This Row],[Probability_of_Inforce]]*CF_Gen_3[[#This Row],[Earned_Premium]]*(1-CF_Gen_3[[#This Row],[Cancellation_Ratio]])*CF_Gen_3[[#This Row],[Loss_Ratio]]</f>
        <v>-7515357.1700499132</v>
      </c>
      <c r="Z56" s="19">
        <f>CF_Gen_3[[#This Row],[Exp_Claim]]*CF_Gen_3[[#This Row],[Risk_Adjustment_Ratio]]</f>
        <v>-1052150.003806988</v>
      </c>
      <c r="AA56" s="19">
        <f>IF(CF_Gen_3[[#This Row],[Contract]]="RC",-CF_Gen_3[[#This Row],[NPR_Ratio]]*CF_Gen_3[[#This Row],[Exp_Claim]],0)</f>
        <v>0</v>
      </c>
      <c r="AB56" s="19">
        <f>SUMIFS(Actual_CF[Actual_Premium],Actual_CF[ICG],CF_Gen_3[[#This Row],[ICG]],Actual_CF[Incurred],CF_Gen_3[[#This Row],[Incurred]])</f>
        <v>0</v>
      </c>
      <c r="AC56" s="19">
        <f>SUMIFS(Actual_CF[Actual_Commission],Actual_CF[ICG],CF_Gen_3[[#This Row],[ICG]],Actual_CF[Incurred],CF_Gen_3[[#This Row],[Incurred]])</f>
        <v>0</v>
      </c>
      <c r="AD56" s="19">
        <f>SUMIFS(Actual_CF[Actual_Acquisition],Actual_CF[ICG],CF_Gen_3[[#This Row],[ICG]],Actual_CF[Incurred],CF_Gen_3[[#This Row],[Incurred]])</f>
        <v>0</v>
      </c>
    </row>
    <row r="57" spans="1:30">
      <c r="A57" t="str">
        <f t="shared" si="1"/>
        <v>#2025#IC-Property</v>
      </c>
      <c r="B57">
        <f>_xlfn.XLOOKUP(CF_Gen_3[[#This Row],[ICG]],ICG[ICG],ICG[Cohort])</f>
        <v>2025</v>
      </c>
      <c r="C57" t="str">
        <f>_xlfn.XLOOKUP(CF_Gen_3[[#This Row],[ICG]],ICG[ICG],ICG[Portfolio])</f>
        <v>IC-Property</v>
      </c>
      <c r="D57" t="str">
        <f>_xlfn.XLOOKUP(CF_Gen_3[[#This Row],[ICG]],ICG[ICG],ICG[Contract])</f>
        <v>IC</v>
      </c>
      <c r="E57" s="2">
        <f t="shared" si="0"/>
        <v>45930</v>
      </c>
      <c r="F57">
        <v>56</v>
      </c>
      <c r="G57" s="2">
        <f>EOMONTH(DATE(YEAR(CF_Gen_3[[#This Row],[Valuation]])-1,12,31),CF_Gen_3[[#This Row],['#Incurred]]*3)</f>
        <v>50770</v>
      </c>
      <c r="H57" s="14">
        <f>SUMIFS(Expected_CF[Expected_Premium],Expected_CF[ICG],CF_Gen_3[[#This Row],[ICG]],Expected_CF[Incurred],CF_Gen_3[[#This Row],[Incurred]])</f>
        <v>0</v>
      </c>
      <c r="I57" s="14">
        <f>SUMIFS(Expected_CF[Expected_Commission],Expected_CF[ICG],CF_Gen_3[[#This Row],[ICG]],Expected_CF[Incurred],CF_Gen_3[[#This Row],[Incurred]])</f>
        <v>0</v>
      </c>
      <c r="J57" s="14">
        <f>IF(CF_Gen_3[[#This Row],[Contract]]="IC",SUMIFS(Expected_CF[Expected_Acquisition],Expected_CF[ICG],CF_Gen_3[[#This Row],[ICG]],Expected_CF[Incurred],CF_Gen_3[[#This Row],[Incurred]]),0)</f>
        <v>0</v>
      </c>
      <c r="K57" s="14">
        <f>SUMIFS(Earned[Earned_Premium],Earned[ICG],CF_Gen_3[[#This Row],[ICG]],Earned[Incurred],CF_Gen_3[[#This Row],[Incurred]])</f>
        <v>1017015246.4038496</v>
      </c>
      <c r="L57" s="14">
        <f>SUMIFS(Earned[Earned_Commission],Earned[ICG],CF_Gen_3[[#This Row],[ICG]],Earned[Incurred],CF_Gen_3[[#This Row],[Incurred]])</f>
        <v>-146998057.12212673</v>
      </c>
      <c r="M57" s="18">
        <f>_xlfn.XLOOKUP(CF_Gen_3[[#This Row],[ICG]],Assumptions[ICG],Assumptions[Loss_Ratio])</f>
        <v>0.4</v>
      </c>
      <c r="N57" s="18">
        <f>_xlfn.XLOOKUP(CF_Gen_3[[#This Row],[ICG]],Assumptions[ICG],Assumptions[Risk_Adjustment_Ratio])</f>
        <v>0.14000000000000001</v>
      </c>
      <c r="O57" s="18">
        <f>_xlfn.XLOOKUP(CF_Gen_3[[#This Row],[ICG]],Assumptions[ICG],Assumptions[PME_Ratio])</f>
        <v>4.4999999999999998E-2</v>
      </c>
      <c r="P57" s="18">
        <f>_xlfn.XLOOKUP(CF_Gen_3[[#This Row],[ICG]],Assumptions[ICG],Assumptions[ULAE_Ratio])</f>
        <v>0.11</v>
      </c>
      <c r="Q57" s="18">
        <f>_xlfn.XLOOKUP(CF_Gen_3[[#This Row],[ICG]],Assumptions[ICG],Assumptions[Cancellation_Ratio])</f>
        <v>7.0000000000000007E-2</v>
      </c>
      <c r="R57" s="18">
        <f>_xlfn.XLOOKUP(CF_Gen_3[[#This Row],[ICG]],Assumptions[ICG],Assumptions[Premium_Refund_Ratio])</f>
        <v>0.5</v>
      </c>
      <c r="S57" s="18">
        <f>IF(CF_Gen_3[[#This Row],[Contract]]="RC",_xlfn.XLOOKUP(CF_Gen_3[[#This Row],[ICG]],Assumptions[ICG],Assumptions[NPR_Ratio]),0)</f>
        <v>0</v>
      </c>
      <c r="T57" s="17">
        <f>T56*(1-CF_Gen_3[[#This Row],[Cancellation_Ratio]])</f>
        <v>1.8474052371938623E-2</v>
      </c>
      <c r="U57" s="19">
        <f>IF(CF_Gen_3[[#This Row],[Incurred]]&lt;=CF_Gen_3[[#This Row],[Valuation]],CF_Gen_3[[#This Row],[Expected_Premium]],-CF_Gen_3[[#This Row],[Probability_of_Inforce]]*CF_Gen_3[[#This Row],[Premium_Refund_Ratio]]*CF_Gen_3[[#This Row],[Cancellation_Ratio]]*SUM(K57:K$105))</f>
        <v>-13151875.047587348</v>
      </c>
      <c r="V5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Row],[Cancellation_Ratio]]*SUM(L57:L$105))</f>
        <v>1900954.8640931761</v>
      </c>
      <c r="W57" s="19">
        <f>CF_Gen_3[[#This Row],[Expected_Acquisition]]</f>
        <v>0</v>
      </c>
      <c r="X57" s="19">
        <f>-CF_Gen_3[[#This Row],[Probability_of_Inforce]]*CF_Gen_3[[#This Row],[Earned_Premium]]*(1-CF_Gen_3[[#This Row],[Cancellation_Ratio]])*CF_Gen_3[[#This Row],[PME_Ratio]]+CF_Gen_3[[#This Row],[ULAE_Ratio]]*CF_Gen_3[[#This Row],[Exp_Claim]]</f>
        <v>-1555115.2824125784</v>
      </c>
      <c r="Y57" s="19">
        <f>-CF_Gen_3[[#This Row],[Probability_of_Inforce]]*CF_Gen_3[[#This Row],[Earned_Premium]]*(1-CF_Gen_3[[#This Row],[Cancellation_Ratio]])*CF_Gen_3[[#This Row],[Loss_Ratio]]</f>
        <v>-6989282.1681464203</v>
      </c>
      <c r="Z57" s="19">
        <f>CF_Gen_3[[#This Row],[Exp_Claim]]*CF_Gen_3[[#This Row],[Risk_Adjustment_Ratio]]</f>
        <v>-978499.5035404989</v>
      </c>
      <c r="AA57" s="19">
        <f>IF(CF_Gen_3[[#This Row],[Contract]]="RC",-CF_Gen_3[[#This Row],[NPR_Ratio]]*CF_Gen_3[[#This Row],[Exp_Claim]],0)</f>
        <v>0</v>
      </c>
      <c r="AB57" s="19">
        <f>SUMIFS(Actual_CF[Actual_Premium],Actual_CF[ICG],CF_Gen_3[[#This Row],[ICG]],Actual_CF[Incurred],CF_Gen_3[[#This Row],[Incurred]])</f>
        <v>0</v>
      </c>
      <c r="AC57" s="19">
        <f>SUMIFS(Actual_CF[Actual_Commission],Actual_CF[ICG],CF_Gen_3[[#This Row],[ICG]],Actual_CF[Incurred],CF_Gen_3[[#This Row],[Incurred]])</f>
        <v>0</v>
      </c>
      <c r="AD57" s="19">
        <f>SUMIFS(Actual_CF[Actual_Acquisition],Actual_CF[ICG],CF_Gen_3[[#This Row],[ICG]],Actual_CF[Incurred],CF_Gen_3[[#This Row],[Incurred]])</f>
        <v>0</v>
      </c>
    </row>
    <row r="58" spans="1:30">
      <c r="A58" t="str">
        <f t="shared" si="1"/>
        <v>#2025#IC-Property</v>
      </c>
      <c r="B58">
        <f>_xlfn.XLOOKUP(CF_Gen_3[[#This Row],[ICG]],ICG[ICG],ICG[Cohort])</f>
        <v>2025</v>
      </c>
      <c r="C58" t="str">
        <f>_xlfn.XLOOKUP(CF_Gen_3[[#This Row],[ICG]],ICG[ICG],ICG[Portfolio])</f>
        <v>IC-Property</v>
      </c>
      <c r="D58" t="str">
        <f>_xlfn.XLOOKUP(CF_Gen_3[[#This Row],[ICG]],ICG[ICG],ICG[Contract])</f>
        <v>IC</v>
      </c>
      <c r="E58" s="2">
        <f t="shared" si="0"/>
        <v>45930</v>
      </c>
      <c r="F58">
        <v>57</v>
      </c>
      <c r="G58" s="2">
        <f>EOMONTH(DATE(YEAR(CF_Gen_3[[#This Row],[Valuation]])-1,12,31),CF_Gen_3[[#This Row],['#Incurred]]*3)</f>
        <v>50860</v>
      </c>
      <c r="H58" s="14">
        <f>SUMIFS(Expected_CF[Expected_Premium],Expected_CF[ICG],CF_Gen_3[[#This Row],[ICG]],Expected_CF[Incurred],CF_Gen_3[[#This Row],[Incurred]])</f>
        <v>0</v>
      </c>
      <c r="I58" s="14">
        <f>SUMIFS(Expected_CF[Expected_Commission],Expected_CF[ICG],CF_Gen_3[[#This Row],[ICG]],Expected_CF[Incurred],CF_Gen_3[[#This Row],[Incurred]])</f>
        <v>0</v>
      </c>
      <c r="J58" s="14">
        <f>IF(CF_Gen_3[[#This Row],[Contract]]="IC",SUMIFS(Expected_CF[Expected_Acquisition],Expected_CF[ICG],CF_Gen_3[[#This Row],[ICG]],Expected_CF[Incurred],CF_Gen_3[[#This Row],[Incurred]]),0)</f>
        <v>0</v>
      </c>
      <c r="K58" s="14">
        <f>SUMIFS(Earned[Earned_Premium],Earned[ICG],CF_Gen_3[[#This Row],[ICG]],Earned[Incurred],CF_Gen_3[[#This Row],[Incurred]])</f>
        <v>983114738.19038808</v>
      </c>
      <c r="L58" s="14">
        <f>SUMIFS(Earned[Earned_Commission],Earned[ICG],CF_Gen_3[[#This Row],[ICG]],Earned[Incurred],CF_Gen_3[[#This Row],[Incurred]])</f>
        <v>-142098121.88472253</v>
      </c>
      <c r="M58" s="18">
        <f>_xlfn.XLOOKUP(CF_Gen_3[[#This Row],[ICG]],Assumptions[ICG],Assumptions[Loss_Ratio])</f>
        <v>0.4</v>
      </c>
      <c r="N58" s="18">
        <f>_xlfn.XLOOKUP(CF_Gen_3[[#This Row],[ICG]],Assumptions[ICG],Assumptions[Risk_Adjustment_Ratio])</f>
        <v>0.14000000000000001</v>
      </c>
      <c r="O58" s="18">
        <f>_xlfn.XLOOKUP(CF_Gen_3[[#This Row],[ICG]],Assumptions[ICG],Assumptions[PME_Ratio])</f>
        <v>4.4999999999999998E-2</v>
      </c>
      <c r="P58" s="18">
        <f>_xlfn.XLOOKUP(CF_Gen_3[[#This Row],[ICG]],Assumptions[ICG],Assumptions[ULAE_Ratio])</f>
        <v>0.11</v>
      </c>
      <c r="Q58" s="18">
        <f>_xlfn.XLOOKUP(CF_Gen_3[[#This Row],[ICG]],Assumptions[ICG],Assumptions[Cancellation_Ratio])</f>
        <v>7.0000000000000007E-2</v>
      </c>
      <c r="R58" s="18">
        <f>_xlfn.XLOOKUP(CF_Gen_3[[#This Row],[ICG]],Assumptions[ICG],Assumptions[Premium_Refund_Ratio])</f>
        <v>0.5</v>
      </c>
      <c r="S58" s="18">
        <f>IF(CF_Gen_3[[#This Row],[Contract]]="RC",_xlfn.XLOOKUP(CF_Gen_3[[#This Row],[ICG]],Assumptions[ICG],Assumptions[NPR_Ratio]),0)</f>
        <v>0</v>
      </c>
      <c r="T58" s="17">
        <f>T57*(1-CF_Gen_3[[#This Row],[Cancellation_Ratio]])</f>
        <v>1.7180868705902918E-2</v>
      </c>
      <c r="U58" s="19">
        <f>IF(CF_Gen_3[[#This Row],[Incurred]]&lt;=CF_Gen_3[[#This Row],[Valuation]],CF_Gen_3[[#This Row],[Expected_Premium]],-CF_Gen_3[[#This Row],[Probability_of_Inforce]]*CF_Gen_3[[#This Row],[Premium_Refund_Ratio]]*CF_Gen_3[[#This Row],[Cancellation_Ratio]]*SUM(K58:K$105))</f>
        <v>-11619681.60454342</v>
      </c>
      <c r="V5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Row],[Cancellation_Ratio]]*SUM(L58:L$105))</f>
        <v>1679493.6224263208</v>
      </c>
      <c r="W58" s="19">
        <f>CF_Gen_3[[#This Row],[Expected_Acquisition]]</f>
        <v>0</v>
      </c>
      <c r="X58" s="19">
        <f>-CF_Gen_3[[#This Row],[Probability_of_Inforce]]*CF_Gen_3[[#This Row],[Earned_Premium]]*(1-CF_Gen_3[[#This Row],[Cancellation_Ratio]])*CF_Gen_3[[#This Row],[PME_Ratio]]+CF_Gen_3[[#This Row],[ULAE_Ratio]]*CF_Gen_3[[#This Row],[Exp_Claim]]</f>
        <v>-1398048.6388889076</v>
      </c>
      <c r="Y58" s="19">
        <f>-CF_Gen_3[[#This Row],[Probability_of_Inforce]]*CF_Gen_3[[#This Row],[Earned_Premium]]*(1-CF_Gen_3[[#This Row],[Cancellation_Ratio]])*CF_Gen_3[[#This Row],[Loss_Ratio]]</f>
        <v>-6283364.6691636303</v>
      </c>
      <c r="Z58" s="19">
        <f>CF_Gen_3[[#This Row],[Exp_Claim]]*CF_Gen_3[[#This Row],[Risk_Adjustment_Ratio]]</f>
        <v>-879671.0536829083</v>
      </c>
      <c r="AA58" s="19">
        <f>IF(CF_Gen_3[[#This Row],[Contract]]="RC",-CF_Gen_3[[#This Row],[NPR_Ratio]]*CF_Gen_3[[#This Row],[Exp_Claim]],0)</f>
        <v>0</v>
      </c>
      <c r="AB58" s="19">
        <f>SUMIFS(Actual_CF[Actual_Premium],Actual_CF[ICG],CF_Gen_3[[#This Row],[ICG]],Actual_CF[Incurred],CF_Gen_3[[#This Row],[Incurred]])</f>
        <v>0</v>
      </c>
      <c r="AC58" s="19">
        <f>SUMIFS(Actual_CF[Actual_Commission],Actual_CF[ICG],CF_Gen_3[[#This Row],[ICG]],Actual_CF[Incurred],CF_Gen_3[[#This Row],[Incurred]])</f>
        <v>0</v>
      </c>
      <c r="AD58" s="19">
        <f>SUMIFS(Actual_CF[Actual_Acquisition],Actual_CF[ICG],CF_Gen_3[[#This Row],[ICG]],Actual_CF[Incurred],CF_Gen_3[[#This Row],[Incurred]])</f>
        <v>0</v>
      </c>
    </row>
    <row r="59" spans="1:30">
      <c r="A59" t="str">
        <f t="shared" si="1"/>
        <v>#2025#IC-Property</v>
      </c>
      <c r="B59">
        <f>_xlfn.XLOOKUP(CF_Gen_3[[#This Row],[ICG]],ICG[ICG],ICG[Cohort])</f>
        <v>2025</v>
      </c>
      <c r="C59" t="str">
        <f>_xlfn.XLOOKUP(CF_Gen_3[[#This Row],[ICG]],ICG[ICG],ICG[Portfolio])</f>
        <v>IC-Property</v>
      </c>
      <c r="D59" t="str">
        <f>_xlfn.XLOOKUP(CF_Gen_3[[#This Row],[ICG]],ICG[ICG],ICG[Contract])</f>
        <v>IC</v>
      </c>
      <c r="E59" s="2">
        <f t="shared" si="0"/>
        <v>45930</v>
      </c>
      <c r="F59">
        <v>58</v>
      </c>
      <c r="G59" s="2">
        <f>EOMONTH(DATE(YEAR(CF_Gen_3[[#This Row],[Valuation]])-1,12,31),CF_Gen_3[[#This Row],['#Incurred]]*3)</f>
        <v>50951</v>
      </c>
      <c r="H59" s="14">
        <f>SUMIFS(Expected_CF[Expected_Premium],Expected_CF[ICG],CF_Gen_3[[#This Row],[ICG]],Expected_CF[Incurred],CF_Gen_3[[#This Row],[Incurred]])</f>
        <v>0</v>
      </c>
      <c r="I59" s="14">
        <f>SUMIFS(Expected_CF[Expected_Commission],Expected_CF[ICG],CF_Gen_3[[#This Row],[ICG]],Expected_CF[Incurred],CF_Gen_3[[#This Row],[Incurred]])</f>
        <v>0</v>
      </c>
      <c r="J59" s="14">
        <f>IF(CF_Gen_3[[#This Row],[Contract]]="IC",SUMIFS(Expected_CF[Expected_Acquisition],Expected_CF[ICG],CF_Gen_3[[#This Row],[ICG]],Expected_CF[Incurred],CF_Gen_3[[#This Row],[Incurred]]),0)</f>
        <v>0</v>
      </c>
      <c r="K59" s="14">
        <f>SUMIFS(Earned[Earned_Premium],Earned[ICG],CF_Gen_3[[#This Row],[ICG]],Earned[Incurred],CF_Gen_3[[#This Row],[Incurred]])</f>
        <v>949214229.97692633</v>
      </c>
      <c r="L59" s="14">
        <f>SUMIFS(Earned[Earned_Commission],Earned[ICG],CF_Gen_3[[#This Row],[ICG]],Earned[Incurred],CF_Gen_3[[#This Row],[Incurred]])</f>
        <v>-137198186.6473183</v>
      </c>
      <c r="M59" s="18">
        <f>_xlfn.XLOOKUP(CF_Gen_3[[#This Row],[ICG]],Assumptions[ICG],Assumptions[Loss_Ratio])</f>
        <v>0.4</v>
      </c>
      <c r="N59" s="18">
        <f>_xlfn.XLOOKUP(CF_Gen_3[[#This Row],[ICG]],Assumptions[ICG],Assumptions[Risk_Adjustment_Ratio])</f>
        <v>0.14000000000000001</v>
      </c>
      <c r="O59" s="18">
        <f>_xlfn.XLOOKUP(CF_Gen_3[[#This Row],[ICG]],Assumptions[ICG],Assumptions[PME_Ratio])</f>
        <v>4.4999999999999998E-2</v>
      </c>
      <c r="P59" s="18">
        <f>_xlfn.XLOOKUP(CF_Gen_3[[#This Row],[ICG]],Assumptions[ICG],Assumptions[ULAE_Ratio])</f>
        <v>0.11</v>
      </c>
      <c r="Q59" s="18">
        <f>_xlfn.XLOOKUP(CF_Gen_3[[#This Row],[ICG]],Assumptions[ICG],Assumptions[Cancellation_Ratio])</f>
        <v>7.0000000000000007E-2</v>
      </c>
      <c r="R59" s="18">
        <f>_xlfn.XLOOKUP(CF_Gen_3[[#This Row],[ICG]],Assumptions[ICG],Assumptions[Premium_Refund_Ratio])</f>
        <v>0.5</v>
      </c>
      <c r="S59" s="18">
        <f>IF(CF_Gen_3[[#This Row],[Contract]]="RC",_xlfn.XLOOKUP(CF_Gen_3[[#This Row],[ICG]],Assumptions[ICG],Assumptions[NPR_Ratio]),0)</f>
        <v>0</v>
      </c>
      <c r="T59" s="17">
        <f>T58*(1-CF_Gen_3[[#This Row],[Cancellation_Ratio]])</f>
        <v>1.5978207896489714E-2</v>
      </c>
      <c r="U59" s="19">
        <f>IF(CF_Gen_3[[#This Row],[Incurred]]&lt;=CF_Gen_3[[#This Row],[Valuation]],CF_Gen_3[[#This Row],[Expected_Premium]],-CF_Gen_3[[#This Row],[Probability_of_Inforce]]*CF_Gen_3[[#This Row],[Premium_Refund_Ratio]]*CF_Gen_3[[#This Row],[Cancellation_Ratio]]*SUM(K59:K$105))</f>
        <v>-10256509.483673561</v>
      </c>
      <c r="V5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Row],[Cancellation_Ratio]]*SUM(L59:L$105))</f>
        <v>1482462.502195359</v>
      </c>
      <c r="W59" s="19">
        <f>CF_Gen_3[[#This Row],[Expected_Acquisition]]</f>
        <v>0</v>
      </c>
      <c r="X59" s="19">
        <f>-CF_Gen_3[[#This Row],[Probability_of_Inforce]]*CF_Gen_3[[#This Row],[Earned_Premium]]*(1-CF_Gen_3[[#This Row],[Cancellation_Ratio]])*CF_Gen_3[[#This Row],[PME_Ratio]]+CF_Gen_3[[#This Row],[ULAE_Ratio]]*CF_Gen_3[[#This Row],[Exp_Claim]]</f>
        <v>-1255351.2605747292</v>
      </c>
      <c r="Y59" s="19">
        <f>-CF_Gen_3[[#This Row],[Probability_of_Inforce]]*CF_Gen_3[[#This Row],[Earned_Premium]]*(1-CF_Gen_3[[#This Row],[Cancellation_Ratio]])*CF_Gen_3[[#This Row],[Loss_Ratio]]</f>
        <v>-5642028.1374145141</v>
      </c>
      <c r="Z59" s="19">
        <f>CF_Gen_3[[#This Row],[Exp_Claim]]*CF_Gen_3[[#This Row],[Risk_Adjustment_Ratio]]</f>
        <v>-789883.93923803209</v>
      </c>
      <c r="AA59" s="19">
        <f>IF(CF_Gen_3[[#This Row],[Contract]]="RC",-CF_Gen_3[[#This Row],[NPR_Ratio]]*CF_Gen_3[[#This Row],[Exp_Claim]],0)</f>
        <v>0</v>
      </c>
      <c r="AB59" s="19">
        <f>SUMIFS(Actual_CF[Actual_Premium],Actual_CF[ICG],CF_Gen_3[[#This Row],[ICG]],Actual_CF[Incurred],CF_Gen_3[[#This Row],[Incurred]])</f>
        <v>0</v>
      </c>
      <c r="AC59" s="19">
        <f>SUMIFS(Actual_CF[Actual_Commission],Actual_CF[ICG],CF_Gen_3[[#This Row],[ICG]],Actual_CF[Incurred],CF_Gen_3[[#This Row],[Incurred]])</f>
        <v>0</v>
      </c>
      <c r="AD59" s="19">
        <f>SUMIFS(Actual_CF[Actual_Acquisition],Actual_CF[ICG],CF_Gen_3[[#This Row],[ICG]],Actual_CF[Incurred],CF_Gen_3[[#This Row],[Incurred]])</f>
        <v>0</v>
      </c>
    </row>
    <row r="60" spans="1:30">
      <c r="A60" t="str">
        <f t="shared" si="1"/>
        <v>#2025#IC-Property</v>
      </c>
      <c r="B60">
        <f>_xlfn.XLOOKUP(CF_Gen_3[[#This Row],[ICG]],ICG[ICG],ICG[Cohort])</f>
        <v>2025</v>
      </c>
      <c r="C60" t="str">
        <f>_xlfn.XLOOKUP(CF_Gen_3[[#This Row],[ICG]],ICG[ICG],ICG[Portfolio])</f>
        <v>IC-Property</v>
      </c>
      <c r="D60" t="str">
        <f>_xlfn.XLOOKUP(CF_Gen_3[[#This Row],[ICG]],ICG[ICG],ICG[Contract])</f>
        <v>IC</v>
      </c>
      <c r="E60" s="2">
        <f t="shared" si="0"/>
        <v>45930</v>
      </c>
      <c r="F60">
        <v>59</v>
      </c>
      <c r="G60" s="2">
        <f>EOMONTH(DATE(YEAR(CF_Gen_3[[#This Row],[Valuation]])-1,12,31),CF_Gen_3[[#This Row],['#Incurred]]*3)</f>
        <v>51043</v>
      </c>
      <c r="H60" s="14">
        <f>SUMIFS(Expected_CF[Expected_Premium],Expected_CF[ICG],CF_Gen_3[[#This Row],[ICG]],Expected_CF[Incurred],CF_Gen_3[[#This Row],[Incurred]])</f>
        <v>0</v>
      </c>
      <c r="I60" s="14">
        <f>SUMIFS(Expected_CF[Expected_Commission],Expected_CF[ICG],CF_Gen_3[[#This Row],[ICG]],Expected_CF[Incurred],CF_Gen_3[[#This Row],[Incurred]])</f>
        <v>0</v>
      </c>
      <c r="J60" s="14">
        <f>IF(CF_Gen_3[[#This Row],[Contract]]="IC",SUMIFS(Expected_CF[Expected_Acquisition],Expected_CF[ICG],CF_Gen_3[[#This Row],[ICG]],Expected_CF[Incurred],CF_Gen_3[[#This Row],[Incurred]]),0)</f>
        <v>0</v>
      </c>
      <c r="K60" s="14">
        <f>SUMIFS(Earned[Earned_Premium],Earned[ICG],CF_Gen_3[[#This Row],[ICG]],Earned[Incurred],CF_Gen_3[[#This Row],[Incurred]])</f>
        <v>915313721.76346469</v>
      </c>
      <c r="L60" s="14">
        <f>SUMIFS(Earned[Earned_Commission],Earned[ICG],CF_Gen_3[[#This Row],[ICG]],Earned[Incurred],CF_Gen_3[[#This Row],[Incurred]])</f>
        <v>-132298251.40991406</v>
      </c>
      <c r="M60" s="18">
        <f>_xlfn.XLOOKUP(CF_Gen_3[[#This Row],[ICG]],Assumptions[ICG],Assumptions[Loss_Ratio])</f>
        <v>0.4</v>
      </c>
      <c r="N60" s="18">
        <f>_xlfn.XLOOKUP(CF_Gen_3[[#This Row],[ICG]],Assumptions[ICG],Assumptions[Risk_Adjustment_Ratio])</f>
        <v>0.14000000000000001</v>
      </c>
      <c r="O60" s="18">
        <f>_xlfn.XLOOKUP(CF_Gen_3[[#This Row],[ICG]],Assumptions[ICG],Assumptions[PME_Ratio])</f>
        <v>4.4999999999999998E-2</v>
      </c>
      <c r="P60" s="18">
        <f>_xlfn.XLOOKUP(CF_Gen_3[[#This Row],[ICG]],Assumptions[ICG],Assumptions[ULAE_Ratio])</f>
        <v>0.11</v>
      </c>
      <c r="Q60" s="18">
        <f>_xlfn.XLOOKUP(CF_Gen_3[[#This Row],[ICG]],Assumptions[ICG],Assumptions[Cancellation_Ratio])</f>
        <v>7.0000000000000007E-2</v>
      </c>
      <c r="R60" s="18">
        <f>_xlfn.XLOOKUP(CF_Gen_3[[#This Row],[ICG]],Assumptions[ICG],Assumptions[Premium_Refund_Ratio])</f>
        <v>0.5</v>
      </c>
      <c r="S60" s="18">
        <f>IF(CF_Gen_3[[#This Row],[Contract]]="RC",_xlfn.XLOOKUP(CF_Gen_3[[#This Row],[ICG]],Assumptions[ICG],Assumptions[NPR_Ratio]),0)</f>
        <v>0</v>
      </c>
      <c r="T60" s="17">
        <f>T59*(1-CF_Gen_3[[#This Row],[Cancellation_Ratio]])</f>
        <v>1.4859733343735432E-2</v>
      </c>
      <c r="U60" s="19">
        <f>IF(CF_Gen_3[[#This Row],[Incurred]]&lt;=CF_Gen_3[[#This Row],[Valuation]],CF_Gen_3[[#This Row],[Expected_Premium]],-CF_Gen_3[[#This Row],[Probability_of_Inforce]]*CF_Gen_3[[#This Row],[Premium_Refund_Ratio]]*CF_Gen_3[[#This Row],[Cancellation_Ratio]]*SUM(K60:K$105))</f>
        <v>-9044876.3577926438</v>
      </c>
      <c r="V6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Row],[Cancellation_Ratio]]*SUM(L60:L$105))</f>
        <v>1307334.6306328722</v>
      </c>
      <c r="W60" s="19">
        <f>CF_Gen_3[[#This Row],[Expected_Acquisition]]</f>
        <v>0</v>
      </c>
      <c r="X60" s="19">
        <f>-CF_Gen_3[[#This Row],[Probability_of_Inforce]]*CF_Gen_3[[#This Row],[Earned_Premium]]*(1-CF_Gen_3[[#This Row],[Cancellation_Ratio]])*CF_Gen_3[[#This Row],[PME_Ratio]]+CF_Gen_3[[#This Row],[ULAE_Ratio]]*CF_Gen_3[[#This Row],[Exp_Claim]]</f>
        <v>-1125781.0768939804</v>
      </c>
      <c r="Y60" s="19">
        <f>-CF_Gen_3[[#This Row],[Probability_of_Inforce]]*CF_Gen_3[[#This Row],[Earned_Premium]]*(1-CF_Gen_3[[#This Row],[Cancellation_Ratio]])*CF_Gen_3[[#This Row],[Loss_Ratio]]</f>
        <v>-5059690.2332313731</v>
      </c>
      <c r="Z60" s="19">
        <f>CF_Gen_3[[#This Row],[Exp_Claim]]*CF_Gen_3[[#This Row],[Risk_Adjustment_Ratio]]</f>
        <v>-708356.63265239226</v>
      </c>
      <c r="AA60" s="19">
        <f>IF(CF_Gen_3[[#This Row],[Contract]]="RC",-CF_Gen_3[[#This Row],[NPR_Ratio]]*CF_Gen_3[[#This Row],[Exp_Claim]],0)</f>
        <v>0</v>
      </c>
      <c r="AB60" s="19">
        <f>SUMIFS(Actual_CF[Actual_Premium],Actual_CF[ICG],CF_Gen_3[[#This Row],[ICG]],Actual_CF[Incurred],CF_Gen_3[[#This Row],[Incurred]])</f>
        <v>0</v>
      </c>
      <c r="AC60" s="19">
        <f>SUMIFS(Actual_CF[Actual_Commission],Actual_CF[ICG],CF_Gen_3[[#This Row],[ICG]],Actual_CF[Incurred],CF_Gen_3[[#This Row],[Incurred]])</f>
        <v>0</v>
      </c>
      <c r="AD60" s="19">
        <f>SUMIFS(Actual_CF[Actual_Acquisition],Actual_CF[ICG],CF_Gen_3[[#This Row],[ICG]],Actual_CF[Incurred],CF_Gen_3[[#This Row],[Incurred]])</f>
        <v>0</v>
      </c>
    </row>
    <row r="61" spans="1:30">
      <c r="A61" t="str">
        <f t="shared" si="1"/>
        <v>#2025#IC-Property</v>
      </c>
      <c r="B61">
        <f>_xlfn.XLOOKUP(CF_Gen_3[[#This Row],[ICG]],ICG[ICG],ICG[Cohort])</f>
        <v>2025</v>
      </c>
      <c r="C61" t="str">
        <f>_xlfn.XLOOKUP(CF_Gen_3[[#This Row],[ICG]],ICG[ICG],ICG[Portfolio])</f>
        <v>IC-Property</v>
      </c>
      <c r="D61" t="str">
        <f>_xlfn.XLOOKUP(CF_Gen_3[[#This Row],[ICG]],ICG[ICG],ICG[Contract])</f>
        <v>IC</v>
      </c>
      <c r="E61" s="2">
        <f t="shared" si="0"/>
        <v>45930</v>
      </c>
      <c r="F61">
        <v>60</v>
      </c>
      <c r="G61" s="2">
        <f>EOMONTH(DATE(YEAR(CF_Gen_3[[#This Row],[Valuation]])-1,12,31),CF_Gen_3[[#This Row],['#Incurred]]*3)</f>
        <v>51135</v>
      </c>
      <c r="H61" s="14">
        <f>SUMIFS(Expected_CF[Expected_Premium],Expected_CF[ICG],CF_Gen_3[[#This Row],[ICG]],Expected_CF[Incurred],CF_Gen_3[[#This Row],[Incurred]])</f>
        <v>0</v>
      </c>
      <c r="I61" s="14">
        <f>SUMIFS(Expected_CF[Expected_Commission],Expected_CF[ICG],CF_Gen_3[[#This Row],[ICG]],Expected_CF[Incurred],CF_Gen_3[[#This Row],[Incurred]])</f>
        <v>0</v>
      </c>
      <c r="J61" s="14">
        <f>IF(CF_Gen_3[[#This Row],[Contract]]="IC",SUMIFS(Expected_CF[Expected_Acquisition],Expected_CF[ICG],CF_Gen_3[[#This Row],[ICG]],Expected_CF[Incurred],CF_Gen_3[[#This Row],[Incurred]]),0)</f>
        <v>0</v>
      </c>
      <c r="K61" s="14">
        <f>SUMIFS(Earned[Earned_Premium],Earned[ICG],CF_Gen_3[[#This Row],[ICG]],Earned[Incurred],CF_Gen_3[[#This Row],[Incurred]])</f>
        <v>915313721.76346469</v>
      </c>
      <c r="L61" s="14">
        <f>SUMIFS(Earned[Earned_Commission],Earned[ICG],CF_Gen_3[[#This Row],[ICG]],Earned[Incurred],CF_Gen_3[[#This Row],[Incurred]])</f>
        <v>-132298251.40991406</v>
      </c>
      <c r="M61" s="18">
        <f>_xlfn.XLOOKUP(CF_Gen_3[[#This Row],[ICG]],Assumptions[ICG],Assumptions[Loss_Ratio])</f>
        <v>0.4</v>
      </c>
      <c r="N61" s="18">
        <f>_xlfn.XLOOKUP(CF_Gen_3[[#This Row],[ICG]],Assumptions[ICG],Assumptions[Risk_Adjustment_Ratio])</f>
        <v>0.14000000000000001</v>
      </c>
      <c r="O61" s="18">
        <f>_xlfn.XLOOKUP(CF_Gen_3[[#This Row],[ICG]],Assumptions[ICG],Assumptions[PME_Ratio])</f>
        <v>4.4999999999999998E-2</v>
      </c>
      <c r="P61" s="18">
        <f>_xlfn.XLOOKUP(CF_Gen_3[[#This Row],[ICG]],Assumptions[ICG],Assumptions[ULAE_Ratio])</f>
        <v>0.11</v>
      </c>
      <c r="Q61" s="18">
        <f>_xlfn.XLOOKUP(CF_Gen_3[[#This Row],[ICG]],Assumptions[ICG],Assumptions[Cancellation_Ratio])</f>
        <v>7.0000000000000007E-2</v>
      </c>
      <c r="R61" s="18">
        <f>_xlfn.XLOOKUP(CF_Gen_3[[#This Row],[ICG]],Assumptions[ICG],Assumptions[Premium_Refund_Ratio])</f>
        <v>0.5</v>
      </c>
      <c r="S61" s="18">
        <f>IF(CF_Gen_3[[#This Row],[Contract]]="RC",_xlfn.XLOOKUP(CF_Gen_3[[#This Row],[ICG]],Assumptions[ICG],Assumptions[NPR_Ratio]),0)</f>
        <v>0</v>
      </c>
      <c r="T61" s="17">
        <f>T60*(1-CF_Gen_3[[#This Row],[Cancellation_Ratio]])</f>
        <v>1.3819552009673951E-2</v>
      </c>
      <c r="U61" s="19">
        <f>IF(CF_Gen_3[[#This Row],[Incurred]]&lt;=CF_Gen_3[[#This Row],[Valuation]],CF_Gen_3[[#This Row],[Expected_Premium]],-CF_Gen_3[[#This Row],[Probability_of_Inforce]]*CF_Gen_3[[#This Row],[Premium_Refund_Ratio]]*CF_Gen_3[[#This Row],[Cancellation_Ratio]]*SUM(K61:K$105))</f>
        <v>-7969012.1173394127</v>
      </c>
      <c r="V6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Row],[Cancellation_Ratio]]*SUM(L61:L$105))</f>
        <v>1151830.6166733832</v>
      </c>
      <c r="W61" s="19">
        <f>CF_Gen_3[[#This Row],[Expected_Acquisition]]</f>
        <v>0</v>
      </c>
      <c r="X61" s="19">
        <f>-CF_Gen_3[[#This Row],[Probability_of_Inforce]]*CF_Gen_3[[#This Row],[Earned_Premium]]*(1-CF_Gen_3[[#This Row],[Cancellation_Ratio]])*CF_Gen_3[[#This Row],[PME_Ratio]]+CF_Gen_3[[#This Row],[ULAE_Ratio]]*CF_Gen_3[[#This Row],[Exp_Claim]]</f>
        <v>-1046976.4015114019</v>
      </c>
      <c r="Y61" s="19">
        <f>-CF_Gen_3[[#This Row],[Probability_of_Inforce]]*CF_Gen_3[[#This Row],[Earned_Premium]]*(1-CF_Gen_3[[#This Row],[Cancellation_Ratio]])*CF_Gen_3[[#This Row],[Loss_Ratio]]</f>
        <v>-4705511.9169051768</v>
      </c>
      <c r="Z61" s="19">
        <f>CF_Gen_3[[#This Row],[Exp_Claim]]*CF_Gen_3[[#This Row],[Risk_Adjustment_Ratio]]</f>
        <v>-658771.66836672486</v>
      </c>
      <c r="AA61" s="19">
        <f>IF(CF_Gen_3[[#This Row],[Contract]]="RC",-CF_Gen_3[[#This Row],[NPR_Ratio]]*CF_Gen_3[[#This Row],[Exp_Claim]],0)</f>
        <v>0</v>
      </c>
      <c r="AB61" s="19">
        <f>SUMIFS(Actual_CF[Actual_Premium],Actual_CF[ICG],CF_Gen_3[[#This Row],[ICG]],Actual_CF[Incurred],CF_Gen_3[[#This Row],[Incurred]])</f>
        <v>0</v>
      </c>
      <c r="AC61" s="19">
        <f>SUMIFS(Actual_CF[Actual_Commission],Actual_CF[ICG],CF_Gen_3[[#This Row],[ICG]],Actual_CF[Incurred],CF_Gen_3[[#This Row],[Incurred]])</f>
        <v>0</v>
      </c>
      <c r="AD61" s="19">
        <f>SUMIFS(Actual_CF[Actual_Acquisition],Actual_CF[ICG],CF_Gen_3[[#This Row],[ICG]],Actual_CF[Incurred],CF_Gen_3[[#This Row],[Incurred]])</f>
        <v>0</v>
      </c>
    </row>
    <row r="62" spans="1:30">
      <c r="A62" t="str">
        <f t="shared" si="1"/>
        <v>#2025#IC-Property</v>
      </c>
      <c r="B62">
        <f>_xlfn.XLOOKUP(CF_Gen_3[[#This Row],[ICG]],ICG[ICG],ICG[Cohort])</f>
        <v>2025</v>
      </c>
      <c r="C62" t="str">
        <f>_xlfn.XLOOKUP(CF_Gen_3[[#This Row],[ICG]],ICG[ICG],ICG[Portfolio])</f>
        <v>IC-Property</v>
      </c>
      <c r="D62" t="str">
        <f>_xlfn.XLOOKUP(CF_Gen_3[[#This Row],[ICG]],ICG[ICG],ICG[Contract])</f>
        <v>IC</v>
      </c>
      <c r="E62" s="2">
        <f t="shared" si="0"/>
        <v>45930</v>
      </c>
      <c r="F62">
        <v>61</v>
      </c>
      <c r="G62" s="2">
        <f>EOMONTH(DATE(YEAR(CF_Gen_3[[#This Row],[Valuation]])-1,12,31),CF_Gen_3[[#This Row],['#Incurred]]*3)</f>
        <v>51226</v>
      </c>
      <c r="H62" s="14">
        <f>SUMIFS(Expected_CF[Expected_Premium],Expected_CF[ICG],CF_Gen_3[[#This Row],[ICG]],Expected_CF[Incurred],CF_Gen_3[[#This Row],[Incurred]])</f>
        <v>0</v>
      </c>
      <c r="I62" s="14">
        <f>SUMIFS(Expected_CF[Expected_Commission],Expected_CF[ICG],CF_Gen_3[[#This Row],[ICG]],Expected_CF[Incurred],CF_Gen_3[[#This Row],[Incurred]])</f>
        <v>0</v>
      </c>
      <c r="J62" s="14">
        <f>IF(CF_Gen_3[[#This Row],[Contract]]="IC",SUMIFS(Expected_CF[Expected_Acquisition],Expected_CF[ICG],CF_Gen_3[[#This Row],[ICG]],Expected_CF[Incurred],CF_Gen_3[[#This Row],[Incurred]]),0)</f>
        <v>0</v>
      </c>
      <c r="K62" s="14">
        <f>SUMIFS(Earned[Earned_Premium],Earned[ICG],CF_Gen_3[[#This Row],[ICG]],Earned[Incurred],CF_Gen_3[[#This Row],[Incurred]])</f>
        <v>881413213.55000317</v>
      </c>
      <c r="L62" s="14">
        <f>SUMIFS(Earned[Earned_Commission],Earned[ICG],CF_Gen_3[[#This Row],[ICG]],Earned[Incurred],CF_Gen_3[[#This Row],[Incurred]])</f>
        <v>-127398316.17250986</v>
      </c>
      <c r="M62" s="18">
        <f>_xlfn.XLOOKUP(CF_Gen_3[[#This Row],[ICG]],Assumptions[ICG],Assumptions[Loss_Ratio])</f>
        <v>0.4</v>
      </c>
      <c r="N62" s="18">
        <f>_xlfn.XLOOKUP(CF_Gen_3[[#This Row],[ICG]],Assumptions[ICG],Assumptions[Risk_Adjustment_Ratio])</f>
        <v>0.14000000000000001</v>
      </c>
      <c r="O62" s="18">
        <f>_xlfn.XLOOKUP(CF_Gen_3[[#This Row],[ICG]],Assumptions[ICG],Assumptions[PME_Ratio])</f>
        <v>4.4999999999999998E-2</v>
      </c>
      <c r="P62" s="18">
        <f>_xlfn.XLOOKUP(CF_Gen_3[[#This Row],[ICG]],Assumptions[ICG],Assumptions[ULAE_Ratio])</f>
        <v>0.11</v>
      </c>
      <c r="Q62" s="18">
        <f>_xlfn.XLOOKUP(CF_Gen_3[[#This Row],[ICG]],Assumptions[ICG],Assumptions[Cancellation_Ratio])</f>
        <v>7.0000000000000007E-2</v>
      </c>
      <c r="R62" s="18">
        <f>_xlfn.XLOOKUP(CF_Gen_3[[#This Row],[ICG]],Assumptions[ICG],Assumptions[Premium_Refund_Ratio])</f>
        <v>0.5</v>
      </c>
      <c r="S62" s="18">
        <f>IF(CF_Gen_3[[#This Row],[Contract]]="RC",_xlfn.XLOOKUP(CF_Gen_3[[#This Row],[ICG]],Assumptions[ICG],Assumptions[NPR_Ratio]),0)</f>
        <v>0</v>
      </c>
      <c r="T62" s="17">
        <f>T61*(1-CF_Gen_3[[#This Row],[Cancellation_Ratio]])</f>
        <v>1.2852183368996774E-2</v>
      </c>
      <c r="U62" s="19">
        <f>IF(CF_Gen_3[[#This Row],[Incurred]]&lt;=CF_Gen_3[[#This Row],[Valuation]],CF_Gen_3[[#This Row],[Expected_Premium]],-CF_Gen_3[[#This Row],[Probability_of_Inforce]]*CF_Gen_3[[#This Row],[Premium_Refund_Ratio]]*CF_Gen_3[[#This Row],[Cancellation_Ratio]]*SUM(K62:K$105))</f>
        <v>-6999448.9763964498</v>
      </c>
      <c r="V6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Row],[Cancellation_Ratio]]*SUM(L62:L$105))</f>
        <v>1011691.2249781213</v>
      </c>
      <c r="W62" s="19">
        <f>CF_Gen_3[[#This Row],[Expected_Acquisition]]</f>
        <v>0</v>
      </c>
      <c r="X62" s="19">
        <f>-CF_Gen_3[[#This Row],[Probability_of_Inforce]]*CF_Gen_3[[#This Row],[Earned_Premium]]*(1-CF_Gen_3[[#This Row],[Cancellation_Ratio]])*CF_Gen_3[[#This Row],[PME_Ratio]]+CF_Gen_3[[#This Row],[ULAE_Ratio]]*CF_Gen_3[[#This Row],[Exp_Claim]]</f>
        <v>-937625.53290909994</v>
      </c>
      <c r="Y62" s="19">
        <f>-CF_Gen_3[[#This Row],[Probability_of_Inforce]]*CF_Gen_3[[#This Row],[Earned_Premium]]*(1-CF_Gen_3[[#This Row],[Cancellation_Ratio]])*CF_Gen_3[[#This Row],[Loss_Ratio]]</f>
        <v>-4214047.3389173029</v>
      </c>
      <c r="Z62" s="19">
        <f>CF_Gen_3[[#This Row],[Exp_Claim]]*CF_Gen_3[[#This Row],[Risk_Adjustment_Ratio]]</f>
        <v>-589966.62744842249</v>
      </c>
      <c r="AA62" s="19">
        <f>IF(CF_Gen_3[[#This Row],[Contract]]="RC",-CF_Gen_3[[#This Row],[NPR_Ratio]]*CF_Gen_3[[#This Row],[Exp_Claim]],0)</f>
        <v>0</v>
      </c>
      <c r="AB62" s="19">
        <f>SUMIFS(Actual_CF[Actual_Premium],Actual_CF[ICG],CF_Gen_3[[#This Row],[ICG]],Actual_CF[Incurred],CF_Gen_3[[#This Row],[Incurred]])</f>
        <v>0</v>
      </c>
      <c r="AC62" s="19">
        <f>SUMIFS(Actual_CF[Actual_Commission],Actual_CF[ICG],CF_Gen_3[[#This Row],[ICG]],Actual_CF[Incurred],CF_Gen_3[[#This Row],[Incurred]])</f>
        <v>0</v>
      </c>
      <c r="AD62" s="19">
        <f>SUMIFS(Actual_CF[Actual_Acquisition],Actual_CF[ICG],CF_Gen_3[[#This Row],[ICG]],Actual_CF[Incurred],CF_Gen_3[[#This Row],[Incurred]])</f>
        <v>0</v>
      </c>
    </row>
    <row r="63" spans="1:30">
      <c r="A63" t="str">
        <f t="shared" si="1"/>
        <v>#2025#IC-Property</v>
      </c>
      <c r="B63">
        <f>_xlfn.XLOOKUP(CF_Gen_3[[#This Row],[ICG]],ICG[ICG],ICG[Cohort])</f>
        <v>2025</v>
      </c>
      <c r="C63" t="str">
        <f>_xlfn.XLOOKUP(CF_Gen_3[[#This Row],[ICG]],ICG[ICG],ICG[Portfolio])</f>
        <v>IC-Property</v>
      </c>
      <c r="D63" t="str">
        <f>_xlfn.XLOOKUP(CF_Gen_3[[#This Row],[ICG]],ICG[ICG],ICG[Contract])</f>
        <v>IC</v>
      </c>
      <c r="E63" s="2">
        <f t="shared" si="0"/>
        <v>45930</v>
      </c>
      <c r="F63">
        <v>62</v>
      </c>
      <c r="G63" s="2">
        <f>EOMONTH(DATE(YEAR(CF_Gen_3[[#This Row],[Valuation]])-1,12,31),CF_Gen_3[[#This Row],['#Incurred]]*3)</f>
        <v>51317</v>
      </c>
      <c r="H63" s="14">
        <f>SUMIFS(Expected_CF[Expected_Premium],Expected_CF[ICG],CF_Gen_3[[#This Row],[ICG]],Expected_CF[Incurred],CF_Gen_3[[#This Row],[Incurred]])</f>
        <v>0</v>
      </c>
      <c r="I63" s="14">
        <f>SUMIFS(Expected_CF[Expected_Commission],Expected_CF[ICG],CF_Gen_3[[#This Row],[ICG]],Expected_CF[Incurred],CF_Gen_3[[#This Row],[Incurred]])</f>
        <v>0</v>
      </c>
      <c r="J63" s="14">
        <f>IF(CF_Gen_3[[#This Row],[Contract]]="IC",SUMIFS(Expected_CF[Expected_Acquisition],Expected_CF[ICG],CF_Gen_3[[#This Row],[ICG]],Expected_CF[Incurred],CF_Gen_3[[#This Row],[Incurred]]),0)</f>
        <v>0</v>
      </c>
      <c r="K63" s="14">
        <f>SUMIFS(Earned[Earned_Premium],Earned[ICG],CF_Gen_3[[#This Row],[ICG]],Earned[Incurred],CF_Gen_3[[#This Row],[Incurred]])</f>
        <v>847512705.3365413</v>
      </c>
      <c r="L63" s="14">
        <f>SUMIFS(Earned[Earned_Commission],Earned[ICG],CF_Gen_3[[#This Row],[ICG]],Earned[Incurred],CF_Gen_3[[#This Row],[Incurred]])</f>
        <v>-122498380.93510561</v>
      </c>
      <c r="M63" s="18">
        <f>_xlfn.XLOOKUP(CF_Gen_3[[#This Row],[ICG]],Assumptions[ICG],Assumptions[Loss_Ratio])</f>
        <v>0.4</v>
      </c>
      <c r="N63" s="18">
        <f>_xlfn.XLOOKUP(CF_Gen_3[[#This Row],[ICG]],Assumptions[ICG],Assumptions[Risk_Adjustment_Ratio])</f>
        <v>0.14000000000000001</v>
      </c>
      <c r="O63" s="18">
        <f>_xlfn.XLOOKUP(CF_Gen_3[[#This Row],[ICG]],Assumptions[ICG],Assumptions[PME_Ratio])</f>
        <v>4.4999999999999998E-2</v>
      </c>
      <c r="P63" s="18">
        <f>_xlfn.XLOOKUP(CF_Gen_3[[#This Row],[ICG]],Assumptions[ICG],Assumptions[ULAE_Ratio])</f>
        <v>0.11</v>
      </c>
      <c r="Q63" s="18">
        <f>_xlfn.XLOOKUP(CF_Gen_3[[#This Row],[ICG]],Assumptions[ICG],Assumptions[Cancellation_Ratio])</f>
        <v>7.0000000000000007E-2</v>
      </c>
      <c r="R63" s="18">
        <f>_xlfn.XLOOKUP(CF_Gen_3[[#This Row],[ICG]],Assumptions[ICG],Assumptions[Premium_Refund_Ratio])</f>
        <v>0.5</v>
      </c>
      <c r="S63" s="18">
        <f>IF(CF_Gen_3[[#This Row],[Contract]]="RC",_xlfn.XLOOKUP(CF_Gen_3[[#This Row],[ICG]],Assumptions[ICG],Assumptions[NPR_Ratio]),0)</f>
        <v>0</v>
      </c>
      <c r="T63" s="17">
        <f>T62*(1-CF_Gen_3[[#This Row],[Cancellation_Ratio]])</f>
        <v>1.1952530533167E-2</v>
      </c>
      <c r="U63" s="19">
        <f>IF(CF_Gen_3[[#This Row],[Incurred]]&lt;=CF_Gen_3[[#This Row],[Valuation]],CF_Gen_3[[#This Row],[Expected_Premium]],-CF_Gen_3[[#This Row],[Probability_of_Inforce]]*CF_Gen_3[[#This Row],[Premium_Refund_Ratio]]*CF_Gen_3[[#This Row],[Cancellation_Ratio]]*SUM(K63:K$105))</f>
        <v>-6140758.4058934357</v>
      </c>
      <c r="V6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Row],[Cancellation_Ratio]]*SUM(L63:L$105))</f>
        <v>887577.20999224321</v>
      </c>
      <c r="W63" s="19">
        <f>CF_Gen_3[[#This Row],[Expected_Acquisition]]</f>
        <v>0</v>
      </c>
      <c r="X63" s="19">
        <f>-CF_Gen_3[[#This Row],[Probability_of_Inforce]]*CF_Gen_3[[#This Row],[Earned_Premium]]*(1-CF_Gen_3[[#This Row],[Cancellation_Ratio]])*CF_Gen_3[[#This Row],[PME_Ratio]]+CF_Gen_3[[#This Row],[ULAE_Ratio]]*CF_Gen_3[[#This Row],[Exp_Claim]]</f>
        <v>-838453.60154371406</v>
      </c>
      <c r="Y63" s="19">
        <f>-CF_Gen_3[[#This Row],[Probability_of_Inforce]]*CF_Gen_3[[#This Row],[Earned_Premium]]*(1-CF_Gen_3[[#This Row],[Cancellation_Ratio]])*CF_Gen_3[[#This Row],[Loss_Ratio]]</f>
        <v>-3768330.7934548948</v>
      </c>
      <c r="Z63" s="19">
        <f>CF_Gen_3[[#This Row],[Exp_Claim]]*CF_Gen_3[[#This Row],[Risk_Adjustment_Ratio]]</f>
        <v>-527566.31108368537</v>
      </c>
      <c r="AA63" s="19">
        <f>IF(CF_Gen_3[[#This Row],[Contract]]="RC",-CF_Gen_3[[#This Row],[NPR_Ratio]]*CF_Gen_3[[#This Row],[Exp_Claim]],0)</f>
        <v>0</v>
      </c>
      <c r="AB63" s="19">
        <f>SUMIFS(Actual_CF[Actual_Premium],Actual_CF[ICG],CF_Gen_3[[#This Row],[ICG]],Actual_CF[Incurred],CF_Gen_3[[#This Row],[Incurred]])</f>
        <v>0</v>
      </c>
      <c r="AC63" s="19">
        <f>SUMIFS(Actual_CF[Actual_Commission],Actual_CF[ICG],CF_Gen_3[[#This Row],[ICG]],Actual_CF[Incurred],CF_Gen_3[[#This Row],[Incurred]])</f>
        <v>0</v>
      </c>
      <c r="AD63" s="19">
        <f>SUMIFS(Actual_CF[Actual_Acquisition],Actual_CF[ICG],CF_Gen_3[[#This Row],[ICG]],Actual_CF[Incurred],CF_Gen_3[[#This Row],[Incurred]])</f>
        <v>0</v>
      </c>
    </row>
    <row r="64" spans="1:30">
      <c r="A64" t="str">
        <f t="shared" si="1"/>
        <v>#2025#IC-Property</v>
      </c>
      <c r="B64">
        <f>_xlfn.XLOOKUP(CF_Gen_3[[#This Row],[ICG]],ICG[ICG],ICG[Cohort])</f>
        <v>2025</v>
      </c>
      <c r="C64" t="str">
        <f>_xlfn.XLOOKUP(CF_Gen_3[[#This Row],[ICG]],ICG[ICG],ICG[Portfolio])</f>
        <v>IC-Property</v>
      </c>
      <c r="D64" t="str">
        <f>_xlfn.XLOOKUP(CF_Gen_3[[#This Row],[ICG]],ICG[ICG],ICG[Contract])</f>
        <v>IC</v>
      </c>
      <c r="E64" s="2">
        <f t="shared" si="0"/>
        <v>45930</v>
      </c>
      <c r="F64">
        <v>63</v>
      </c>
      <c r="G64" s="2">
        <f>EOMONTH(DATE(YEAR(CF_Gen_3[[#This Row],[Valuation]])-1,12,31),CF_Gen_3[[#This Row],['#Incurred]]*3)</f>
        <v>51409</v>
      </c>
      <c r="H64" s="14">
        <f>SUMIFS(Expected_CF[Expected_Premium],Expected_CF[ICG],CF_Gen_3[[#This Row],[ICG]],Expected_CF[Incurred],CF_Gen_3[[#This Row],[Incurred]])</f>
        <v>0</v>
      </c>
      <c r="I64" s="14">
        <f>SUMIFS(Expected_CF[Expected_Commission],Expected_CF[ICG],CF_Gen_3[[#This Row],[ICG]],Expected_CF[Incurred],CF_Gen_3[[#This Row],[Incurred]])</f>
        <v>0</v>
      </c>
      <c r="J64" s="14">
        <f>IF(CF_Gen_3[[#This Row],[Contract]]="IC",SUMIFS(Expected_CF[Expected_Acquisition],Expected_CF[ICG],CF_Gen_3[[#This Row],[ICG]],Expected_CF[Incurred],CF_Gen_3[[#This Row],[Incurred]]),0)</f>
        <v>0</v>
      </c>
      <c r="K64" s="14">
        <f>SUMIFS(Earned[Earned_Premium],Earned[ICG],CF_Gen_3[[#This Row],[ICG]],Earned[Incurred],CF_Gen_3[[#This Row],[Incurred]])</f>
        <v>813612197.12307966</v>
      </c>
      <c r="L64" s="14">
        <f>SUMIFS(Earned[Earned_Commission],Earned[ICG],CF_Gen_3[[#This Row],[ICG]],Earned[Incurred],CF_Gen_3[[#This Row],[Incurred]])</f>
        <v>-117598445.69770138</v>
      </c>
      <c r="M64" s="18">
        <f>_xlfn.XLOOKUP(CF_Gen_3[[#This Row],[ICG]],Assumptions[ICG],Assumptions[Loss_Ratio])</f>
        <v>0.4</v>
      </c>
      <c r="N64" s="18">
        <f>_xlfn.XLOOKUP(CF_Gen_3[[#This Row],[ICG]],Assumptions[ICG],Assumptions[Risk_Adjustment_Ratio])</f>
        <v>0.14000000000000001</v>
      </c>
      <c r="O64" s="18">
        <f>_xlfn.XLOOKUP(CF_Gen_3[[#This Row],[ICG]],Assumptions[ICG],Assumptions[PME_Ratio])</f>
        <v>4.4999999999999998E-2</v>
      </c>
      <c r="P64" s="18">
        <f>_xlfn.XLOOKUP(CF_Gen_3[[#This Row],[ICG]],Assumptions[ICG],Assumptions[ULAE_Ratio])</f>
        <v>0.11</v>
      </c>
      <c r="Q64" s="18">
        <f>_xlfn.XLOOKUP(CF_Gen_3[[#This Row],[ICG]],Assumptions[ICG],Assumptions[Cancellation_Ratio])</f>
        <v>7.0000000000000007E-2</v>
      </c>
      <c r="R64" s="18">
        <f>_xlfn.XLOOKUP(CF_Gen_3[[#This Row],[ICG]],Assumptions[ICG],Assumptions[Premium_Refund_Ratio])</f>
        <v>0.5</v>
      </c>
      <c r="S64" s="18">
        <f>IF(CF_Gen_3[[#This Row],[Contract]]="RC",_xlfn.XLOOKUP(CF_Gen_3[[#This Row],[ICG]],Assumptions[ICG],Assumptions[NPR_Ratio]),0)</f>
        <v>0</v>
      </c>
      <c r="T64" s="17">
        <f>T63*(1-CF_Gen_3[[#This Row],[Cancellation_Ratio]])</f>
        <v>1.1115853395845308E-2</v>
      </c>
      <c r="U64" s="19">
        <f>IF(CF_Gen_3[[#This Row],[Incurred]]&lt;=CF_Gen_3[[#This Row],[Valuation]],CF_Gen_3[[#This Row],[Expected_Premium]],-CF_Gen_3[[#This Row],[Probability_of_Inforce]]*CF_Gen_3[[#This Row],[Premium_Refund_Ratio]]*CF_Gen_3[[#This Row],[Cancellation_Ratio]]*SUM(K64:K$105))</f>
        <v>-5381176.3730535898</v>
      </c>
      <c r="V6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Row],[Cancellation_Ratio]]*SUM(L64:L$105))</f>
        <v>777788.21376317961</v>
      </c>
      <c r="W64" s="19">
        <f>CF_Gen_3[[#This Row],[Expected_Acquisition]]</f>
        <v>0</v>
      </c>
      <c r="X64" s="19">
        <f>-CF_Gen_3[[#This Row],[Probability_of_Inforce]]*CF_Gen_3[[#This Row],[Earned_Premium]]*(1-CF_Gen_3[[#This Row],[Cancellation_Ratio]])*CF_Gen_3[[#This Row],[PME_Ratio]]+CF_Gen_3[[#This Row],[ULAE_Ratio]]*CF_Gen_3[[#This Row],[Exp_Claim]]</f>
        <v>-748571.37545822794</v>
      </c>
      <c r="Y64" s="19">
        <f>-CF_Gen_3[[#This Row],[Probability_of_Inforce]]*CF_Gen_3[[#This Row],[Earned_Premium]]*(1-CF_Gen_3[[#This Row],[Cancellation_Ratio]])*CF_Gen_3[[#This Row],[Loss_Ratio]]</f>
        <v>-3364365.73239653</v>
      </c>
      <c r="Z64" s="19">
        <f>CF_Gen_3[[#This Row],[Exp_Claim]]*CF_Gen_3[[#This Row],[Risk_Adjustment_Ratio]]</f>
        <v>-471011.20253551425</v>
      </c>
      <c r="AA64" s="19">
        <f>IF(CF_Gen_3[[#This Row],[Contract]]="RC",-CF_Gen_3[[#This Row],[NPR_Ratio]]*CF_Gen_3[[#This Row],[Exp_Claim]],0)</f>
        <v>0</v>
      </c>
      <c r="AB64" s="19">
        <f>SUMIFS(Actual_CF[Actual_Premium],Actual_CF[ICG],CF_Gen_3[[#This Row],[ICG]],Actual_CF[Incurred],CF_Gen_3[[#This Row],[Incurred]])</f>
        <v>0</v>
      </c>
      <c r="AC64" s="19">
        <f>SUMIFS(Actual_CF[Actual_Commission],Actual_CF[ICG],CF_Gen_3[[#This Row],[ICG]],Actual_CF[Incurred],CF_Gen_3[[#This Row],[Incurred]])</f>
        <v>0</v>
      </c>
      <c r="AD64" s="19">
        <f>SUMIFS(Actual_CF[Actual_Acquisition],Actual_CF[ICG],CF_Gen_3[[#This Row],[ICG]],Actual_CF[Incurred],CF_Gen_3[[#This Row],[Incurred]])</f>
        <v>0</v>
      </c>
    </row>
    <row r="65" spans="1:30">
      <c r="A65" t="str">
        <f t="shared" si="1"/>
        <v>#2025#IC-Property</v>
      </c>
      <c r="B65">
        <f>_xlfn.XLOOKUP(CF_Gen_3[[#This Row],[ICG]],ICG[ICG],ICG[Cohort])</f>
        <v>2025</v>
      </c>
      <c r="C65" t="str">
        <f>_xlfn.XLOOKUP(CF_Gen_3[[#This Row],[ICG]],ICG[ICG],ICG[Portfolio])</f>
        <v>IC-Property</v>
      </c>
      <c r="D65" t="str">
        <f>_xlfn.XLOOKUP(CF_Gen_3[[#This Row],[ICG]],ICG[ICG],ICG[Contract])</f>
        <v>IC</v>
      </c>
      <c r="E65" s="2">
        <f t="shared" si="0"/>
        <v>45930</v>
      </c>
      <c r="F65">
        <v>64</v>
      </c>
      <c r="G65" s="2">
        <f>EOMONTH(DATE(YEAR(CF_Gen_3[[#This Row],[Valuation]])-1,12,31),CF_Gen_3[[#This Row],['#Incurred]]*3)</f>
        <v>51501</v>
      </c>
      <c r="H65" s="14">
        <f>SUMIFS(Expected_CF[Expected_Premium],Expected_CF[ICG],CF_Gen_3[[#This Row],[ICG]],Expected_CF[Incurred],CF_Gen_3[[#This Row],[Incurred]])</f>
        <v>0</v>
      </c>
      <c r="I65" s="14">
        <f>SUMIFS(Expected_CF[Expected_Commission],Expected_CF[ICG],CF_Gen_3[[#This Row],[ICG]],Expected_CF[Incurred],CF_Gen_3[[#This Row],[Incurred]])</f>
        <v>0</v>
      </c>
      <c r="J65" s="14">
        <f>IF(CF_Gen_3[[#This Row],[Contract]]="IC",SUMIFS(Expected_CF[Expected_Acquisition],Expected_CF[ICG],CF_Gen_3[[#This Row],[ICG]],Expected_CF[Incurred],CF_Gen_3[[#This Row],[Incurred]]),0)</f>
        <v>0</v>
      </c>
      <c r="K65" s="14">
        <f>SUMIFS(Earned[Earned_Premium],Earned[ICG],CF_Gen_3[[#This Row],[ICG]],Earned[Incurred],CF_Gen_3[[#This Row],[Incurred]])</f>
        <v>813612197.12307966</v>
      </c>
      <c r="L65" s="14">
        <f>SUMIFS(Earned[Earned_Commission],Earned[ICG],CF_Gen_3[[#This Row],[ICG]],Earned[Incurred],CF_Gen_3[[#This Row],[Incurred]])</f>
        <v>-117598445.69770138</v>
      </c>
      <c r="M65" s="18">
        <f>_xlfn.XLOOKUP(CF_Gen_3[[#This Row],[ICG]],Assumptions[ICG],Assumptions[Loss_Ratio])</f>
        <v>0.4</v>
      </c>
      <c r="N65" s="18">
        <f>_xlfn.XLOOKUP(CF_Gen_3[[#This Row],[ICG]],Assumptions[ICG],Assumptions[Risk_Adjustment_Ratio])</f>
        <v>0.14000000000000001</v>
      </c>
      <c r="O65" s="18">
        <f>_xlfn.XLOOKUP(CF_Gen_3[[#This Row],[ICG]],Assumptions[ICG],Assumptions[PME_Ratio])</f>
        <v>4.4999999999999998E-2</v>
      </c>
      <c r="P65" s="18">
        <f>_xlfn.XLOOKUP(CF_Gen_3[[#This Row],[ICG]],Assumptions[ICG],Assumptions[ULAE_Ratio])</f>
        <v>0.11</v>
      </c>
      <c r="Q65" s="18">
        <f>_xlfn.XLOOKUP(CF_Gen_3[[#This Row],[ICG]],Assumptions[ICG],Assumptions[Cancellation_Ratio])</f>
        <v>7.0000000000000007E-2</v>
      </c>
      <c r="R65" s="18">
        <f>_xlfn.XLOOKUP(CF_Gen_3[[#This Row],[ICG]],Assumptions[ICG],Assumptions[Premium_Refund_Ratio])</f>
        <v>0.5</v>
      </c>
      <c r="S65" s="18">
        <f>IF(CF_Gen_3[[#This Row],[Contract]]="RC",_xlfn.XLOOKUP(CF_Gen_3[[#This Row],[ICG]],Assumptions[ICG],Assumptions[NPR_Ratio]),0)</f>
        <v>0</v>
      </c>
      <c r="T65" s="17">
        <f>T64*(1-CF_Gen_3[[#This Row],[Cancellation_Ratio]])</f>
        <v>1.0337743658136136E-2</v>
      </c>
      <c r="U65" s="19">
        <f>IF(CF_Gen_3[[#This Row],[Incurred]]&lt;=CF_Gen_3[[#This Row],[Valuation]],CF_Gen_3[[#This Row],[Expected_Premium]],-CF_Gen_3[[#This Row],[Probability_of_Inforce]]*CF_Gen_3[[#This Row],[Premium_Refund_Ratio]]*CF_Gen_3[[#This Row],[Cancellation_Ratio]]*SUM(K65:K$105))</f>
        <v>-4710112.0253551425</v>
      </c>
      <c r="V6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Row],[Cancellation_Ratio]]*SUM(L65:L$105))</f>
        <v>680793.44828212424</v>
      </c>
      <c r="W65" s="19">
        <f>CF_Gen_3[[#This Row],[Expected_Acquisition]]</f>
        <v>0</v>
      </c>
      <c r="X65" s="19">
        <f>-CF_Gen_3[[#This Row],[Probability_of_Inforce]]*CF_Gen_3[[#This Row],[Earned_Premium]]*(1-CF_Gen_3[[#This Row],[Cancellation_Ratio]])*CF_Gen_3[[#This Row],[PME_Ratio]]+CF_Gen_3[[#This Row],[ULAE_Ratio]]*CF_Gen_3[[#This Row],[Exp_Claim]]</f>
        <v>-696171.37917615194</v>
      </c>
      <c r="Y65" s="19">
        <f>-CF_Gen_3[[#This Row],[Probability_of_Inforce]]*CF_Gen_3[[#This Row],[Earned_Premium]]*(1-CF_Gen_3[[#This Row],[Cancellation_Ratio]])*CF_Gen_3[[#This Row],[Loss_Ratio]]</f>
        <v>-3128860.1311287726</v>
      </c>
      <c r="Z65" s="19">
        <f>CF_Gen_3[[#This Row],[Exp_Claim]]*CF_Gen_3[[#This Row],[Risk_Adjustment_Ratio]]</f>
        <v>-438040.41835802823</v>
      </c>
      <c r="AA65" s="19">
        <f>IF(CF_Gen_3[[#This Row],[Contract]]="RC",-CF_Gen_3[[#This Row],[NPR_Ratio]]*CF_Gen_3[[#This Row],[Exp_Claim]],0)</f>
        <v>0</v>
      </c>
      <c r="AB65" s="19">
        <f>SUMIFS(Actual_CF[Actual_Premium],Actual_CF[ICG],CF_Gen_3[[#This Row],[ICG]],Actual_CF[Incurred],CF_Gen_3[[#This Row],[Incurred]])</f>
        <v>0</v>
      </c>
      <c r="AC65" s="19">
        <f>SUMIFS(Actual_CF[Actual_Commission],Actual_CF[ICG],CF_Gen_3[[#This Row],[ICG]],Actual_CF[Incurred],CF_Gen_3[[#This Row],[Incurred]])</f>
        <v>0</v>
      </c>
      <c r="AD65" s="19">
        <f>SUMIFS(Actual_CF[Actual_Acquisition],Actual_CF[ICG],CF_Gen_3[[#This Row],[ICG]],Actual_CF[Incurred],CF_Gen_3[[#This Row],[Incurred]])</f>
        <v>0</v>
      </c>
    </row>
    <row r="66" spans="1:30">
      <c r="A66" t="str">
        <f t="shared" si="1"/>
        <v>#2025#IC-Property</v>
      </c>
      <c r="B66">
        <f>_xlfn.XLOOKUP(CF_Gen_3[[#This Row],[ICG]],ICG[ICG],ICG[Cohort])</f>
        <v>2025</v>
      </c>
      <c r="C66" t="str">
        <f>_xlfn.XLOOKUP(CF_Gen_3[[#This Row],[ICG]],ICG[ICG],ICG[Portfolio])</f>
        <v>IC-Property</v>
      </c>
      <c r="D66" t="str">
        <f>_xlfn.XLOOKUP(CF_Gen_3[[#This Row],[ICG]],ICG[ICG],ICG[Contract])</f>
        <v>IC</v>
      </c>
      <c r="E66" s="2">
        <f t="shared" ref="E66:E105" si="2">ValuationDate</f>
        <v>45930</v>
      </c>
      <c r="F66">
        <v>65</v>
      </c>
      <c r="G66" s="2">
        <f>EOMONTH(DATE(YEAR(CF_Gen_3[[#This Row],[Valuation]])-1,12,31),CF_Gen_3[[#This Row],['#Incurred]]*3)</f>
        <v>51591</v>
      </c>
      <c r="H66" s="14">
        <f>SUMIFS(Expected_CF[Expected_Premium],Expected_CF[ICG],CF_Gen_3[[#This Row],[ICG]],Expected_CF[Incurred],CF_Gen_3[[#This Row],[Incurred]])</f>
        <v>0</v>
      </c>
      <c r="I66" s="14">
        <f>SUMIFS(Expected_CF[Expected_Commission],Expected_CF[ICG],CF_Gen_3[[#This Row],[ICG]],Expected_CF[Incurred],CF_Gen_3[[#This Row],[Incurred]])</f>
        <v>0</v>
      </c>
      <c r="J66" s="14">
        <f>IF(CF_Gen_3[[#This Row],[Contract]]="IC",SUMIFS(Expected_CF[Expected_Acquisition],Expected_CF[ICG],CF_Gen_3[[#This Row],[ICG]],Expected_CF[Incurred],CF_Gen_3[[#This Row],[Incurred]]),0)</f>
        <v>0</v>
      </c>
      <c r="K66" s="14">
        <f>SUMIFS(Earned[Earned_Premium],Earned[ICG],CF_Gen_3[[#This Row],[ICG]],Earned[Incurred],CF_Gen_3[[#This Row],[Incurred]])</f>
        <v>779711688.90961802</v>
      </c>
      <c r="L66" s="14">
        <f>SUMIFS(Earned[Earned_Commission],Earned[ICG],CF_Gen_3[[#This Row],[ICG]],Earned[Incurred],CF_Gen_3[[#This Row],[Incurred]])</f>
        <v>-112698510.46029717</v>
      </c>
      <c r="M66" s="18">
        <f>_xlfn.XLOOKUP(CF_Gen_3[[#This Row],[ICG]],Assumptions[ICG],Assumptions[Loss_Ratio])</f>
        <v>0.4</v>
      </c>
      <c r="N66" s="18">
        <f>_xlfn.XLOOKUP(CF_Gen_3[[#This Row],[ICG]],Assumptions[ICG],Assumptions[Risk_Adjustment_Ratio])</f>
        <v>0.14000000000000001</v>
      </c>
      <c r="O66" s="18">
        <f>_xlfn.XLOOKUP(CF_Gen_3[[#This Row],[ICG]],Assumptions[ICG],Assumptions[PME_Ratio])</f>
        <v>4.4999999999999998E-2</v>
      </c>
      <c r="P66" s="18">
        <f>_xlfn.XLOOKUP(CF_Gen_3[[#This Row],[ICG]],Assumptions[ICG],Assumptions[ULAE_Ratio])</f>
        <v>0.11</v>
      </c>
      <c r="Q66" s="18">
        <f>_xlfn.XLOOKUP(CF_Gen_3[[#This Row],[ICG]],Assumptions[ICG],Assumptions[Cancellation_Ratio])</f>
        <v>7.0000000000000007E-2</v>
      </c>
      <c r="R66" s="18">
        <f>_xlfn.XLOOKUP(CF_Gen_3[[#This Row],[ICG]],Assumptions[ICG],Assumptions[Premium_Refund_Ratio])</f>
        <v>0.5</v>
      </c>
      <c r="S66" s="18">
        <f>IF(CF_Gen_3[[#This Row],[Contract]]="RC",_xlfn.XLOOKUP(CF_Gen_3[[#This Row],[ICG]],Assumptions[ICG],Assumptions[NPR_Ratio]),0)</f>
        <v>0</v>
      </c>
      <c r="T66" s="17">
        <f>T65*(1-CF_Gen_3[[#This Row],[Cancellation_Ratio]])</f>
        <v>9.6141016020666048E-3</v>
      </c>
      <c r="U66" s="19">
        <f>IF(CF_Gen_3[[#This Row],[Incurred]]&lt;=CF_Gen_3[[#This Row],[Valuation]],CF_Gen_3[[#This Row],[Expected_Premium]],-CF_Gen_3[[#This Row],[Probability_of_Inforce]]*CF_Gen_3[[#This Row],[Premium_Refund_Ratio]]*CF_Gen_3[[#This Row],[Cancellation_Ratio]]*SUM(K66:K$105))</f>
        <v>-4106628.9221065138</v>
      </c>
      <c r="V6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Row],[Cancellation_Ratio]]*SUM(L66:L$105))</f>
        <v>593566.78772097686</v>
      </c>
      <c r="W66" s="19">
        <f>CF_Gen_3[[#This Row],[Expected_Acquisition]]</f>
        <v>0</v>
      </c>
      <c r="X66" s="19">
        <f>-CF_Gen_3[[#This Row],[Probability_of_Inforce]]*CF_Gen_3[[#This Row],[Earned_Premium]]*(1-CF_Gen_3[[#This Row],[Cancellation_Ratio]])*CF_Gen_3[[#This Row],[PME_Ratio]]+CF_Gen_3[[#This Row],[ULAE_Ratio]]*CF_Gen_3[[#This Row],[Exp_Claim]]</f>
        <v>-620462.74169074523</v>
      </c>
      <c r="Y66" s="19">
        <f>-CF_Gen_3[[#This Row],[Probability_of_Inforce]]*CF_Gen_3[[#This Row],[Earned_Premium]]*(1-CF_Gen_3[[#This Row],[Cancellation_Ratio]])*CF_Gen_3[[#This Row],[Loss_Ratio]]</f>
        <v>-2788596.5918685179</v>
      </c>
      <c r="Z66" s="19">
        <f>CF_Gen_3[[#This Row],[Exp_Claim]]*CF_Gen_3[[#This Row],[Risk_Adjustment_Ratio]]</f>
        <v>-390403.52286159253</v>
      </c>
      <c r="AA66" s="19">
        <f>IF(CF_Gen_3[[#This Row],[Contract]]="RC",-CF_Gen_3[[#This Row],[NPR_Ratio]]*CF_Gen_3[[#This Row],[Exp_Claim]],0)</f>
        <v>0</v>
      </c>
      <c r="AB66" s="19">
        <f>SUMIFS(Actual_CF[Actual_Premium],Actual_CF[ICG],CF_Gen_3[[#This Row],[ICG]],Actual_CF[Incurred],CF_Gen_3[[#This Row],[Incurred]])</f>
        <v>0</v>
      </c>
      <c r="AC66" s="19">
        <f>SUMIFS(Actual_CF[Actual_Commission],Actual_CF[ICG],CF_Gen_3[[#This Row],[ICG]],Actual_CF[Incurred],CF_Gen_3[[#This Row],[Incurred]])</f>
        <v>0</v>
      </c>
      <c r="AD66" s="19">
        <f>SUMIFS(Actual_CF[Actual_Acquisition],Actual_CF[ICG],CF_Gen_3[[#This Row],[ICG]],Actual_CF[Incurred],CF_Gen_3[[#This Row],[Incurred]])</f>
        <v>0</v>
      </c>
    </row>
    <row r="67" spans="1:30">
      <c r="A67" t="str">
        <f t="shared" si="1"/>
        <v>#2025#IC-Property</v>
      </c>
      <c r="B67">
        <f>_xlfn.XLOOKUP(CF_Gen_3[[#This Row],[ICG]],ICG[ICG],ICG[Cohort])</f>
        <v>2025</v>
      </c>
      <c r="C67" t="str">
        <f>_xlfn.XLOOKUP(CF_Gen_3[[#This Row],[ICG]],ICG[ICG],ICG[Portfolio])</f>
        <v>IC-Property</v>
      </c>
      <c r="D67" t="str">
        <f>_xlfn.XLOOKUP(CF_Gen_3[[#This Row],[ICG]],ICG[ICG],ICG[Contract])</f>
        <v>IC</v>
      </c>
      <c r="E67" s="2">
        <f t="shared" si="2"/>
        <v>45930</v>
      </c>
      <c r="F67">
        <v>66</v>
      </c>
      <c r="G67" s="2">
        <f>EOMONTH(DATE(YEAR(CF_Gen_3[[#This Row],[Valuation]])-1,12,31),CF_Gen_3[[#This Row],['#Incurred]]*3)</f>
        <v>51682</v>
      </c>
      <c r="H67" s="14">
        <f>SUMIFS(Expected_CF[Expected_Premium],Expected_CF[ICG],CF_Gen_3[[#This Row],[ICG]],Expected_CF[Incurred],CF_Gen_3[[#This Row],[Incurred]])</f>
        <v>0</v>
      </c>
      <c r="I67" s="14">
        <f>SUMIFS(Expected_CF[Expected_Commission],Expected_CF[ICG],CF_Gen_3[[#This Row],[ICG]],Expected_CF[Incurred],CF_Gen_3[[#This Row],[Incurred]])</f>
        <v>0</v>
      </c>
      <c r="J67" s="14">
        <f>IF(CF_Gen_3[[#This Row],[Contract]]="IC",SUMIFS(Expected_CF[Expected_Acquisition],Expected_CF[ICG],CF_Gen_3[[#This Row],[ICG]],Expected_CF[Incurred],CF_Gen_3[[#This Row],[Incurred]]),0)</f>
        <v>0</v>
      </c>
      <c r="K67" s="14">
        <f>SUMIFS(Earned[Earned_Premium],Earned[ICG],CF_Gen_3[[#This Row],[ICG]],Earned[Incurred],CF_Gen_3[[#This Row],[Incurred]])</f>
        <v>745811180.69615638</v>
      </c>
      <c r="L67" s="14">
        <f>SUMIFS(Earned[Earned_Commission],Earned[ICG],CF_Gen_3[[#This Row],[ICG]],Earned[Incurred],CF_Gen_3[[#This Row],[Incurred]])</f>
        <v>-107798575.22289294</v>
      </c>
      <c r="M67" s="18">
        <f>_xlfn.XLOOKUP(CF_Gen_3[[#This Row],[ICG]],Assumptions[ICG],Assumptions[Loss_Ratio])</f>
        <v>0.4</v>
      </c>
      <c r="N67" s="18">
        <f>_xlfn.XLOOKUP(CF_Gen_3[[#This Row],[ICG]],Assumptions[ICG],Assumptions[Risk_Adjustment_Ratio])</f>
        <v>0.14000000000000001</v>
      </c>
      <c r="O67" s="18">
        <f>_xlfn.XLOOKUP(CF_Gen_3[[#This Row],[ICG]],Assumptions[ICG],Assumptions[PME_Ratio])</f>
        <v>4.4999999999999998E-2</v>
      </c>
      <c r="P67" s="18">
        <f>_xlfn.XLOOKUP(CF_Gen_3[[#This Row],[ICG]],Assumptions[ICG],Assumptions[ULAE_Ratio])</f>
        <v>0.11</v>
      </c>
      <c r="Q67" s="18">
        <f>_xlfn.XLOOKUP(CF_Gen_3[[#This Row],[ICG]],Assumptions[ICG],Assumptions[Cancellation_Ratio])</f>
        <v>7.0000000000000007E-2</v>
      </c>
      <c r="R67" s="18">
        <f>_xlfn.XLOOKUP(CF_Gen_3[[#This Row],[ICG]],Assumptions[ICG],Assumptions[Premium_Refund_Ratio])</f>
        <v>0.5</v>
      </c>
      <c r="S67" s="18">
        <f>IF(CF_Gen_3[[#This Row],[Contract]]="RC",_xlfn.XLOOKUP(CF_Gen_3[[#This Row],[ICG]],Assumptions[ICG],Assumptions[NPR_Ratio]),0)</f>
        <v>0</v>
      </c>
      <c r="T67" s="17">
        <f>T66*(1-CF_Gen_3[[#This Row],[Cancellation_Ratio]])</f>
        <v>8.9411144899219416E-3</v>
      </c>
      <c r="U67" s="19">
        <f>IF(CF_Gen_3[[#This Row],[Incurred]]&lt;=CF_Gen_3[[#This Row],[Valuation]],CF_Gen_3[[#This Row],[Expected_Premium]],-CF_Gen_3[[#This Row],[Probability_of_Inforce]]*CF_Gen_3[[#This Row],[Premium_Refund_Ratio]]*CF_Gen_3[[#This Row],[Cancellation_Ratio]]*SUM(K67:K$105))</f>
        <v>-3575162.6957705622</v>
      </c>
      <c r="V6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Row],[Cancellation_Ratio]]*SUM(L67:L$105))</f>
        <v>516749.35261008726</v>
      </c>
      <c r="W67" s="19">
        <f>CF_Gen_3[[#This Row],[Expected_Acquisition]]</f>
        <v>0</v>
      </c>
      <c r="X67" s="19">
        <f>-CF_Gen_3[[#This Row],[Probability_of_Inforce]]*CF_Gen_3[[#This Row],[Earned_Premium]]*(1-CF_Gen_3[[#This Row],[Cancellation_Ratio]])*CF_Gen_3[[#This Row],[PME_Ratio]]+CF_Gen_3[[#This Row],[ULAE_Ratio]]*CF_Gen_3[[#This Row],[Exp_Claim]]</f>
        <v>-551942.07369533251</v>
      </c>
      <c r="Y67" s="19">
        <f>-CF_Gen_3[[#This Row],[Probability_of_Inforce]]*CF_Gen_3[[#This Row],[Earned_Premium]]*(1-CF_Gen_3[[#This Row],[Cancellation_Ratio]])*CF_Gen_3[[#This Row],[Loss_Ratio]]</f>
        <v>-2480638.5334621686</v>
      </c>
      <c r="Z67" s="19">
        <f>CF_Gen_3[[#This Row],[Exp_Claim]]*CF_Gen_3[[#This Row],[Risk_Adjustment_Ratio]]</f>
        <v>-347289.39468470367</v>
      </c>
      <c r="AA67" s="19">
        <f>IF(CF_Gen_3[[#This Row],[Contract]]="RC",-CF_Gen_3[[#This Row],[NPR_Ratio]]*CF_Gen_3[[#This Row],[Exp_Claim]],0)</f>
        <v>0</v>
      </c>
      <c r="AB67" s="19">
        <f>SUMIFS(Actual_CF[Actual_Premium],Actual_CF[ICG],CF_Gen_3[[#This Row],[ICG]],Actual_CF[Incurred],CF_Gen_3[[#This Row],[Incurred]])</f>
        <v>0</v>
      </c>
      <c r="AC67" s="19">
        <f>SUMIFS(Actual_CF[Actual_Commission],Actual_CF[ICG],CF_Gen_3[[#This Row],[ICG]],Actual_CF[Incurred],CF_Gen_3[[#This Row],[Incurred]])</f>
        <v>0</v>
      </c>
      <c r="AD67" s="19">
        <f>SUMIFS(Actual_CF[Actual_Acquisition],Actual_CF[ICG],CF_Gen_3[[#This Row],[ICG]],Actual_CF[Incurred],CF_Gen_3[[#This Row],[Incurred]])</f>
        <v>0</v>
      </c>
    </row>
    <row r="68" spans="1:30">
      <c r="A68" t="str">
        <f t="shared" ref="A68:A105" si="3">A67</f>
        <v>#2025#IC-Property</v>
      </c>
      <c r="B68">
        <f>_xlfn.XLOOKUP(CF_Gen_3[[#This Row],[ICG]],ICG[ICG],ICG[Cohort])</f>
        <v>2025</v>
      </c>
      <c r="C68" t="str">
        <f>_xlfn.XLOOKUP(CF_Gen_3[[#This Row],[ICG]],ICG[ICG],ICG[Portfolio])</f>
        <v>IC-Property</v>
      </c>
      <c r="D68" t="str">
        <f>_xlfn.XLOOKUP(CF_Gen_3[[#This Row],[ICG]],ICG[ICG],ICG[Contract])</f>
        <v>IC</v>
      </c>
      <c r="E68" s="2">
        <f t="shared" si="2"/>
        <v>45930</v>
      </c>
      <c r="F68">
        <v>67</v>
      </c>
      <c r="G68" s="2">
        <f>EOMONTH(DATE(YEAR(CF_Gen_3[[#This Row],[Valuation]])-1,12,31),CF_Gen_3[[#This Row],['#Incurred]]*3)</f>
        <v>51774</v>
      </c>
      <c r="H68" s="14">
        <f>SUMIFS(Expected_CF[Expected_Premium],Expected_CF[ICG],CF_Gen_3[[#This Row],[ICG]],Expected_CF[Incurred],CF_Gen_3[[#This Row],[Incurred]])</f>
        <v>0</v>
      </c>
      <c r="I68" s="14">
        <f>SUMIFS(Expected_CF[Expected_Commission],Expected_CF[ICG],CF_Gen_3[[#This Row],[ICG]],Expected_CF[Incurred],CF_Gen_3[[#This Row],[Incurred]])</f>
        <v>0</v>
      </c>
      <c r="J68" s="14">
        <f>IF(CF_Gen_3[[#This Row],[Contract]]="IC",SUMIFS(Expected_CF[Expected_Acquisition],Expected_CF[ICG],CF_Gen_3[[#This Row],[ICG]],Expected_CF[Incurred],CF_Gen_3[[#This Row],[Incurred]]),0)</f>
        <v>0</v>
      </c>
      <c r="K68" s="14">
        <f>SUMIFS(Earned[Earned_Premium],Earned[ICG],CF_Gen_3[[#This Row],[ICG]],Earned[Incurred],CF_Gen_3[[#This Row],[Incurred]])</f>
        <v>711910672.48269463</v>
      </c>
      <c r="L68" s="14">
        <f>SUMIFS(Earned[Earned_Commission],Earned[ICG],CF_Gen_3[[#This Row],[ICG]],Earned[Incurred],CF_Gen_3[[#This Row],[Incurred]])</f>
        <v>-102898639.98548871</v>
      </c>
      <c r="M68" s="18">
        <f>_xlfn.XLOOKUP(CF_Gen_3[[#This Row],[ICG]],Assumptions[ICG],Assumptions[Loss_Ratio])</f>
        <v>0.4</v>
      </c>
      <c r="N68" s="18">
        <f>_xlfn.XLOOKUP(CF_Gen_3[[#This Row],[ICG]],Assumptions[ICG],Assumptions[Risk_Adjustment_Ratio])</f>
        <v>0.14000000000000001</v>
      </c>
      <c r="O68" s="18">
        <f>_xlfn.XLOOKUP(CF_Gen_3[[#This Row],[ICG]],Assumptions[ICG],Assumptions[PME_Ratio])</f>
        <v>4.4999999999999998E-2</v>
      </c>
      <c r="P68" s="18">
        <f>_xlfn.XLOOKUP(CF_Gen_3[[#This Row],[ICG]],Assumptions[ICG],Assumptions[ULAE_Ratio])</f>
        <v>0.11</v>
      </c>
      <c r="Q68" s="18">
        <f>_xlfn.XLOOKUP(CF_Gen_3[[#This Row],[ICG]],Assumptions[ICG],Assumptions[Cancellation_Ratio])</f>
        <v>7.0000000000000007E-2</v>
      </c>
      <c r="R68" s="18">
        <f>_xlfn.XLOOKUP(CF_Gen_3[[#This Row],[ICG]],Assumptions[ICG],Assumptions[Premium_Refund_Ratio])</f>
        <v>0.5</v>
      </c>
      <c r="S68" s="18">
        <f>IF(CF_Gen_3[[#This Row],[Contract]]="RC",_xlfn.XLOOKUP(CF_Gen_3[[#This Row],[ICG]],Assumptions[ICG],Assumptions[NPR_Ratio]),0)</f>
        <v>0</v>
      </c>
      <c r="T68" s="17">
        <f>T67*(1-CF_Gen_3[[#This Row],[Cancellation_Ratio]])</f>
        <v>8.3152364756274057E-3</v>
      </c>
      <c r="U68" s="19">
        <f>IF(CF_Gen_3[[#This Row],[Incurred]]&lt;=CF_Gen_3[[#This Row],[Valuation]],CF_Gen_3[[#This Row],[Expected_Premium]],-CF_Gen_3[[#This Row],[Probability_of_Inforce]]*CF_Gen_3[[#This Row],[Premium_Refund_Ratio]]*CF_Gen_3[[#This Row],[Cancellation_Ratio]]*SUM(K68:K$105))</f>
        <v>-3107845.4353886833</v>
      </c>
      <c r="V6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Row],[Cancellation_Ratio]]*SUM(L68:L$105))</f>
        <v>449203.92536238889</v>
      </c>
      <c r="W68" s="19">
        <f>CF_Gen_3[[#This Row],[Expected_Acquisition]]</f>
        <v>0</v>
      </c>
      <c r="X68" s="19">
        <f>-CF_Gen_3[[#This Row],[Probability_of_Inforce]]*CF_Gen_3[[#This Row],[Earned_Premium]]*(1-CF_Gen_3[[#This Row],[Cancellation_Ratio]])*CF_Gen_3[[#This Row],[PME_Ratio]]+CF_Gen_3[[#This Row],[ULAE_Ratio]]*CF_Gen_3[[#This Row],[Exp_Claim]]</f>
        <v>-489974.0317849929</v>
      </c>
      <c r="Y68" s="19">
        <f>-CF_Gen_3[[#This Row],[Probability_of_Inforce]]*CF_Gen_3[[#This Row],[Earned_Premium]]*(1-CF_Gen_3[[#This Row],[Cancellation_Ratio]])*CF_Gen_3[[#This Row],[Loss_Ratio]]</f>
        <v>-2202130.4799325522</v>
      </c>
      <c r="Z68" s="19">
        <f>CF_Gen_3[[#This Row],[Exp_Claim]]*CF_Gen_3[[#This Row],[Risk_Adjustment_Ratio]]</f>
        <v>-308298.26719055732</v>
      </c>
      <c r="AA68" s="19">
        <f>IF(CF_Gen_3[[#This Row],[Contract]]="RC",-CF_Gen_3[[#This Row],[NPR_Ratio]]*CF_Gen_3[[#This Row],[Exp_Claim]],0)</f>
        <v>0</v>
      </c>
      <c r="AB68" s="19">
        <f>SUMIFS(Actual_CF[Actual_Premium],Actual_CF[ICG],CF_Gen_3[[#This Row],[ICG]],Actual_CF[Incurred],CF_Gen_3[[#This Row],[Incurred]])</f>
        <v>0</v>
      </c>
      <c r="AC68" s="19">
        <f>SUMIFS(Actual_CF[Actual_Commission],Actual_CF[ICG],CF_Gen_3[[#This Row],[ICG]],Actual_CF[Incurred],CF_Gen_3[[#This Row],[Incurred]])</f>
        <v>0</v>
      </c>
      <c r="AD68" s="19">
        <f>SUMIFS(Actual_CF[Actual_Acquisition],Actual_CF[ICG],CF_Gen_3[[#This Row],[ICG]],Actual_CF[Incurred],CF_Gen_3[[#This Row],[Incurred]])</f>
        <v>0</v>
      </c>
    </row>
    <row r="69" spans="1:30">
      <c r="A69" t="str">
        <f t="shared" si="3"/>
        <v>#2025#IC-Property</v>
      </c>
      <c r="B69">
        <f>_xlfn.XLOOKUP(CF_Gen_3[[#This Row],[ICG]],ICG[ICG],ICG[Cohort])</f>
        <v>2025</v>
      </c>
      <c r="C69" t="str">
        <f>_xlfn.XLOOKUP(CF_Gen_3[[#This Row],[ICG]],ICG[ICG],ICG[Portfolio])</f>
        <v>IC-Property</v>
      </c>
      <c r="D69" t="str">
        <f>_xlfn.XLOOKUP(CF_Gen_3[[#This Row],[ICG]],ICG[ICG],ICG[Contract])</f>
        <v>IC</v>
      </c>
      <c r="E69" s="2">
        <f t="shared" si="2"/>
        <v>45930</v>
      </c>
      <c r="F69">
        <v>68</v>
      </c>
      <c r="G69" s="2">
        <f>EOMONTH(DATE(YEAR(CF_Gen_3[[#This Row],[Valuation]])-1,12,31),CF_Gen_3[[#This Row],['#Incurred]]*3)</f>
        <v>51866</v>
      </c>
      <c r="H69" s="14">
        <f>SUMIFS(Expected_CF[Expected_Premium],Expected_CF[ICG],CF_Gen_3[[#This Row],[ICG]],Expected_CF[Incurred],CF_Gen_3[[#This Row],[Incurred]])</f>
        <v>0</v>
      </c>
      <c r="I69" s="14">
        <f>SUMIFS(Expected_CF[Expected_Commission],Expected_CF[ICG],CF_Gen_3[[#This Row],[ICG]],Expected_CF[Incurred],CF_Gen_3[[#This Row],[Incurred]])</f>
        <v>0</v>
      </c>
      <c r="J69" s="14">
        <f>IF(CF_Gen_3[[#This Row],[Contract]]="IC",SUMIFS(Expected_CF[Expected_Acquisition],Expected_CF[ICG],CF_Gen_3[[#This Row],[ICG]],Expected_CF[Incurred],CF_Gen_3[[#This Row],[Incurred]]),0)</f>
        <v>0</v>
      </c>
      <c r="K69" s="14">
        <f>SUMIFS(Earned[Earned_Premium],Earned[ICG],CF_Gen_3[[#This Row],[ICG]],Earned[Incurred],CF_Gen_3[[#This Row],[Incurred]])</f>
        <v>711910672.48269463</v>
      </c>
      <c r="L69" s="14">
        <f>SUMIFS(Earned[Earned_Commission],Earned[ICG],CF_Gen_3[[#This Row],[ICG]],Earned[Incurred],CF_Gen_3[[#This Row],[Incurred]])</f>
        <v>-102898639.98548871</v>
      </c>
      <c r="M69" s="18">
        <f>_xlfn.XLOOKUP(CF_Gen_3[[#This Row],[ICG]],Assumptions[ICG],Assumptions[Loss_Ratio])</f>
        <v>0.4</v>
      </c>
      <c r="N69" s="18">
        <f>_xlfn.XLOOKUP(CF_Gen_3[[#This Row],[ICG]],Assumptions[ICG],Assumptions[Risk_Adjustment_Ratio])</f>
        <v>0.14000000000000001</v>
      </c>
      <c r="O69" s="18">
        <f>_xlfn.XLOOKUP(CF_Gen_3[[#This Row],[ICG]],Assumptions[ICG],Assumptions[PME_Ratio])</f>
        <v>4.4999999999999998E-2</v>
      </c>
      <c r="P69" s="18">
        <f>_xlfn.XLOOKUP(CF_Gen_3[[#This Row],[ICG]],Assumptions[ICG],Assumptions[ULAE_Ratio])</f>
        <v>0.11</v>
      </c>
      <c r="Q69" s="18">
        <f>_xlfn.XLOOKUP(CF_Gen_3[[#This Row],[ICG]],Assumptions[ICG],Assumptions[Cancellation_Ratio])</f>
        <v>7.0000000000000007E-2</v>
      </c>
      <c r="R69" s="18">
        <f>_xlfn.XLOOKUP(CF_Gen_3[[#This Row],[ICG]],Assumptions[ICG],Assumptions[Premium_Refund_Ratio])</f>
        <v>0.5</v>
      </c>
      <c r="S69" s="18">
        <f>IF(CF_Gen_3[[#This Row],[Contract]]="RC",_xlfn.XLOOKUP(CF_Gen_3[[#This Row],[ICG]],Assumptions[ICG],Assumptions[NPR_Ratio]),0)</f>
        <v>0</v>
      </c>
      <c r="T69" s="17">
        <f>T68*(1-CF_Gen_3[[#This Row],[Cancellation_Ratio]])</f>
        <v>7.7331699223334872E-3</v>
      </c>
      <c r="U69" s="19">
        <f>IF(CF_Gen_3[[#This Row],[Incurred]]&lt;=CF_Gen_3[[#This Row],[Valuation]],CF_Gen_3[[#This Row],[Expected_Premium]],-CF_Gen_3[[#This Row],[Probability_of_Inforce]]*CF_Gen_3[[#This Row],[Premium_Refund_Ratio]]*CF_Gen_3[[#This Row],[Cancellation_Ratio]]*SUM(K69:K$105))</f>
        <v>-2697609.8379173772</v>
      </c>
      <c r="V6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Row],[Cancellation_Ratio]]*SUM(L69:L$105))</f>
        <v>389909.00721455354</v>
      </c>
      <c r="W69" s="19">
        <f>CF_Gen_3[[#This Row],[Expected_Acquisition]]</f>
        <v>0</v>
      </c>
      <c r="X69" s="19">
        <f>-CF_Gen_3[[#This Row],[Probability_of_Inforce]]*CF_Gen_3[[#This Row],[Earned_Premium]]*(1-CF_Gen_3[[#This Row],[Cancellation_Ratio]])*CF_Gen_3[[#This Row],[PME_Ratio]]+CF_Gen_3[[#This Row],[ULAE_Ratio]]*CF_Gen_3[[#This Row],[Exp_Claim]]</f>
        <v>-455675.84956004331</v>
      </c>
      <c r="Y69" s="19">
        <f>-CF_Gen_3[[#This Row],[Probability_of_Inforce]]*CF_Gen_3[[#This Row],[Earned_Premium]]*(1-CF_Gen_3[[#This Row],[Cancellation_Ratio]])*CF_Gen_3[[#This Row],[Loss_Ratio]]</f>
        <v>-2047981.3463372735</v>
      </c>
      <c r="Z69" s="19">
        <f>CF_Gen_3[[#This Row],[Exp_Claim]]*CF_Gen_3[[#This Row],[Risk_Adjustment_Ratio]]</f>
        <v>-286717.3884872183</v>
      </c>
      <c r="AA69" s="19">
        <f>IF(CF_Gen_3[[#This Row],[Contract]]="RC",-CF_Gen_3[[#This Row],[NPR_Ratio]]*CF_Gen_3[[#This Row],[Exp_Claim]],0)</f>
        <v>0</v>
      </c>
      <c r="AB69" s="19">
        <f>SUMIFS(Actual_CF[Actual_Premium],Actual_CF[ICG],CF_Gen_3[[#This Row],[ICG]],Actual_CF[Incurred],CF_Gen_3[[#This Row],[Incurred]])</f>
        <v>0</v>
      </c>
      <c r="AC69" s="19">
        <f>SUMIFS(Actual_CF[Actual_Commission],Actual_CF[ICG],CF_Gen_3[[#This Row],[ICG]],Actual_CF[Incurred],CF_Gen_3[[#This Row],[Incurred]])</f>
        <v>0</v>
      </c>
      <c r="AD69" s="19">
        <f>SUMIFS(Actual_CF[Actual_Acquisition],Actual_CF[ICG],CF_Gen_3[[#This Row],[ICG]],Actual_CF[Incurred],CF_Gen_3[[#This Row],[Incurred]])</f>
        <v>0</v>
      </c>
    </row>
    <row r="70" spans="1:30">
      <c r="A70" t="str">
        <f t="shared" si="3"/>
        <v>#2025#IC-Property</v>
      </c>
      <c r="B70">
        <f>_xlfn.XLOOKUP(CF_Gen_3[[#This Row],[ICG]],ICG[ICG],ICG[Cohort])</f>
        <v>2025</v>
      </c>
      <c r="C70" t="str">
        <f>_xlfn.XLOOKUP(CF_Gen_3[[#This Row],[ICG]],ICG[ICG],ICG[Portfolio])</f>
        <v>IC-Property</v>
      </c>
      <c r="D70" t="str">
        <f>_xlfn.XLOOKUP(CF_Gen_3[[#This Row],[ICG]],ICG[ICG],ICG[Contract])</f>
        <v>IC</v>
      </c>
      <c r="E70" s="2">
        <f t="shared" si="2"/>
        <v>45930</v>
      </c>
      <c r="F70">
        <v>69</v>
      </c>
      <c r="G70" s="2">
        <f>EOMONTH(DATE(YEAR(CF_Gen_3[[#This Row],[Valuation]])-1,12,31),CF_Gen_3[[#This Row],['#Incurred]]*3)</f>
        <v>51956</v>
      </c>
      <c r="H70" s="14">
        <f>SUMIFS(Expected_CF[Expected_Premium],Expected_CF[ICG],CF_Gen_3[[#This Row],[ICG]],Expected_CF[Incurred],CF_Gen_3[[#This Row],[Incurred]])</f>
        <v>0</v>
      </c>
      <c r="I70" s="14">
        <f>SUMIFS(Expected_CF[Expected_Commission],Expected_CF[ICG],CF_Gen_3[[#This Row],[ICG]],Expected_CF[Incurred],CF_Gen_3[[#This Row],[Incurred]])</f>
        <v>0</v>
      </c>
      <c r="J70" s="14">
        <f>IF(CF_Gen_3[[#This Row],[Contract]]="IC",SUMIFS(Expected_CF[Expected_Acquisition],Expected_CF[ICG],CF_Gen_3[[#This Row],[ICG]],Expected_CF[Incurred],CF_Gen_3[[#This Row],[Incurred]]),0)</f>
        <v>0</v>
      </c>
      <c r="K70" s="14">
        <f>SUMIFS(Earned[Earned_Premium],Earned[ICG],CF_Gen_3[[#This Row],[ICG]],Earned[Incurred],CF_Gen_3[[#This Row],[Incurred]])</f>
        <v>678010164.26923311</v>
      </c>
      <c r="L70" s="14">
        <f>SUMIFS(Earned[Earned_Commission],Earned[ICG],CF_Gen_3[[#This Row],[ICG]],Earned[Incurred],CF_Gen_3[[#This Row],[Incurred]])</f>
        <v>-97998704.748084486</v>
      </c>
      <c r="M70" s="18">
        <f>_xlfn.XLOOKUP(CF_Gen_3[[#This Row],[ICG]],Assumptions[ICG],Assumptions[Loss_Ratio])</f>
        <v>0.4</v>
      </c>
      <c r="N70" s="18">
        <f>_xlfn.XLOOKUP(CF_Gen_3[[#This Row],[ICG]],Assumptions[ICG],Assumptions[Risk_Adjustment_Ratio])</f>
        <v>0.14000000000000001</v>
      </c>
      <c r="O70" s="18">
        <f>_xlfn.XLOOKUP(CF_Gen_3[[#This Row],[ICG]],Assumptions[ICG],Assumptions[PME_Ratio])</f>
        <v>4.4999999999999998E-2</v>
      </c>
      <c r="P70" s="18">
        <f>_xlfn.XLOOKUP(CF_Gen_3[[#This Row],[ICG]],Assumptions[ICG],Assumptions[ULAE_Ratio])</f>
        <v>0.11</v>
      </c>
      <c r="Q70" s="18">
        <f>_xlfn.XLOOKUP(CF_Gen_3[[#This Row],[ICG]],Assumptions[ICG],Assumptions[Cancellation_Ratio])</f>
        <v>7.0000000000000007E-2</v>
      </c>
      <c r="R70" s="18">
        <f>_xlfn.XLOOKUP(CF_Gen_3[[#This Row],[ICG]],Assumptions[ICG],Assumptions[Premium_Refund_Ratio])</f>
        <v>0.5</v>
      </c>
      <c r="S70" s="18">
        <f>IF(CF_Gen_3[[#This Row],[Contract]]="RC",_xlfn.XLOOKUP(CF_Gen_3[[#This Row],[ICG]],Assumptions[ICG],Assumptions[NPR_Ratio]),0)</f>
        <v>0</v>
      </c>
      <c r="T70" s="17">
        <f>T69*(1-CF_Gen_3[[#This Row],[Cancellation_Ratio]])</f>
        <v>7.1918480277701428E-3</v>
      </c>
      <c r="U70" s="19">
        <f>IF(CF_Gen_3[[#This Row],[Incurred]]&lt;=CF_Gen_3[[#This Row],[Valuation]],CF_Gen_3[[#This Row],[Expected_Premium]],-CF_Gen_3[[#This Row],[Probability_of_Inforce]]*CF_Gen_3[[#This Row],[Premium_Refund_Ratio]]*CF_Gen_3[[#This Row],[Cancellation_Ratio]]*SUM(K70:K$105))</f>
        <v>-2329578.7814586493</v>
      </c>
      <c r="V7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Row],[Cancellation_Ratio]]*SUM(L70:L$105))</f>
        <v>336714.27837313944</v>
      </c>
      <c r="W70" s="19">
        <f>CF_Gen_3[[#This Row],[Expected_Acquisition]]</f>
        <v>0</v>
      </c>
      <c r="X70" s="19">
        <f>-CF_Gen_3[[#This Row],[Probability_of_Inforce]]*CF_Gen_3[[#This Row],[Earned_Premium]]*(1-CF_Gen_3[[#This Row],[Cancellation_Ratio]])*CF_Gen_3[[#This Row],[PME_Ratio]]+CF_Gen_3[[#This Row],[ULAE_Ratio]]*CF_Gen_3[[#This Row],[Exp_Claim]]</f>
        <v>-403598.60961032414</v>
      </c>
      <c r="Y70" s="19">
        <f>-CF_Gen_3[[#This Row],[Probability_of_Inforce]]*CF_Gen_3[[#This Row],[Earned_Premium]]*(1-CF_Gen_3[[#This Row],[Cancellation_Ratio]])*CF_Gen_3[[#This Row],[Loss_Ratio]]</f>
        <v>-1813926.3353272998</v>
      </c>
      <c r="Z70" s="19">
        <f>CF_Gen_3[[#This Row],[Exp_Claim]]*CF_Gen_3[[#This Row],[Risk_Adjustment_Ratio]]</f>
        <v>-253949.686945822</v>
      </c>
      <c r="AA70" s="19">
        <f>IF(CF_Gen_3[[#This Row],[Contract]]="RC",-CF_Gen_3[[#This Row],[NPR_Ratio]]*CF_Gen_3[[#This Row],[Exp_Claim]],0)</f>
        <v>0</v>
      </c>
      <c r="AB70" s="19">
        <f>SUMIFS(Actual_CF[Actual_Premium],Actual_CF[ICG],CF_Gen_3[[#This Row],[ICG]],Actual_CF[Incurred],CF_Gen_3[[#This Row],[Incurred]])</f>
        <v>0</v>
      </c>
      <c r="AC70" s="19">
        <f>SUMIFS(Actual_CF[Actual_Commission],Actual_CF[ICG],CF_Gen_3[[#This Row],[ICG]],Actual_CF[Incurred],CF_Gen_3[[#This Row],[Incurred]])</f>
        <v>0</v>
      </c>
      <c r="AD70" s="19">
        <f>SUMIFS(Actual_CF[Actual_Acquisition],Actual_CF[ICG],CF_Gen_3[[#This Row],[ICG]],Actual_CF[Incurred],CF_Gen_3[[#This Row],[Incurred]])</f>
        <v>0</v>
      </c>
    </row>
    <row r="71" spans="1:30">
      <c r="A71" t="str">
        <f t="shared" si="3"/>
        <v>#2025#IC-Property</v>
      </c>
      <c r="B71">
        <f>_xlfn.XLOOKUP(CF_Gen_3[[#This Row],[ICG]],ICG[ICG],ICG[Cohort])</f>
        <v>2025</v>
      </c>
      <c r="C71" t="str">
        <f>_xlfn.XLOOKUP(CF_Gen_3[[#This Row],[ICG]],ICG[ICG],ICG[Portfolio])</f>
        <v>IC-Property</v>
      </c>
      <c r="D71" t="str">
        <f>_xlfn.XLOOKUP(CF_Gen_3[[#This Row],[ICG]],ICG[ICG],ICG[Contract])</f>
        <v>IC</v>
      </c>
      <c r="E71" s="2">
        <f t="shared" si="2"/>
        <v>45930</v>
      </c>
      <c r="F71">
        <v>70</v>
      </c>
      <c r="G71" s="2">
        <f>EOMONTH(DATE(YEAR(CF_Gen_3[[#This Row],[Valuation]])-1,12,31),CF_Gen_3[[#This Row],['#Incurred]]*3)</f>
        <v>52047</v>
      </c>
      <c r="H71" s="14">
        <f>SUMIFS(Expected_CF[Expected_Premium],Expected_CF[ICG],CF_Gen_3[[#This Row],[ICG]],Expected_CF[Incurred],CF_Gen_3[[#This Row],[Incurred]])</f>
        <v>0</v>
      </c>
      <c r="I71" s="14">
        <f>SUMIFS(Expected_CF[Expected_Commission],Expected_CF[ICG],CF_Gen_3[[#This Row],[ICG]],Expected_CF[Incurred],CF_Gen_3[[#This Row],[Incurred]])</f>
        <v>0</v>
      </c>
      <c r="J71" s="14">
        <f>IF(CF_Gen_3[[#This Row],[Contract]]="IC",SUMIFS(Expected_CF[Expected_Acquisition],Expected_CF[ICG],CF_Gen_3[[#This Row],[ICG]],Expected_CF[Incurred],CF_Gen_3[[#This Row],[Incurred]]),0)</f>
        <v>0</v>
      </c>
      <c r="K71" s="14">
        <f>SUMIFS(Earned[Earned_Premium],Earned[ICG],CF_Gen_3[[#This Row],[ICG]],Earned[Incurred],CF_Gen_3[[#This Row],[Incurred]])</f>
        <v>644109656.05577147</v>
      </c>
      <c r="L71" s="14">
        <f>SUMIFS(Earned[Earned_Commission],Earned[ICG],CF_Gen_3[[#This Row],[ICG]],Earned[Incurred],CF_Gen_3[[#This Row],[Incurred]])</f>
        <v>-93098769.510680273</v>
      </c>
      <c r="M71" s="18">
        <f>_xlfn.XLOOKUP(CF_Gen_3[[#This Row],[ICG]],Assumptions[ICG],Assumptions[Loss_Ratio])</f>
        <v>0.4</v>
      </c>
      <c r="N71" s="18">
        <f>_xlfn.XLOOKUP(CF_Gen_3[[#This Row],[ICG]],Assumptions[ICG],Assumptions[Risk_Adjustment_Ratio])</f>
        <v>0.14000000000000001</v>
      </c>
      <c r="O71" s="18">
        <f>_xlfn.XLOOKUP(CF_Gen_3[[#This Row],[ICG]],Assumptions[ICG],Assumptions[PME_Ratio])</f>
        <v>4.4999999999999998E-2</v>
      </c>
      <c r="P71" s="18">
        <f>_xlfn.XLOOKUP(CF_Gen_3[[#This Row],[ICG]],Assumptions[ICG],Assumptions[ULAE_Ratio])</f>
        <v>0.11</v>
      </c>
      <c r="Q71" s="18">
        <f>_xlfn.XLOOKUP(CF_Gen_3[[#This Row],[ICG]],Assumptions[ICG],Assumptions[Cancellation_Ratio])</f>
        <v>7.0000000000000007E-2</v>
      </c>
      <c r="R71" s="18">
        <f>_xlfn.XLOOKUP(CF_Gen_3[[#This Row],[ICG]],Assumptions[ICG],Assumptions[Premium_Refund_Ratio])</f>
        <v>0.5</v>
      </c>
      <c r="S71" s="18">
        <f>IF(CF_Gen_3[[#This Row],[Contract]]="RC",_xlfn.XLOOKUP(CF_Gen_3[[#This Row],[ICG]],Assumptions[ICG],Assumptions[NPR_Ratio]),0)</f>
        <v>0</v>
      </c>
      <c r="T71" s="17">
        <f>T70*(1-CF_Gen_3[[#This Row],[Cancellation_Ratio]])</f>
        <v>6.6884186658262325E-3</v>
      </c>
      <c r="U71" s="19">
        <f>IF(CF_Gen_3[[#This Row],[Incurred]]&lt;=CF_Gen_3[[#This Row],[Valuation]],CF_Gen_3[[#This Row],[Expected_Premium]],-CF_Gen_3[[#This Row],[Probability_of_Inforce]]*CF_Gen_3[[#This Row],[Premium_Refund_Ratio]]*CF_Gen_3[[#This Row],[Cancellation_Ratio]]*SUM(K71:K$105))</f>
        <v>-2007789.7124154051</v>
      </c>
      <c r="V7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Row],[Cancellation_Ratio]]*SUM(L71:L$105))</f>
        <v>290203.30607478385</v>
      </c>
      <c r="W71" s="19">
        <f>CF_Gen_3[[#This Row],[Expected_Acquisition]]</f>
        <v>0</v>
      </c>
      <c r="X71" s="19">
        <f>-CF_Gen_3[[#This Row],[Probability_of_Inforce]]*CF_Gen_3[[#This Row],[Earned_Premium]]*(1-CF_Gen_3[[#This Row],[Cancellation_Ratio]])*CF_Gen_3[[#This Row],[PME_Ratio]]+CF_Gen_3[[#This Row],[ULAE_Ratio]]*CF_Gen_3[[#This Row],[Exp_Claim]]</f>
        <v>-356579.3715907213</v>
      </c>
      <c r="Y71" s="19">
        <f>-CF_Gen_3[[#This Row],[Probability_of_Inforce]]*CF_Gen_3[[#This Row],[Earned_Premium]]*(1-CF_Gen_3[[#This Row],[Cancellation_Ratio]])*CF_Gen_3[[#This Row],[Loss_Ratio]]</f>
        <v>-1602603.9172616689</v>
      </c>
      <c r="Z71" s="19">
        <f>CF_Gen_3[[#This Row],[Exp_Claim]]*CF_Gen_3[[#This Row],[Risk_Adjustment_Ratio]]</f>
        <v>-224364.54841663368</v>
      </c>
      <c r="AA71" s="19">
        <f>IF(CF_Gen_3[[#This Row],[Contract]]="RC",-CF_Gen_3[[#This Row],[NPR_Ratio]]*CF_Gen_3[[#This Row],[Exp_Claim]],0)</f>
        <v>0</v>
      </c>
      <c r="AB71" s="19">
        <f>SUMIFS(Actual_CF[Actual_Premium],Actual_CF[ICG],CF_Gen_3[[#This Row],[ICG]],Actual_CF[Incurred],CF_Gen_3[[#This Row],[Incurred]])</f>
        <v>0</v>
      </c>
      <c r="AC71" s="19">
        <f>SUMIFS(Actual_CF[Actual_Commission],Actual_CF[ICG],CF_Gen_3[[#This Row],[ICG]],Actual_CF[Incurred],CF_Gen_3[[#This Row],[Incurred]])</f>
        <v>0</v>
      </c>
      <c r="AD71" s="19">
        <f>SUMIFS(Actual_CF[Actual_Acquisition],Actual_CF[ICG],CF_Gen_3[[#This Row],[ICG]],Actual_CF[Incurred],CF_Gen_3[[#This Row],[Incurred]])</f>
        <v>0</v>
      </c>
    </row>
    <row r="72" spans="1:30">
      <c r="A72" t="str">
        <f t="shared" si="3"/>
        <v>#2025#IC-Property</v>
      </c>
      <c r="B72">
        <f>_xlfn.XLOOKUP(CF_Gen_3[[#This Row],[ICG]],ICG[ICG],ICG[Cohort])</f>
        <v>2025</v>
      </c>
      <c r="C72" t="str">
        <f>_xlfn.XLOOKUP(CF_Gen_3[[#This Row],[ICG]],ICG[ICG],ICG[Portfolio])</f>
        <v>IC-Property</v>
      </c>
      <c r="D72" t="str">
        <f>_xlfn.XLOOKUP(CF_Gen_3[[#This Row],[ICG]],ICG[ICG],ICG[Contract])</f>
        <v>IC</v>
      </c>
      <c r="E72" s="2">
        <f t="shared" si="2"/>
        <v>45930</v>
      </c>
      <c r="F72">
        <v>71</v>
      </c>
      <c r="G72" s="2">
        <f>EOMONTH(DATE(YEAR(CF_Gen_3[[#This Row],[Valuation]])-1,12,31),CF_Gen_3[[#This Row],['#Incurred]]*3)</f>
        <v>52139</v>
      </c>
      <c r="H72" s="14">
        <f>SUMIFS(Expected_CF[Expected_Premium],Expected_CF[ICG],CF_Gen_3[[#This Row],[ICG]],Expected_CF[Incurred],CF_Gen_3[[#This Row],[Incurred]])</f>
        <v>0</v>
      </c>
      <c r="I72" s="14">
        <f>SUMIFS(Expected_CF[Expected_Commission],Expected_CF[ICG],CF_Gen_3[[#This Row],[ICG]],Expected_CF[Incurred],CF_Gen_3[[#This Row],[Incurred]])</f>
        <v>0</v>
      </c>
      <c r="J72" s="14">
        <f>IF(CF_Gen_3[[#This Row],[Contract]]="IC",SUMIFS(Expected_CF[Expected_Acquisition],Expected_CF[ICG],CF_Gen_3[[#This Row],[ICG]],Expected_CF[Incurred],CF_Gen_3[[#This Row],[Incurred]]),0)</f>
        <v>0</v>
      </c>
      <c r="K72" s="14">
        <f>SUMIFS(Earned[Earned_Premium],Earned[ICG],CF_Gen_3[[#This Row],[ICG]],Earned[Incurred],CF_Gen_3[[#This Row],[Incurred]])</f>
        <v>610209147.84230971</v>
      </c>
      <c r="L72" s="14">
        <f>SUMIFS(Earned[Earned_Commission],Earned[ICG],CF_Gen_3[[#This Row],[ICG]],Earned[Incurred],CF_Gen_3[[#This Row],[Incurred]])</f>
        <v>-88198834.273276031</v>
      </c>
      <c r="M72" s="18">
        <f>_xlfn.XLOOKUP(CF_Gen_3[[#This Row],[ICG]],Assumptions[ICG],Assumptions[Loss_Ratio])</f>
        <v>0.4</v>
      </c>
      <c r="N72" s="18">
        <f>_xlfn.XLOOKUP(CF_Gen_3[[#This Row],[ICG]],Assumptions[ICG],Assumptions[Risk_Adjustment_Ratio])</f>
        <v>0.14000000000000001</v>
      </c>
      <c r="O72" s="18">
        <f>_xlfn.XLOOKUP(CF_Gen_3[[#This Row],[ICG]],Assumptions[ICG],Assumptions[PME_Ratio])</f>
        <v>4.4999999999999998E-2</v>
      </c>
      <c r="P72" s="18">
        <f>_xlfn.XLOOKUP(CF_Gen_3[[#This Row],[ICG]],Assumptions[ICG],Assumptions[ULAE_Ratio])</f>
        <v>0.11</v>
      </c>
      <c r="Q72" s="18">
        <f>_xlfn.XLOOKUP(CF_Gen_3[[#This Row],[ICG]],Assumptions[ICG],Assumptions[Cancellation_Ratio])</f>
        <v>7.0000000000000007E-2</v>
      </c>
      <c r="R72" s="18">
        <f>_xlfn.XLOOKUP(CF_Gen_3[[#This Row],[ICG]],Assumptions[ICG],Assumptions[Premium_Refund_Ratio])</f>
        <v>0.5</v>
      </c>
      <c r="S72" s="18">
        <f>IF(CF_Gen_3[[#This Row],[Contract]]="RC",_xlfn.XLOOKUP(CF_Gen_3[[#This Row],[ICG]],Assumptions[ICG],Assumptions[NPR_Ratio]),0)</f>
        <v>0</v>
      </c>
      <c r="T72" s="17">
        <f>T71*(1-CF_Gen_3[[#This Row],[Cancellation_Ratio]])</f>
        <v>6.2202293592183962E-3</v>
      </c>
      <c r="U72" s="19">
        <f>IF(CF_Gen_3[[#This Row],[Incurred]]&lt;=CF_Gen_3[[#This Row],[Valuation]],CF_Gen_3[[#This Row],[Expected_Premium]],-CF_Gen_3[[#This Row],[Probability_of_Inforce]]*CF_Gen_3[[#This Row],[Premium_Refund_Ratio]]*CF_Gen_3[[#This Row],[Cancellation_Ratio]]*SUM(K72:K$105))</f>
        <v>-1727016.5897859307</v>
      </c>
      <c r="V7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Row],[Cancellation_Ratio]]*SUM(L72:L$105))</f>
        <v>249620.72516993858</v>
      </c>
      <c r="W72" s="19">
        <f>CF_Gen_3[[#This Row],[Expected_Acquisition]]</f>
        <v>0</v>
      </c>
      <c r="X72" s="19">
        <f>-CF_Gen_3[[#This Row],[Probability_of_Inforce]]*CF_Gen_3[[#This Row],[Earned_Premium]]*(1-CF_Gen_3[[#This Row],[Cancellation_Ratio]])*CF_Gen_3[[#This Row],[PME_Ratio]]+CF_Gen_3[[#This Row],[ULAE_Ratio]]*CF_Gen_3[[#This Row],[Exp_Claim]]</f>
        <v>-314165.19370677235</v>
      </c>
      <c r="Y72" s="19">
        <f>-CF_Gen_3[[#This Row],[Probability_of_Inforce]]*CF_Gen_3[[#This Row],[Earned_Premium]]*(1-CF_Gen_3[[#This Row],[Cancellation_Ratio]])*CF_Gen_3[[#This Row],[Loss_Ratio]]</f>
        <v>-1411978.3986821231</v>
      </c>
      <c r="Z72" s="19">
        <f>CF_Gen_3[[#This Row],[Exp_Claim]]*CF_Gen_3[[#This Row],[Risk_Adjustment_Ratio]]</f>
        <v>-197676.97581549725</v>
      </c>
      <c r="AA72" s="19">
        <f>IF(CF_Gen_3[[#This Row],[Contract]]="RC",-CF_Gen_3[[#This Row],[NPR_Ratio]]*CF_Gen_3[[#This Row],[Exp_Claim]],0)</f>
        <v>0</v>
      </c>
      <c r="AB72" s="19">
        <f>SUMIFS(Actual_CF[Actual_Premium],Actual_CF[ICG],CF_Gen_3[[#This Row],[ICG]],Actual_CF[Incurred],CF_Gen_3[[#This Row],[Incurred]])</f>
        <v>0</v>
      </c>
      <c r="AC72" s="19">
        <f>SUMIFS(Actual_CF[Actual_Commission],Actual_CF[ICG],CF_Gen_3[[#This Row],[ICG]],Actual_CF[Incurred],CF_Gen_3[[#This Row],[Incurred]])</f>
        <v>0</v>
      </c>
      <c r="AD72" s="19">
        <f>SUMIFS(Actual_CF[Actual_Acquisition],Actual_CF[ICG],CF_Gen_3[[#This Row],[ICG]],Actual_CF[Incurred],CF_Gen_3[[#This Row],[Incurred]])</f>
        <v>0</v>
      </c>
    </row>
    <row r="73" spans="1:30">
      <c r="A73" t="str">
        <f t="shared" si="3"/>
        <v>#2025#IC-Property</v>
      </c>
      <c r="B73">
        <f>_xlfn.XLOOKUP(CF_Gen_3[[#This Row],[ICG]],ICG[ICG],ICG[Cohort])</f>
        <v>2025</v>
      </c>
      <c r="C73" t="str">
        <f>_xlfn.XLOOKUP(CF_Gen_3[[#This Row],[ICG]],ICG[ICG],ICG[Portfolio])</f>
        <v>IC-Property</v>
      </c>
      <c r="D73" t="str">
        <f>_xlfn.XLOOKUP(CF_Gen_3[[#This Row],[ICG]],ICG[ICG],ICG[Contract])</f>
        <v>IC</v>
      </c>
      <c r="E73" s="2">
        <f t="shared" si="2"/>
        <v>45930</v>
      </c>
      <c r="F73">
        <v>72</v>
      </c>
      <c r="G73" s="2">
        <f>EOMONTH(DATE(YEAR(CF_Gen_3[[#This Row],[Valuation]])-1,12,31),CF_Gen_3[[#This Row],['#Incurred]]*3)</f>
        <v>52231</v>
      </c>
      <c r="H73" s="14">
        <f>SUMIFS(Expected_CF[Expected_Premium],Expected_CF[ICG],CF_Gen_3[[#This Row],[ICG]],Expected_CF[Incurred],CF_Gen_3[[#This Row],[Incurred]])</f>
        <v>0</v>
      </c>
      <c r="I73" s="14">
        <f>SUMIFS(Expected_CF[Expected_Commission],Expected_CF[ICG],CF_Gen_3[[#This Row],[ICG]],Expected_CF[Incurred],CF_Gen_3[[#This Row],[Incurred]])</f>
        <v>0</v>
      </c>
      <c r="J73" s="14">
        <f>IF(CF_Gen_3[[#This Row],[Contract]]="IC",SUMIFS(Expected_CF[Expected_Acquisition],Expected_CF[ICG],CF_Gen_3[[#This Row],[ICG]],Expected_CF[Incurred],CF_Gen_3[[#This Row],[Incurred]]),0)</f>
        <v>0</v>
      </c>
      <c r="K73" s="14">
        <f>SUMIFS(Earned[Earned_Premium],Earned[ICG],CF_Gen_3[[#This Row],[ICG]],Earned[Incurred],CF_Gen_3[[#This Row],[Incurred]])</f>
        <v>610209147.84230971</v>
      </c>
      <c r="L73" s="14">
        <f>SUMIFS(Earned[Earned_Commission],Earned[ICG],CF_Gen_3[[#This Row],[ICG]],Earned[Incurred],CF_Gen_3[[#This Row],[Incurred]])</f>
        <v>-88198834.273276031</v>
      </c>
      <c r="M73" s="18">
        <f>_xlfn.XLOOKUP(CF_Gen_3[[#This Row],[ICG]],Assumptions[ICG],Assumptions[Loss_Ratio])</f>
        <v>0.4</v>
      </c>
      <c r="N73" s="18">
        <f>_xlfn.XLOOKUP(CF_Gen_3[[#This Row],[ICG]],Assumptions[ICG],Assumptions[Risk_Adjustment_Ratio])</f>
        <v>0.14000000000000001</v>
      </c>
      <c r="O73" s="18">
        <f>_xlfn.XLOOKUP(CF_Gen_3[[#This Row],[ICG]],Assumptions[ICG],Assumptions[PME_Ratio])</f>
        <v>4.4999999999999998E-2</v>
      </c>
      <c r="P73" s="18">
        <f>_xlfn.XLOOKUP(CF_Gen_3[[#This Row],[ICG]],Assumptions[ICG],Assumptions[ULAE_Ratio])</f>
        <v>0.11</v>
      </c>
      <c r="Q73" s="18">
        <f>_xlfn.XLOOKUP(CF_Gen_3[[#This Row],[ICG]],Assumptions[ICG],Assumptions[Cancellation_Ratio])</f>
        <v>7.0000000000000007E-2</v>
      </c>
      <c r="R73" s="18">
        <f>_xlfn.XLOOKUP(CF_Gen_3[[#This Row],[ICG]],Assumptions[ICG],Assumptions[Premium_Refund_Ratio])</f>
        <v>0.5</v>
      </c>
      <c r="S73" s="18">
        <f>IF(CF_Gen_3[[#This Row],[Contract]]="RC",_xlfn.XLOOKUP(CF_Gen_3[[#This Row],[ICG]],Assumptions[ICG],Assumptions[NPR_Ratio]),0)</f>
        <v>0</v>
      </c>
      <c r="T73" s="17">
        <f>T72*(1-CF_Gen_3[[#This Row],[Cancellation_Ratio]])</f>
        <v>5.7848133040731085E-3</v>
      </c>
      <c r="U73" s="19">
        <f>IF(CF_Gen_3[[#This Row],[Incurred]]&lt;=CF_Gen_3[[#This Row],[Valuation]],CF_Gen_3[[#This Row],[Expected_Premium]],-CF_Gen_3[[#This Row],[Probability_of_Inforce]]*CF_Gen_3[[#This Row],[Premium_Refund_Ratio]]*CF_Gen_3[[#This Row],[Cancellation_Ratio]]*SUM(K73:K$105))</f>
        <v>-1482577.3186162298</v>
      </c>
      <c r="V7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Row],[Cancellation_Ratio]]*SUM(L73:L$105))</f>
        <v>214289.79176127043</v>
      </c>
      <c r="W73" s="19">
        <f>CF_Gen_3[[#This Row],[Expected_Acquisition]]</f>
        <v>0</v>
      </c>
      <c r="X73" s="19">
        <f>-CF_Gen_3[[#This Row],[Probability_of_Inforce]]*CF_Gen_3[[#This Row],[Earned_Premium]]*(1-CF_Gen_3[[#This Row],[Cancellation_Ratio]])*CF_Gen_3[[#This Row],[PME_Ratio]]+CF_Gen_3[[#This Row],[ULAE_Ratio]]*CF_Gen_3[[#This Row],[Exp_Claim]]</f>
        <v>-292173.63014729833</v>
      </c>
      <c r="Y73" s="19">
        <f>-CF_Gen_3[[#This Row],[Probability_of_Inforce]]*CF_Gen_3[[#This Row],[Earned_Premium]]*(1-CF_Gen_3[[#This Row],[Cancellation_Ratio]])*CF_Gen_3[[#This Row],[Loss_Ratio]]</f>
        <v>-1313139.9107743744</v>
      </c>
      <c r="Z73" s="19">
        <f>CF_Gen_3[[#This Row],[Exp_Claim]]*CF_Gen_3[[#This Row],[Risk_Adjustment_Ratio]]</f>
        <v>-183839.58750841243</v>
      </c>
      <c r="AA73" s="19">
        <f>IF(CF_Gen_3[[#This Row],[Contract]]="RC",-CF_Gen_3[[#This Row],[NPR_Ratio]]*CF_Gen_3[[#This Row],[Exp_Claim]],0)</f>
        <v>0</v>
      </c>
      <c r="AB73" s="19">
        <f>SUMIFS(Actual_CF[Actual_Premium],Actual_CF[ICG],CF_Gen_3[[#This Row],[ICG]],Actual_CF[Incurred],CF_Gen_3[[#This Row],[Incurred]])</f>
        <v>0</v>
      </c>
      <c r="AC73" s="19">
        <f>SUMIFS(Actual_CF[Actual_Commission],Actual_CF[ICG],CF_Gen_3[[#This Row],[ICG]],Actual_CF[Incurred],CF_Gen_3[[#This Row],[Incurred]])</f>
        <v>0</v>
      </c>
      <c r="AD73" s="19">
        <f>SUMIFS(Actual_CF[Actual_Acquisition],Actual_CF[ICG],CF_Gen_3[[#This Row],[ICG]],Actual_CF[Incurred],CF_Gen_3[[#This Row],[Incurred]])</f>
        <v>0</v>
      </c>
    </row>
    <row r="74" spans="1:30">
      <c r="A74" t="str">
        <f t="shared" si="3"/>
        <v>#2025#IC-Property</v>
      </c>
      <c r="B74">
        <f>_xlfn.XLOOKUP(CF_Gen_3[[#This Row],[ICG]],ICG[ICG],ICG[Cohort])</f>
        <v>2025</v>
      </c>
      <c r="C74" t="str">
        <f>_xlfn.XLOOKUP(CF_Gen_3[[#This Row],[ICG]],ICG[ICG],ICG[Portfolio])</f>
        <v>IC-Property</v>
      </c>
      <c r="D74" t="str">
        <f>_xlfn.XLOOKUP(CF_Gen_3[[#This Row],[ICG]],ICG[ICG],ICG[Contract])</f>
        <v>IC</v>
      </c>
      <c r="E74" s="2">
        <f t="shared" si="2"/>
        <v>45930</v>
      </c>
      <c r="F74">
        <v>73</v>
      </c>
      <c r="G74" s="2">
        <f>EOMONTH(DATE(YEAR(CF_Gen_3[[#This Row],[Valuation]])-1,12,31),CF_Gen_3[[#This Row],['#Incurred]]*3)</f>
        <v>52321</v>
      </c>
      <c r="H74" s="14">
        <f>SUMIFS(Expected_CF[Expected_Premium],Expected_CF[ICG],CF_Gen_3[[#This Row],[ICG]],Expected_CF[Incurred],CF_Gen_3[[#This Row],[Incurred]])</f>
        <v>0</v>
      </c>
      <c r="I74" s="14">
        <f>SUMIFS(Expected_CF[Expected_Commission],Expected_CF[ICG],CF_Gen_3[[#This Row],[ICG]],Expected_CF[Incurred],CF_Gen_3[[#This Row],[Incurred]])</f>
        <v>0</v>
      </c>
      <c r="J74" s="14">
        <f>IF(CF_Gen_3[[#This Row],[Contract]]="IC",SUMIFS(Expected_CF[Expected_Acquisition],Expected_CF[ICG],CF_Gen_3[[#This Row],[ICG]],Expected_CF[Incurred],CF_Gen_3[[#This Row],[Incurred]]),0)</f>
        <v>0</v>
      </c>
      <c r="K74" s="14">
        <f>SUMIFS(Earned[Earned_Premium],Earned[ICG],CF_Gen_3[[#This Row],[ICG]],Earned[Incurred],CF_Gen_3[[#This Row],[Incurred]])</f>
        <v>576308639.62884808</v>
      </c>
      <c r="L74" s="14">
        <f>SUMIFS(Earned[Earned_Commission],Earned[ICG],CF_Gen_3[[#This Row],[ICG]],Earned[Incurred],CF_Gen_3[[#This Row],[Incurred]])</f>
        <v>-83298899.035871819</v>
      </c>
      <c r="M74" s="18">
        <f>_xlfn.XLOOKUP(CF_Gen_3[[#This Row],[ICG]],Assumptions[ICG],Assumptions[Loss_Ratio])</f>
        <v>0.4</v>
      </c>
      <c r="N74" s="18">
        <f>_xlfn.XLOOKUP(CF_Gen_3[[#This Row],[ICG]],Assumptions[ICG],Assumptions[Risk_Adjustment_Ratio])</f>
        <v>0.14000000000000001</v>
      </c>
      <c r="O74" s="18">
        <f>_xlfn.XLOOKUP(CF_Gen_3[[#This Row],[ICG]],Assumptions[ICG],Assumptions[PME_Ratio])</f>
        <v>4.4999999999999998E-2</v>
      </c>
      <c r="P74" s="18">
        <f>_xlfn.XLOOKUP(CF_Gen_3[[#This Row],[ICG]],Assumptions[ICG],Assumptions[ULAE_Ratio])</f>
        <v>0.11</v>
      </c>
      <c r="Q74" s="18">
        <f>_xlfn.XLOOKUP(CF_Gen_3[[#This Row],[ICG]],Assumptions[ICG],Assumptions[Cancellation_Ratio])</f>
        <v>7.0000000000000007E-2</v>
      </c>
      <c r="R74" s="18">
        <f>_xlfn.XLOOKUP(CF_Gen_3[[#This Row],[ICG]],Assumptions[ICG],Assumptions[Premium_Refund_Ratio])</f>
        <v>0.5</v>
      </c>
      <c r="S74" s="18">
        <f>IF(CF_Gen_3[[#This Row],[Contract]]="RC",_xlfn.XLOOKUP(CF_Gen_3[[#This Row],[ICG]],Assumptions[ICG],Assumptions[NPR_Ratio]),0)</f>
        <v>0</v>
      </c>
      <c r="T74" s="17">
        <f>T73*(1-CF_Gen_3[[#This Row],[Cancellation_Ratio]])</f>
        <v>5.3798763727879902E-3</v>
      </c>
      <c r="U74" s="19">
        <f>IF(CF_Gen_3[[#This Row],[Incurred]]&lt;=CF_Gen_3[[#This Row],[Valuation]],CF_Gen_3[[#This Row],[Expected_Premium]],-CF_Gen_3[[#This Row],[Probability_of_Inforce]]*CF_Gen_3[[#This Row],[Premium_Refund_Ratio]]*CF_Gen_3[[#This Row],[Cancellation_Ratio]]*SUM(K74:K$105))</f>
        <v>-1263897.1641203354</v>
      </c>
      <c r="V7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Row],[Cancellation_Ratio]]*SUM(L74:L$105))</f>
        <v>182682.04747648299</v>
      </c>
      <c r="W74" s="19">
        <f>CF_Gen_3[[#This Row],[Expected_Acquisition]]</f>
        <v>0</v>
      </c>
      <c r="X74" s="19">
        <f>-CF_Gen_3[[#This Row],[Probability_of_Inforce]]*CF_Gen_3[[#This Row],[Earned_Premium]]*(1-CF_Gen_3[[#This Row],[Cancellation_Ratio]])*CF_Gen_3[[#This Row],[PME_Ratio]]+CF_Gen_3[[#This Row],[ULAE_Ratio]]*CF_Gen_3[[#This Row],[Exp_Claim]]</f>
        <v>-256625.83847937698</v>
      </c>
      <c r="Y74" s="19">
        <f>-CF_Gen_3[[#This Row],[Probability_of_Inforce]]*CF_Gen_3[[#This Row],[Earned_Premium]]*(1-CF_Gen_3[[#This Row],[Cancellation_Ratio]])*CF_Gen_3[[#This Row],[Loss_Ratio]]</f>
        <v>-1153374.5549634921</v>
      </c>
      <c r="Z74" s="19">
        <f>CF_Gen_3[[#This Row],[Exp_Claim]]*CF_Gen_3[[#This Row],[Risk_Adjustment_Ratio]]</f>
        <v>-161472.43769488891</v>
      </c>
      <c r="AA74" s="19">
        <f>IF(CF_Gen_3[[#This Row],[Contract]]="RC",-CF_Gen_3[[#This Row],[NPR_Ratio]]*CF_Gen_3[[#This Row],[Exp_Claim]],0)</f>
        <v>0</v>
      </c>
      <c r="AB74" s="19">
        <f>SUMIFS(Actual_CF[Actual_Premium],Actual_CF[ICG],CF_Gen_3[[#This Row],[ICG]],Actual_CF[Incurred],CF_Gen_3[[#This Row],[Incurred]])</f>
        <v>0</v>
      </c>
      <c r="AC74" s="19">
        <f>SUMIFS(Actual_CF[Actual_Commission],Actual_CF[ICG],CF_Gen_3[[#This Row],[ICG]],Actual_CF[Incurred],CF_Gen_3[[#This Row],[Incurred]])</f>
        <v>0</v>
      </c>
      <c r="AD74" s="19">
        <f>SUMIFS(Actual_CF[Actual_Acquisition],Actual_CF[ICG],CF_Gen_3[[#This Row],[ICG]],Actual_CF[Incurred],CF_Gen_3[[#This Row],[Incurred]])</f>
        <v>0</v>
      </c>
    </row>
    <row r="75" spans="1:30">
      <c r="A75" t="str">
        <f t="shared" si="3"/>
        <v>#2025#IC-Property</v>
      </c>
      <c r="B75">
        <f>_xlfn.XLOOKUP(CF_Gen_3[[#This Row],[ICG]],ICG[ICG],ICG[Cohort])</f>
        <v>2025</v>
      </c>
      <c r="C75" t="str">
        <f>_xlfn.XLOOKUP(CF_Gen_3[[#This Row],[ICG]],ICG[ICG],ICG[Portfolio])</f>
        <v>IC-Property</v>
      </c>
      <c r="D75" t="str">
        <f>_xlfn.XLOOKUP(CF_Gen_3[[#This Row],[ICG]],ICG[ICG],ICG[Contract])</f>
        <v>IC</v>
      </c>
      <c r="E75" s="2">
        <f t="shared" si="2"/>
        <v>45930</v>
      </c>
      <c r="F75">
        <v>74</v>
      </c>
      <c r="G75" s="2">
        <f>EOMONTH(DATE(YEAR(CF_Gen_3[[#This Row],[Valuation]])-1,12,31),CF_Gen_3[[#This Row],['#Incurred]]*3)</f>
        <v>52412</v>
      </c>
      <c r="H75" s="14">
        <f>SUMIFS(Expected_CF[Expected_Premium],Expected_CF[ICG],CF_Gen_3[[#This Row],[ICG]],Expected_CF[Incurred],CF_Gen_3[[#This Row],[Incurred]])</f>
        <v>0</v>
      </c>
      <c r="I75" s="14">
        <f>SUMIFS(Expected_CF[Expected_Commission],Expected_CF[ICG],CF_Gen_3[[#This Row],[ICG]],Expected_CF[Incurred],CF_Gen_3[[#This Row],[Incurred]])</f>
        <v>0</v>
      </c>
      <c r="J75" s="14">
        <f>IF(CF_Gen_3[[#This Row],[Contract]]="IC",SUMIFS(Expected_CF[Expected_Acquisition],Expected_CF[ICG],CF_Gen_3[[#This Row],[ICG]],Expected_CF[Incurred],CF_Gen_3[[#This Row],[Incurred]]),0)</f>
        <v>0</v>
      </c>
      <c r="K75" s="14">
        <f>SUMIFS(Earned[Earned_Premium],Earned[ICG],CF_Gen_3[[#This Row],[ICG]],Earned[Incurred],CF_Gen_3[[#This Row],[Incurred]])</f>
        <v>542408131.41538656</v>
      </c>
      <c r="L75" s="14">
        <f>SUMIFS(Earned[Earned_Commission],Earned[ICG],CF_Gen_3[[#This Row],[ICG]],Earned[Incurred],CF_Gen_3[[#This Row],[Incurred]])</f>
        <v>-78398963.798467606</v>
      </c>
      <c r="M75" s="18">
        <f>_xlfn.XLOOKUP(CF_Gen_3[[#This Row],[ICG]],Assumptions[ICG],Assumptions[Loss_Ratio])</f>
        <v>0.4</v>
      </c>
      <c r="N75" s="18">
        <f>_xlfn.XLOOKUP(CF_Gen_3[[#This Row],[ICG]],Assumptions[ICG],Assumptions[Risk_Adjustment_Ratio])</f>
        <v>0.14000000000000001</v>
      </c>
      <c r="O75" s="18">
        <f>_xlfn.XLOOKUP(CF_Gen_3[[#This Row],[ICG]],Assumptions[ICG],Assumptions[PME_Ratio])</f>
        <v>4.4999999999999998E-2</v>
      </c>
      <c r="P75" s="18">
        <f>_xlfn.XLOOKUP(CF_Gen_3[[#This Row],[ICG]],Assumptions[ICG],Assumptions[ULAE_Ratio])</f>
        <v>0.11</v>
      </c>
      <c r="Q75" s="18">
        <f>_xlfn.XLOOKUP(CF_Gen_3[[#This Row],[ICG]],Assumptions[ICG],Assumptions[Cancellation_Ratio])</f>
        <v>7.0000000000000007E-2</v>
      </c>
      <c r="R75" s="18">
        <f>_xlfn.XLOOKUP(CF_Gen_3[[#This Row],[ICG]],Assumptions[ICG],Assumptions[Premium_Refund_Ratio])</f>
        <v>0.5</v>
      </c>
      <c r="S75" s="18">
        <f>IF(CF_Gen_3[[#This Row],[Contract]]="RC",_xlfn.XLOOKUP(CF_Gen_3[[#This Row],[ICG]],Assumptions[ICG],Assumptions[NPR_Ratio]),0)</f>
        <v>0</v>
      </c>
      <c r="T75" s="17">
        <f>T74*(1-CF_Gen_3[[#This Row],[Cancellation_Ratio]])</f>
        <v>5.0032850266928308E-3</v>
      </c>
      <c r="U75" s="19">
        <f>IF(CF_Gen_3[[#This Row],[Incurred]]&lt;=CF_Gen_3[[#This Row],[Valuation]],CF_Gen_3[[#This Row],[Expected_Premium]],-CF_Gen_3[[#This Row],[Probability_of_Inforce]]*CF_Gen_3[[#This Row],[Premium_Refund_Ratio]]*CF_Gen_3[[#This Row],[Cancellation_Ratio]]*SUM(K75:K$105))</f>
        <v>-1074504.0890726065</v>
      </c>
      <c r="V7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Row],[Cancellation_Ratio]]*SUM(L75:L$105))</f>
        <v>155307.41945311305</v>
      </c>
      <c r="W75" s="19">
        <f>CF_Gen_3[[#This Row],[Expected_Acquisition]]</f>
        <v>0</v>
      </c>
      <c r="X75" s="19">
        <f>-CF_Gen_3[[#This Row],[Probability_of_Inforce]]*CF_Gen_3[[#This Row],[Earned_Premium]]*(1-CF_Gen_3[[#This Row],[Cancellation_Ratio]])*CF_Gen_3[[#This Row],[PME_Ratio]]+CF_Gen_3[[#This Row],[ULAE_Ratio]]*CF_Gen_3[[#This Row],[Exp_Claim]]</f>
        <v>-224623.08685724295</v>
      </c>
      <c r="Y75" s="19">
        <f>-CF_Gen_3[[#This Row],[Probability_of_Inforce]]*CF_Gen_3[[#This Row],[Earned_Premium]]*(1-CF_Gen_3[[#This Row],[Cancellation_Ratio]])*CF_Gen_3[[#This Row],[Loss_Ratio]]</f>
        <v>-1009541.9634033391</v>
      </c>
      <c r="Z75" s="19">
        <f>CF_Gen_3[[#This Row],[Exp_Claim]]*CF_Gen_3[[#This Row],[Risk_Adjustment_Ratio]]</f>
        <v>-141335.87487646748</v>
      </c>
      <c r="AA75" s="19">
        <f>IF(CF_Gen_3[[#This Row],[Contract]]="RC",-CF_Gen_3[[#This Row],[NPR_Ratio]]*CF_Gen_3[[#This Row],[Exp_Claim]],0)</f>
        <v>0</v>
      </c>
      <c r="AB75" s="19">
        <f>SUMIFS(Actual_CF[Actual_Premium],Actual_CF[ICG],CF_Gen_3[[#This Row],[ICG]],Actual_CF[Incurred],CF_Gen_3[[#This Row],[Incurred]])</f>
        <v>0</v>
      </c>
      <c r="AC75" s="19">
        <f>SUMIFS(Actual_CF[Actual_Commission],Actual_CF[ICG],CF_Gen_3[[#This Row],[ICG]],Actual_CF[Incurred],CF_Gen_3[[#This Row],[Incurred]])</f>
        <v>0</v>
      </c>
      <c r="AD75" s="19">
        <f>SUMIFS(Actual_CF[Actual_Acquisition],Actual_CF[ICG],CF_Gen_3[[#This Row],[ICG]],Actual_CF[Incurred],CF_Gen_3[[#This Row],[Incurred]])</f>
        <v>0</v>
      </c>
    </row>
    <row r="76" spans="1:30">
      <c r="A76" t="str">
        <f t="shared" si="3"/>
        <v>#2025#IC-Property</v>
      </c>
      <c r="B76">
        <f>_xlfn.XLOOKUP(CF_Gen_3[[#This Row],[ICG]],ICG[ICG],ICG[Cohort])</f>
        <v>2025</v>
      </c>
      <c r="C76" t="str">
        <f>_xlfn.XLOOKUP(CF_Gen_3[[#This Row],[ICG]],ICG[ICG],ICG[Portfolio])</f>
        <v>IC-Property</v>
      </c>
      <c r="D76" t="str">
        <f>_xlfn.XLOOKUP(CF_Gen_3[[#This Row],[ICG]],ICG[ICG],ICG[Contract])</f>
        <v>IC</v>
      </c>
      <c r="E76" s="2">
        <f t="shared" si="2"/>
        <v>45930</v>
      </c>
      <c r="F76">
        <v>75</v>
      </c>
      <c r="G76" s="2">
        <f>EOMONTH(DATE(YEAR(CF_Gen_3[[#This Row],[Valuation]])-1,12,31),CF_Gen_3[[#This Row],['#Incurred]]*3)</f>
        <v>52504</v>
      </c>
      <c r="H76" s="14">
        <f>SUMIFS(Expected_CF[Expected_Premium],Expected_CF[ICG],CF_Gen_3[[#This Row],[ICG]],Expected_CF[Incurred],CF_Gen_3[[#This Row],[Incurred]])</f>
        <v>0</v>
      </c>
      <c r="I76" s="14">
        <f>SUMIFS(Expected_CF[Expected_Commission],Expected_CF[ICG],CF_Gen_3[[#This Row],[ICG]],Expected_CF[Incurred],CF_Gen_3[[#This Row],[Incurred]])</f>
        <v>0</v>
      </c>
      <c r="J76" s="14">
        <f>IF(CF_Gen_3[[#This Row],[Contract]]="IC",SUMIFS(Expected_CF[Expected_Acquisition],Expected_CF[ICG],CF_Gen_3[[#This Row],[ICG]],Expected_CF[Incurred],CF_Gen_3[[#This Row],[Incurred]]),0)</f>
        <v>0</v>
      </c>
      <c r="K76" s="14">
        <f>SUMIFS(Earned[Earned_Premium],Earned[ICG],CF_Gen_3[[#This Row],[ICG]],Earned[Incurred],CF_Gen_3[[#This Row],[Incurred]])</f>
        <v>508507623.2019248</v>
      </c>
      <c r="L76" s="14">
        <f>SUMIFS(Earned[Earned_Commission],Earned[ICG],CF_Gen_3[[#This Row],[ICG]],Earned[Incurred],CF_Gen_3[[#This Row],[Incurred]])</f>
        <v>-73499028.561063364</v>
      </c>
      <c r="M76" s="18">
        <f>_xlfn.XLOOKUP(CF_Gen_3[[#This Row],[ICG]],Assumptions[ICG],Assumptions[Loss_Ratio])</f>
        <v>0.4</v>
      </c>
      <c r="N76" s="18">
        <f>_xlfn.XLOOKUP(CF_Gen_3[[#This Row],[ICG]],Assumptions[ICG],Assumptions[Risk_Adjustment_Ratio])</f>
        <v>0.14000000000000001</v>
      </c>
      <c r="O76" s="18">
        <f>_xlfn.XLOOKUP(CF_Gen_3[[#This Row],[ICG]],Assumptions[ICG],Assumptions[PME_Ratio])</f>
        <v>4.4999999999999998E-2</v>
      </c>
      <c r="P76" s="18">
        <f>_xlfn.XLOOKUP(CF_Gen_3[[#This Row],[ICG]],Assumptions[ICG],Assumptions[ULAE_Ratio])</f>
        <v>0.11</v>
      </c>
      <c r="Q76" s="18">
        <f>_xlfn.XLOOKUP(CF_Gen_3[[#This Row],[ICG]],Assumptions[ICG],Assumptions[Cancellation_Ratio])</f>
        <v>7.0000000000000007E-2</v>
      </c>
      <c r="R76" s="18">
        <f>_xlfn.XLOOKUP(CF_Gen_3[[#This Row],[ICG]],Assumptions[ICG],Assumptions[Premium_Refund_Ratio])</f>
        <v>0.5</v>
      </c>
      <c r="S76" s="18">
        <f>IF(CF_Gen_3[[#This Row],[Contract]]="RC",_xlfn.XLOOKUP(CF_Gen_3[[#This Row],[ICG]],Assumptions[ICG],Assumptions[NPR_Ratio]),0)</f>
        <v>0</v>
      </c>
      <c r="T76" s="17">
        <f>T75*(1-CF_Gen_3[[#This Row],[Cancellation_Ratio]])</f>
        <v>4.6530550748243322E-3</v>
      </c>
      <c r="U76" s="19">
        <f>IF(CF_Gen_3[[#This Row],[Incurred]]&lt;=CF_Gen_3[[#This Row],[Valuation]],CF_Gen_3[[#This Row],[Expected_Premium]],-CF_Gen_3[[#This Row],[Probability_of_Inforce]]*CF_Gen_3[[#This Row],[Premium_Refund_Ratio]]*CF_Gen_3[[#This Row],[Cancellation_Ratio]]*SUM(K76:K$105))</f>
        <v>-910953.88103973179</v>
      </c>
      <c r="V7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Row],[Cancellation_Ratio]]*SUM(L76:L$105))</f>
        <v>131668.08571867514</v>
      </c>
      <c r="W76" s="19">
        <f>CF_Gen_3[[#This Row],[Expected_Acquisition]]</f>
        <v>0</v>
      </c>
      <c r="X76" s="19">
        <f>-CF_Gen_3[[#This Row],[Probability_of_Inforce]]*CF_Gen_3[[#This Row],[Earned_Premium]]*(1-CF_Gen_3[[#This Row],[Cancellation_Ratio]])*CF_Gen_3[[#This Row],[PME_Ratio]]+CF_Gen_3[[#This Row],[ULAE_Ratio]]*CF_Gen_3[[#This Row],[Exp_Claim]]</f>
        <v>-195843.25385365862</v>
      </c>
      <c r="Y76" s="19">
        <f>-CF_Gen_3[[#This Row],[Probability_of_Inforce]]*CF_Gen_3[[#This Row],[Earned_Premium]]*(1-CF_Gen_3[[#This Row],[Cancellation_Ratio]])*CF_Gen_3[[#This Row],[Loss_Ratio]]</f>
        <v>-880194.39934228605</v>
      </c>
      <c r="Z76" s="19">
        <f>CF_Gen_3[[#This Row],[Exp_Claim]]*CF_Gen_3[[#This Row],[Risk_Adjustment_Ratio]]</f>
        <v>-123227.21590792006</v>
      </c>
      <c r="AA76" s="19">
        <f>IF(CF_Gen_3[[#This Row],[Contract]]="RC",-CF_Gen_3[[#This Row],[NPR_Ratio]]*CF_Gen_3[[#This Row],[Exp_Claim]],0)</f>
        <v>0</v>
      </c>
      <c r="AB76" s="19">
        <f>SUMIFS(Actual_CF[Actual_Premium],Actual_CF[ICG],CF_Gen_3[[#This Row],[ICG]],Actual_CF[Incurred],CF_Gen_3[[#This Row],[Incurred]])</f>
        <v>0</v>
      </c>
      <c r="AC76" s="19">
        <f>SUMIFS(Actual_CF[Actual_Commission],Actual_CF[ICG],CF_Gen_3[[#This Row],[ICG]],Actual_CF[Incurred],CF_Gen_3[[#This Row],[Incurred]])</f>
        <v>0</v>
      </c>
      <c r="AD76" s="19">
        <f>SUMIFS(Actual_CF[Actual_Acquisition],Actual_CF[ICG],CF_Gen_3[[#This Row],[ICG]],Actual_CF[Incurred],CF_Gen_3[[#This Row],[Incurred]])</f>
        <v>0</v>
      </c>
    </row>
    <row r="77" spans="1:30">
      <c r="A77" t="str">
        <f t="shared" si="3"/>
        <v>#2025#IC-Property</v>
      </c>
      <c r="B77">
        <f>_xlfn.XLOOKUP(CF_Gen_3[[#This Row],[ICG]],ICG[ICG],ICG[Cohort])</f>
        <v>2025</v>
      </c>
      <c r="C77" t="str">
        <f>_xlfn.XLOOKUP(CF_Gen_3[[#This Row],[ICG]],ICG[ICG],ICG[Portfolio])</f>
        <v>IC-Property</v>
      </c>
      <c r="D77" t="str">
        <f>_xlfn.XLOOKUP(CF_Gen_3[[#This Row],[ICG]],ICG[ICG],ICG[Contract])</f>
        <v>IC</v>
      </c>
      <c r="E77" s="2">
        <f t="shared" si="2"/>
        <v>45930</v>
      </c>
      <c r="F77">
        <v>76</v>
      </c>
      <c r="G77" s="2">
        <f>EOMONTH(DATE(YEAR(CF_Gen_3[[#This Row],[Valuation]])-1,12,31),CF_Gen_3[[#This Row],['#Incurred]]*3)</f>
        <v>52596</v>
      </c>
      <c r="H77" s="14">
        <f>SUMIFS(Expected_CF[Expected_Premium],Expected_CF[ICG],CF_Gen_3[[#This Row],[ICG]],Expected_CF[Incurred],CF_Gen_3[[#This Row],[Incurred]])</f>
        <v>0</v>
      </c>
      <c r="I77" s="14">
        <f>SUMIFS(Expected_CF[Expected_Commission],Expected_CF[ICG],CF_Gen_3[[#This Row],[ICG]],Expected_CF[Incurred],CF_Gen_3[[#This Row],[Incurred]])</f>
        <v>0</v>
      </c>
      <c r="J77" s="14">
        <f>IF(CF_Gen_3[[#This Row],[Contract]]="IC",SUMIFS(Expected_CF[Expected_Acquisition],Expected_CF[ICG],CF_Gen_3[[#This Row],[ICG]],Expected_CF[Incurred],CF_Gen_3[[#This Row],[Incurred]]),0)</f>
        <v>0</v>
      </c>
      <c r="K77" s="14">
        <f>SUMIFS(Earned[Earned_Premium],Earned[ICG],CF_Gen_3[[#This Row],[ICG]],Earned[Incurred],CF_Gen_3[[#This Row],[Incurred]])</f>
        <v>508507623.2019248</v>
      </c>
      <c r="L77" s="14">
        <f>SUMIFS(Earned[Earned_Commission],Earned[ICG],CF_Gen_3[[#This Row],[ICG]],Earned[Incurred],CF_Gen_3[[#This Row],[Incurred]])</f>
        <v>-73499028.561063364</v>
      </c>
      <c r="M77" s="18">
        <f>_xlfn.XLOOKUP(CF_Gen_3[[#This Row],[ICG]],Assumptions[ICG],Assumptions[Loss_Ratio])</f>
        <v>0.4</v>
      </c>
      <c r="N77" s="18">
        <f>_xlfn.XLOOKUP(CF_Gen_3[[#This Row],[ICG]],Assumptions[ICG],Assumptions[Risk_Adjustment_Ratio])</f>
        <v>0.14000000000000001</v>
      </c>
      <c r="O77" s="18">
        <f>_xlfn.XLOOKUP(CF_Gen_3[[#This Row],[ICG]],Assumptions[ICG],Assumptions[PME_Ratio])</f>
        <v>4.4999999999999998E-2</v>
      </c>
      <c r="P77" s="18">
        <f>_xlfn.XLOOKUP(CF_Gen_3[[#This Row],[ICG]],Assumptions[ICG],Assumptions[ULAE_Ratio])</f>
        <v>0.11</v>
      </c>
      <c r="Q77" s="18">
        <f>_xlfn.XLOOKUP(CF_Gen_3[[#This Row],[ICG]],Assumptions[ICG],Assumptions[Cancellation_Ratio])</f>
        <v>7.0000000000000007E-2</v>
      </c>
      <c r="R77" s="18">
        <f>_xlfn.XLOOKUP(CF_Gen_3[[#This Row],[ICG]],Assumptions[ICG],Assumptions[Premium_Refund_Ratio])</f>
        <v>0.5</v>
      </c>
      <c r="S77" s="18">
        <f>IF(CF_Gen_3[[#This Row],[Contract]]="RC",_xlfn.XLOOKUP(CF_Gen_3[[#This Row],[ICG]],Assumptions[ICG],Assumptions[NPR_Ratio]),0)</f>
        <v>0</v>
      </c>
      <c r="T77" s="17">
        <f>T76*(1-CF_Gen_3[[#This Row],[Cancellation_Ratio]])</f>
        <v>4.3273412195866286E-3</v>
      </c>
      <c r="U77" s="19">
        <f>IF(CF_Gen_3[[#This Row],[Incurred]]&lt;=CF_Gen_3[[#This Row],[Valuation]],CF_Gen_3[[#This Row],[Expected_Premium]],-CF_Gen_3[[#This Row],[Probability_of_Inforce]]*CF_Gen_3[[#This Row],[Premium_Refund_Ratio]]*CF_Gen_3[[#This Row],[Cancellation_Ratio]]*SUM(K77:K$105))</f>
        <v>-770170.09942450048</v>
      </c>
      <c r="V7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Row],[Cancellation_Ratio]]*SUM(L77:L$105))</f>
        <v>111319.3815621526</v>
      </c>
      <c r="W77" s="19">
        <f>CF_Gen_3[[#This Row],[Expected_Acquisition]]</f>
        <v>0</v>
      </c>
      <c r="X77" s="19">
        <f>-CF_Gen_3[[#This Row],[Probability_of_Inforce]]*CF_Gen_3[[#This Row],[Earned_Premium]]*(1-CF_Gen_3[[#This Row],[Cancellation_Ratio]])*CF_Gen_3[[#This Row],[PME_Ratio]]+CF_Gen_3[[#This Row],[ULAE_Ratio]]*CF_Gen_3[[#This Row],[Exp_Claim]]</f>
        <v>-182134.22608390253</v>
      </c>
      <c r="Y77" s="19">
        <f>-CF_Gen_3[[#This Row],[Probability_of_Inforce]]*CF_Gen_3[[#This Row],[Earned_Premium]]*(1-CF_Gen_3[[#This Row],[Cancellation_Ratio]])*CF_Gen_3[[#This Row],[Loss_Ratio]]</f>
        <v>-818580.79138832598</v>
      </c>
      <c r="Z77" s="19">
        <f>CF_Gen_3[[#This Row],[Exp_Claim]]*CF_Gen_3[[#This Row],[Risk_Adjustment_Ratio]]</f>
        <v>-114601.31079436565</v>
      </c>
      <c r="AA77" s="19">
        <f>IF(CF_Gen_3[[#This Row],[Contract]]="RC",-CF_Gen_3[[#This Row],[NPR_Ratio]]*CF_Gen_3[[#This Row],[Exp_Claim]],0)</f>
        <v>0</v>
      </c>
      <c r="AB77" s="19">
        <f>SUMIFS(Actual_CF[Actual_Premium],Actual_CF[ICG],CF_Gen_3[[#This Row],[ICG]],Actual_CF[Incurred],CF_Gen_3[[#This Row],[Incurred]])</f>
        <v>0</v>
      </c>
      <c r="AC77" s="19">
        <f>SUMIFS(Actual_CF[Actual_Commission],Actual_CF[ICG],CF_Gen_3[[#This Row],[ICG]],Actual_CF[Incurred],CF_Gen_3[[#This Row],[Incurred]])</f>
        <v>0</v>
      </c>
      <c r="AD77" s="19">
        <f>SUMIFS(Actual_CF[Actual_Acquisition],Actual_CF[ICG],CF_Gen_3[[#This Row],[ICG]],Actual_CF[Incurred],CF_Gen_3[[#This Row],[Incurred]])</f>
        <v>0</v>
      </c>
    </row>
    <row r="78" spans="1:30">
      <c r="A78" t="str">
        <f t="shared" si="3"/>
        <v>#2025#IC-Property</v>
      </c>
      <c r="B78">
        <f>_xlfn.XLOOKUP(CF_Gen_3[[#This Row],[ICG]],ICG[ICG],ICG[Cohort])</f>
        <v>2025</v>
      </c>
      <c r="C78" t="str">
        <f>_xlfn.XLOOKUP(CF_Gen_3[[#This Row],[ICG]],ICG[ICG],ICG[Portfolio])</f>
        <v>IC-Property</v>
      </c>
      <c r="D78" t="str">
        <f>_xlfn.XLOOKUP(CF_Gen_3[[#This Row],[ICG]],ICG[ICG],ICG[Contract])</f>
        <v>IC</v>
      </c>
      <c r="E78" s="2">
        <f t="shared" si="2"/>
        <v>45930</v>
      </c>
      <c r="F78">
        <v>77</v>
      </c>
      <c r="G78" s="2">
        <f>EOMONTH(DATE(YEAR(CF_Gen_3[[#This Row],[Valuation]])-1,12,31),CF_Gen_3[[#This Row],['#Incurred]]*3)</f>
        <v>52687</v>
      </c>
      <c r="H78" s="14">
        <f>SUMIFS(Expected_CF[Expected_Premium],Expected_CF[ICG],CF_Gen_3[[#This Row],[ICG]],Expected_CF[Incurred],CF_Gen_3[[#This Row],[Incurred]])</f>
        <v>0</v>
      </c>
      <c r="I78" s="14">
        <f>SUMIFS(Expected_CF[Expected_Commission],Expected_CF[ICG],CF_Gen_3[[#This Row],[ICG]],Expected_CF[Incurred],CF_Gen_3[[#This Row],[Incurred]])</f>
        <v>0</v>
      </c>
      <c r="J78" s="14">
        <f>IF(CF_Gen_3[[#This Row],[Contract]]="IC",SUMIFS(Expected_CF[Expected_Acquisition],Expected_CF[ICG],CF_Gen_3[[#This Row],[ICG]],Expected_CF[Incurred],CF_Gen_3[[#This Row],[Incurred]]),0)</f>
        <v>0</v>
      </c>
      <c r="K78" s="14">
        <f>SUMIFS(Earned[Earned_Premium],Earned[ICG],CF_Gen_3[[#This Row],[ICG]],Earned[Incurred],CF_Gen_3[[#This Row],[Incurred]])</f>
        <v>474607114.98846316</v>
      </c>
      <c r="L78" s="14">
        <f>SUMIFS(Earned[Earned_Commission],Earned[ICG],CF_Gen_3[[#This Row],[ICG]],Earned[Incurred],CF_Gen_3[[#This Row],[Incurred]])</f>
        <v>-68599093.323659152</v>
      </c>
      <c r="M78" s="18">
        <f>_xlfn.XLOOKUP(CF_Gen_3[[#This Row],[ICG]],Assumptions[ICG],Assumptions[Loss_Ratio])</f>
        <v>0.4</v>
      </c>
      <c r="N78" s="18">
        <f>_xlfn.XLOOKUP(CF_Gen_3[[#This Row],[ICG]],Assumptions[ICG],Assumptions[Risk_Adjustment_Ratio])</f>
        <v>0.14000000000000001</v>
      </c>
      <c r="O78" s="18">
        <f>_xlfn.XLOOKUP(CF_Gen_3[[#This Row],[ICG]],Assumptions[ICG],Assumptions[PME_Ratio])</f>
        <v>4.4999999999999998E-2</v>
      </c>
      <c r="P78" s="18">
        <f>_xlfn.XLOOKUP(CF_Gen_3[[#This Row],[ICG]],Assumptions[ICG],Assumptions[ULAE_Ratio])</f>
        <v>0.11</v>
      </c>
      <c r="Q78" s="18">
        <f>_xlfn.XLOOKUP(CF_Gen_3[[#This Row],[ICG]],Assumptions[ICG],Assumptions[Cancellation_Ratio])</f>
        <v>7.0000000000000007E-2</v>
      </c>
      <c r="R78" s="18">
        <f>_xlfn.XLOOKUP(CF_Gen_3[[#This Row],[ICG]],Assumptions[ICG],Assumptions[Premium_Refund_Ratio])</f>
        <v>0.5</v>
      </c>
      <c r="S78" s="18">
        <f>IF(CF_Gen_3[[#This Row],[Contract]]="RC",_xlfn.XLOOKUP(CF_Gen_3[[#This Row],[ICG]],Assumptions[ICG],Assumptions[NPR_Ratio]),0)</f>
        <v>0</v>
      </c>
      <c r="T78" s="17">
        <f>T77*(1-CF_Gen_3[[#This Row],[Cancellation_Ratio]])</f>
        <v>4.0244273342155646E-3</v>
      </c>
      <c r="U78" s="19">
        <f>IF(CF_Gen_3[[#This Row],[Incurred]]&lt;=CF_Gen_3[[#This Row],[Valuation]],CF_Gen_3[[#This Row],[Expected_Premium]],-CF_Gen_3[[#This Row],[Probability_of_Inforce]]*CF_Gen_3[[#This Row],[Premium_Refund_Ratio]]*CF_Gen_3[[#This Row],[Cancellation_Ratio]]*SUM(K78:K$105))</f>
        <v>-644632.37321830681</v>
      </c>
      <c r="V7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Row],[Cancellation_Ratio]]*SUM(L78:L$105))</f>
        <v>93174.322367521716</v>
      </c>
      <c r="W78" s="19">
        <f>CF_Gen_3[[#This Row],[Expected_Acquisition]]</f>
        <v>0</v>
      </c>
      <c r="X78" s="19">
        <f>-CF_Gen_3[[#This Row],[Probability_of_Inforce]]*CF_Gen_3[[#This Row],[Earned_Premium]]*(1-CF_Gen_3[[#This Row],[Cancellation_Ratio]])*CF_Gen_3[[#This Row],[PME_Ratio]]+CF_Gen_3[[#This Row],[ULAE_Ratio]]*CF_Gen_3[[#This Row],[Exp_Claim]]</f>
        <v>-158092.50824082742</v>
      </c>
      <c r="Y78" s="19">
        <f>-CF_Gen_3[[#This Row],[Probability_of_Inforce]]*CF_Gen_3[[#This Row],[Earned_Premium]]*(1-CF_Gen_3[[#This Row],[Cancellation_Ratio]])*CF_Gen_3[[#This Row],[Loss_Ratio]]</f>
        <v>-710528.12692506704</v>
      </c>
      <c r="Z78" s="19">
        <f>CF_Gen_3[[#This Row],[Exp_Claim]]*CF_Gen_3[[#This Row],[Risk_Adjustment_Ratio]]</f>
        <v>-99473.937769509401</v>
      </c>
      <c r="AA78" s="19">
        <f>IF(CF_Gen_3[[#This Row],[Contract]]="RC",-CF_Gen_3[[#This Row],[NPR_Ratio]]*CF_Gen_3[[#This Row],[Exp_Claim]],0)</f>
        <v>0</v>
      </c>
      <c r="AB78" s="19">
        <f>SUMIFS(Actual_CF[Actual_Premium],Actual_CF[ICG],CF_Gen_3[[#This Row],[ICG]],Actual_CF[Incurred],CF_Gen_3[[#This Row],[Incurred]])</f>
        <v>0</v>
      </c>
      <c r="AC78" s="19">
        <f>SUMIFS(Actual_CF[Actual_Commission],Actual_CF[ICG],CF_Gen_3[[#This Row],[ICG]],Actual_CF[Incurred],CF_Gen_3[[#This Row],[Incurred]])</f>
        <v>0</v>
      </c>
      <c r="AD78" s="19">
        <f>SUMIFS(Actual_CF[Actual_Acquisition],Actual_CF[ICG],CF_Gen_3[[#This Row],[ICG]],Actual_CF[Incurred],CF_Gen_3[[#This Row],[Incurred]])</f>
        <v>0</v>
      </c>
    </row>
    <row r="79" spans="1:30">
      <c r="A79" t="str">
        <f t="shared" si="3"/>
        <v>#2025#IC-Property</v>
      </c>
      <c r="B79">
        <f>_xlfn.XLOOKUP(CF_Gen_3[[#This Row],[ICG]],ICG[ICG],ICG[Cohort])</f>
        <v>2025</v>
      </c>
      <c r="C79" t="str">
        <f>_xlfn.XLOOKUP(CF_Gen_3[[#This Row],[ICG]],ICG[ICG],ICG[Portfolio])</f>
        <v>IC-Property</v>
      </c>
      <c r="D79" t="str">
        <f>_xlfn.XLOOKUP(CF_Gen_3[[#This Row],[ICG]],ICG[ICG],ICG[Contract])</f>
        <v>IC</v>
      </c>
      <c r="E79" s="2">
        <f t="shared" si="2"/>
        <v>45930</v>
      </c>
      <c r="F79">
        <v>78</v>
      </c>
      <c r="G79" s="2">
        <f>EOMONTH(DATE(YEAR(CF_Gen_3[[#This Row],[Valuation]])-1,12,31),CF_Gen_3[[#This Row],['#Incurred]]*3)</f>
        <v>52778</v>
      </c>
      <c r="H79" s="14">
        <f>SUMIFS(Expected_CF[Expected_Premium],Expected_CF[ICG],CF_Gen_3[[#This Row],[ICG]],Expected_CF[Incurred],CF_Gen_3[[#This Row],[Incurred]])</f>
        <v>0</v>
      </c>
      <c r="I79" s="14">
        <f>SUMIFS(Expected_CF[Expected_Commission],Expected_CF[ICG],CF_Gen_3[[#This Row],[ICG]],Expected_CF[Incurred],CF_Gen_3[[#This Row],[Incurred]])</f>
        <v>0</v>
      </c>
      <c r="J79" s="14">
        <f>IF(CF_Gen_3[[#This Row],[Contract]]="IC",SUMIFS(Expected_CF[Expected_Acquisition],Expected_CF[ICG],CF_Gen_3[[#This Row],[ICG]],Expected_CF[Incurred],CF_Gen_3[[#This Row],[Incurred]]),0)</f>
        <v>0</v>
      </c>
      <c r="K79" s="14">
        <f>SUMIFS(Earned[Earned_Premium],Earned[ICG],CF_Gen_3[[#This Row],[ICG]],Earned[Incurred],CF_Gen_3[[#This Row],[Incurred]])</f>
        <v>440706606.77500159</v>
      </c>
      <c r="L79" s="14">
        <f>SUMIFS(Earned[Earned_Commission],Earned[ICG],CF_Gen_3[[#This Row],[ICG]],Earned[Incurred],CF_Gen_3[[#This Row],[Incurred]])</f>
        <v>-63699158.086254932</v>
      </c>
      <c r="M79" s="18">
        <f>_xlfn.XLOOKUP(CF_Gen_3[[#This Row],[ICG]],Assumptions[ICG],Assumptions[Loss_Ratio])</f>
        <v>0.4</v>
      </c>
      <c r="N79" s="18">
        <f>_xlfn.XLOOKUP(CF_Gen_3[[#This Row],[ICG]],Assumptions[ICG],Assumptions[Risk_Adjustment_Ratio])</f>
        <v>0.14000000000000001</v>
      </c>
      <c r="O79" s="18">
        <f>_xlfn.XLOOKUP(CF_Gen_3[[#This Row],[ICG]],Assumptions[ICG],Assumptions[PME_Ratio])</f>
        <v>4.4999999999999998E-2</v>
      </c>
      <c r="P79" s="18">
        <f>_xlfn.XLOOKUP(CF_Gen_3[[#This Row],[ICG]],Assumptions[ICG],Assumptions[ULAE_Ratio])</f>
        <v>0.11</v>
      </c>
      <c r="Q79" s="18">
        <f>_xlfn.XLOOKUP(CF_Gen_3[[#This Row],[ICG]],Assumptions[ICG],Assumptions[Cancellation_Ratio])</f>
        <v>7.0000000000000007E-2</v>
      </c>
      <c r="R79" s="18">
        <f>_xlfn.XLOOKUP(CF_Gen_3[[#This Row],[ICG]],Assumptions[ICG],Assumptions[Premium_Refund_Ratio])</f>
        <v>0.5</v>
      </c>
      <c r="S79" s="18">
        <f>IF(CF_Gen_3[[#This Row],[Contract]]="RC",_xlfn.XLOOKUP(CF_Gen_3[[#This Row],[ICG]],Assumptions[ICG],Assumptions[NPR_Ratio]),0)</f>
        <v>0</v>
      </c>
      <c r="T79" s="17">
        <f>T78*(1-CF_Gen_3[[#This Row],[Cancellation_Ratio]])</f>
        <v>3.7427174208204748E-3</v>
      </c>
      <c r="U79" s="19">
        <f>IF(CF_Gen_3[[#This Row],[Incurred]]&lt;=CF_Gen_3[[#This Row],[Valuation]],CF_Gen_3[[#This Row],[Expected_Premium]],-CF_Gen_3[[#This Row],[Probability_of_Inforce]]*CF_Gen_3[[#This Row],[Premium_Refund_Ratio]]*CF_Gen_3[[#This Row],[Cancellation_Ratio]]*SUM(K79:K$105))</f>
        <v>-537336.89598708204</v>
      </c>
      <c r="V7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Row],[Cancellation_Ratio]]*SUM(L79:L$105))</f>
        <v>77665.974044571994</v>
      </c>
      <c r="W79" s="19">
        <f>CF_Gen_3[[#This Row],[Expected_Acquisition]]</f>
        <v>0</v>
      </c>
      <c r="X79" s="19">
        <f>-CF_Gen_3[[#This Row],[Probability_of_Inforce]]*CF_Gen_3[[#This Row],[Earned_Premium]]*(1-CF_Gen_3[[#This Row],[Cancellation_Ratio]])*CF_Gen_3[[#This Row],[PME_Ratio]]+CF_Gen_3[[#This Row],[ULAE_Ratio]]*CF_Gen_3[[#This Row],[Exp_Claim]]</f>
        <v>-136524.17318797167</v>
      </c>
      <c r="Y79" s="19">
        <f>-CF_Gen_3[[#This Row],[Probability_of_Inforce]]*CF_Gen_3[[#This Row],[Earned_Premium]]*(1-CF_Gen_3[[#This Row],[Cancellation_Ratio]])*CF_Gen_3[[#This Row],[Loss_Ratio]]</f>
        <v>-613591.78960886144</v>
      </c>
      <c r="Z79" s="19">
        <f>CF_Gen_3[[#This Row],[Exp_Claim]]*CF_Gen_3[[#This Row],[Risk_Adjustment_Ratio]]</f>
        <v>-85902.85054524061</v>
      </c>
      <c r="AA79" s="19">
        <f>IF(CF_Gen_3[[#This Row],[Contract]]="RC",-CF_Gen_3[[#This Row],[NPR_Ratio]]*CF_Gen_3[[#This Row],[Exp_Claim]],0)</f>
        <v>0</v>
      </c>
      <c r="AB79" s="19">
        <f>SUMIFS(Actual_CF[Actual_Premium],Actual_CF[ICG],CF_Gen_3[[#This Row],[ICG]],Actual_CF[Incurred],CF_Gen_3[[#This Row],[Incurred]])</f>
        <v>0</v>
      </c>
      <c r="AC79" s="19">
        <f>SUMIFS(Actual_CF[Actual_Commission],Actual_CF[ICG],CF_Gen_3[[#This Row],[ICG]],Actual_CF[Incurred],CF_Gen_3[[#This Row],[Incurred]])</f>
        <v>0</v>
      </c>
      <c r="AD79" s="19">
        <f>SUMIFS(Actual_CF[Actual_Acquisition],Actual_CF[ICG],CF_Gen_3[[#This Row],[ICG]],Actual_CF[Incurred],CF_Gen_3[[#This Row],[Incurred]])</f>
        <v>0</v>
      </c>
    </row>
    <row r="80" spans="1:30">
      <c r="A80" t="str">
        <f t="shared" si="3"/>
        <v>#2025#IC-Property</v>
      </c>
      <c r="B80">
        <f>_xlfn.XLOOKUP(CF_Gen_3[[#This Row],[ICG]],ICG[ICG],ICG[Cohort])</f>
        <v>2025</v>
      </c>
      <c r="C80" t="str">
        <f>_xlfn.XLOOKUP(CF_Gen_3[[#This Row],[ICG]],ICG[ICG],ICG[Portfolio])</f>
        <v>IC-Property</v>
      </c>
      <c r="D80" t="str">
        <f>_xlfn.XLOOKUP(CF_Gen_3[[#This Row],[ICG]],ICG[ICG],ICG[Contract])</f>
        <v>IC</v>
      </c>
      <c r="E80" s="2">
        <f t="shared" si="2"/>
        <v>45930</v>
      </c>
      <c r="F80">
        <v>79</v>
      </c>
      <c r="G80" s="2">
        <f>EOMONTH(DATE(YEAR(CF_Gen_3[[#This Row],[Valuation]])-1,12,31),CF_Gen_3[[#This Row],['#Incurred]]*3)</f>
        <v>52870</v>
      </c>
      <c r="H80" s="14">
        <f>SUMIFS(Expected_CF[Expected_Premium],Expected_CF[ICG],CF_Gen_3[[#This Row],[ICG]],Expected_CF[Incurred],CF_Gen_3[[#This Row],[Incurred]])</f>
        <v>0</v>
      </c>
      <c r="I80" s="14">
        <f>SUMIFS(Expected_CF[Expected_Commission],Expected_CF[ICG],CF_Gen_3[[#This Row],[ICG]],Expected_CF[Incurred],CF_Gen_3[[#This Row],[Incurred]])</f>
        <v>0</v>
      </c>
      <c r="J80" s="14">
        <f>IF(CF_Gen_3[[#This Row],[Contract]]="IC",SUMIFS(Expected_CF[Expected_Acquisition],Expected_CF[ICG],CF_Gen_3[[#This Row],[ICG]],Expected_CF[Incurred],CF_Gen_3[[#This Row],[Incurred]]),0)</f>
        <v>0</v>
      </c>
      <c r="K80" s="14">
        <f>SUMIFS(Earned[Earned_Premium],Earned[ICG],CF_Gen_3[[#This Row],[ICG]],Earned[Incurred],CF_Gen_3[[#This Row],[Incurred]])</f>
        <v>406806098.56153989</v>
      </c>
      <c r="L80" s="14">
        <f>SUMIFS(Earned[Earned_Commission],Earned[ICG],CF_Gen_3[[#This Row],[ICG]],Earned[Incurred],CF_Gen_3[[#This Row],[Incurred]])</f>
        <v>-58799222.848850705</v>
      </c>
      <c r="M80" s="18">
        <f>_xlfn.XLOOKUP(CF_Gen_3[[#This Row],[ICG]],Assumptions[ICG],Assumptions[Loss_Ratio])</f>
        <v>0.4</v>
      </c>
      <c r="N80" s="18">
        <f>_xlfn.XLOOKUP(CF_Gen_3[[#This Row],[ICG]],Assumptions[ICG],Assumptions[Risk_Adjustment_Ratio])</f>
        <v>0.14000000000000001</v>
      </c>
      <c r="O80" s="18">
        <f>_xlfn.XLOOKUP(CF_Gen_3[[#This Row],[ICG]],Assumptions[ICG],Assumptions[PME_Ratio])</f>
        <v>4.4999999999999998E-2</v>
      </c>
      <c r="P80" s="18">
        <f>_xlfn.XLOOKUP(CF_Gen_3[[#This Row],[ICG]],Assumptions[ICG],Assumptions[ULAE_Ratio])</f>
        <v>0.11</v>
      </c>
      <c r="Q80" s="18">
        <f>_xlfn.XLOOKUP(CF_Gen_3[[#This Row],[ICG]],Assumptions[ICG],Assumptions[Cancellation_Ratio])</f>
        <v>7.0000000000000007E-2</v>
      </c>
      <c r="R80" s="18">
        <f>_xlfn.XLOOKUP(CF_Gen_3[[#This Row],[ICG]],Assumptions[ICG],Assumptions[Premium_Refund_Ratio])</f>
        <v>0.5</v>
      </c>
      <c r="S80" s="18">
        <f>IF(CF_Gen_3[[#This Row],[Contract]]="RC",_xlfn.XLOOKUP(CF_Gen_3[[#This Row],[ICG]],Assumptions[ICG],Assumptions[NPR_Ratio]),0)</f>
        <v>0</v>
      </c>
      <c r="T80" s="17">
        <f>T79*(1-CF_Gen_3[[#This Row],[Cancellation_Ratio]])</f>
        <v>3.4807272013630416E-3</v>
      </c>
      <c r="U80" s="19">
        <f>IF(CF_Gen_3[[#This Row],[Incurred]]&lt;=CF_Gen_3[[#This Row],[Valuation]],CF_Gen_3[[#This Row],[Expected_Premium]],-CF_Gen_3[[#This Row],[Probability_of_Inforce]]*CF_Gen_3[[#This Row],[Premium_Refund_Ratio]]*CF_Gen_3[[#This Row],[Cancellation_Ratio]]*SUM(K80:K$105))</f>
        <v>-446034.03167721094</v>
      </c>
      <c r="V8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Row],[Cancellation_Ratio]]*SUM(L80:L$105))</f>
        <v>64469.177132535624</v>
      </c>
      <c r="W80" s="19">
        <f>CF_Gen_3[[#This Row],[Expected_Acquisition]]</f>
        <v>0</v>
      </c>
      <c r="X80" s="19">
        <f>-CF_Gen_3[[#This Row],[Probability_of_Inforce]]*CF_Gen_3[[#This Row],[Earned_Premium]]*(1-CF_Gen_3[[#This Row],[Cancellation_Ratio]])*CF_Gen_3[[#This Row],[PME_Ratio]]+CF_Gen_3[[#This Row],[ULAE_Ratio]]*CF_Gen_3[[#This Row],[Exp_Claim]]</f>
        <v>-117200.75175213566</v>
      </c>
      <c r="Y80" s="19">
        <f>-CF_Gen_3[[#This Row],[Probability_of_Inforce]]*CF_Gen_3[[#This Row],[Earned_Premium]]*(1-CF_Gen_3[[#This Row],[Cancellation_Ratio]])*CF_Gen_3[[#This Row],[Loss_Ratio]]</f>
        <v>-526744.95169499179</v>
      </c>
      <c r="Z80" s="19">
        <f>CF_Gen_3[[#This Row],[Exp_Claim]]*CF_Gen_3[[#This Row],[Risk_Adjustment_Ratio]]</f>
        <v>-73744.293237298858</v>
      </c>
      <c r="AA80" s="19">
        <f>IF(CF_Gen_3[[#This Row],[Contract]]="RC",-CF_Gen_3[[#This Row],[NPR_Ratio]]*CF_Gen_3[[#This Row],[Exp_Claim]],0)</f>
        <v>0</v>
      </c>
      <c r="AB80" s="19">
        <f>SUMIFS(Actual_CF[Actual_Premium],Actual_CF[ICG],CF_Gen_3[[#This Row],[ICG]],Actual_CF[Incurred],CF_Gen_3[[#This Row],[Incurred]])</f>
        <v>0</v>
      </c>
      <c r="AC80" s="19">
        <f>SUMIFS(Actual_CF[Actual_Commission],Actual_CF[ICG],CF_Gen_3[[#This Row],[ICG]],Actual_CF[Incurred],CF_Gen_3[[#This Row],[Incurred]])</f>
        <v>0</v>
      </c>
      <c r="AD80" s="19">
        <f>SUMIFS(Actual_CF[Actual_Acquisition],Actual_CF[ICG],CF_Gen_3[[#This Row],[ICG]],Actual_CF[Incurred],CF_Gen_3[[#This Row],[Incurred]])</f>
        <v>0</v>
      </c>
    </row>
    <row r="81" spans="1:30">
      <c r="A81" t="str">
        <f t="shared" si="3"/>
        <v>#2025#IC-Property</v>
      </c>
      <c r="B81">
        <f>_xlfn.XLOOKUP(CF_Gen_3[[#This Row],[ICG]],ICG[ICG],ICG[Cohort])</f>
        <v>2025</v>
      </c>
      <c r="C81" t="str">
        <f>_xlfn.XLOOKUP(CF_Gen_3[[#This Row],[ICG]],ICG[ICG],ICG[Portfolio])</f>
        <v>IC-Property</v>
      </c>
      <c r="D81" t="str">
        <f>_xlfn.XLOOKUP(CF_Gen_3[[#This Row],[ICG]],ICG[ICG],ICG[Contract])</f>
        <v>IC</v>
      </c>
      <c r="E81" s="2">
        <f t="shared" si="2"/>
        <v>45930</v>
      </c>
      <c r="F81">
        <v>80</v>
      </c>
      <c r="G81" s="2">
        <f>EOMONTH(DATE(YEAR(CF_Gen_3[[#This Row],[Valuation]])-1,12,31),CF_Gen_3[[#This Row],['#Incurred]]*3)</f>
        <v>52962</v>
      </c>
      <c r="H81" s="14">
        <f>SUMIFS(Expected_CF[Expected_Premium],Expected_CF[ICG],CF_Gen_3[[#This Row],[ICG]],Expected_CF[Incurred],CF_Gen_3[[#This Row],[Incurred]])</f>
        <v>0</v>
      </c>
      <c r="I81" s="14">
        <f>SUMIFS(Expected_CF[Expected_Commission],Expected_CF[ICG],CF_Gen_3[[#This Row],[ICG]],Expected_CF[Incurred],CF_Gen_3[[#This Row],[Incurred]])</f>
        <v>0</v>
      </c>
      <c r="J81" s="14">
        <f>IF(CF_Gen_3[[#This Row],[Contract]]="IC",SUMIFS(Expected_CF[Expected_Acquisition],Expected_CF[ICG],CF_Gen_3[[#This Row],[ICG]],Expected_CF[Incurred],CF_Gen_3[[#This Row],[Incurred]]),0)</f>
        <v>0</v>
      </c>
      <c r="K81" s="14">
        <f>SUMIFS(Earned[Earned_Premium],Earned[ICG],CF_Gen_3[[#This Row],[ICG]],Earned[Incurred],CF_Gen_3[[#This Row],[Incurred]])</f>
        <v>406806098.56153989</v>
      </c>
      <c r="L81" s="14">
        <f>SUMIFS(Earned[Earned_Commission],Earned[ICG],CF_Gen_3[[#This Row],[ICG]],Earned[Incurred],CF_Gen_3[[#This Row],[Incurred]])</f>
        <v>-58799222.848850705</v>
      </c>
      <c r="M81" s="18">
        <f>_xlfn.XLOOKUP(CF_Gen_3[[#This Row],[ICG]],Assumptions[ICG],Assumptions[Loss_Ratio])</f>
        <v>0.4</v>
      </c>
      <c r="N81" s="18">
        <f>_xlfn.XLOOKUP(CF_Gen_3[[#This Row],[ICG]],Assumptions[ICG],Assumptions[Risk_Adjustment_Ratio])</f>
        <v>0.14000000000000001</v>
      </c>
      <c r="O81" s="18">
        <f>_xlfn.XLOOKUP(CF_Gen_3[[#This Row],[ICG]],Assumptions[ICG],Assumptions[PME_Ratio])</f>
        <v>4.4999999999999998E-2</v>
      </c>
      <c r="P81" s="18">
        <f>_xlfn.XLOOKUP(CF_Gen_3[[#This Row],[ICG]],Assumptions[ICG],Assumptions[ULAE_Ratio])</f>
        <v>0.11</v>
      </c>
      <c r="Q81" s="18">
        <f>_xlfn.XLOOKUP(CF_Gen_3[[#This Row],[ICG]],Assumptions[ICG],Assumptions[Cancellation_Ratio])</f>
        <v>7.0000000000000007E-2</v>
      </c>
      <c r="R81" s="18">
        <f>_xlfn.XLOOKUP(CF_Gen_3[[#This Row],[ICG]],Assumptions[ICG],Assumptions[Premium_Refund_Ratio])</f>
        <v>0.5</v>
      </c>
      <c r="S81" s="18">
        <f>IF(CF_Gen_3[[#This Row],[Contract]]="RC",_xlfn.XLOOKUP(CF_Gen_3[[#This Row],[ICG]],Assumptions[ICG],Assumptions[NPR_Ratio]),0)</f>
        <v>0</v>
      </c>
      <c r="T81" s="17">
        <f>T80*(1-CF_Gen_3[[#This Row],[Cancellation_Ratio]])</f>
        <v>3.2370762972676282E-3</v>
      </c>
      <c r="U81" s="19">
        <f>IF(CF_Gen_3[[#This Row],[Incurred]]&lt;=CF_Gen_3[[#This Row],[Valuation]],CF_Gen_3[[#This Row],[Expected_Premium]],-CF_Gen_3[[#This Row],[Probability_of_Inforce]]*CF_Gen_3[[#This Row],[Premium_Refund_Ratio]]*CF_Gen_3[[#This Row],[Cancellation_Ratio]]*SUM(K81:K$105))</f>
        <v>-368721.46618649433</v>
      </c>
      <c r="V8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Row],[Cancellation_Ratio]]*SUM(L81:L$105))</f>
        <v>53294.51976289611</v>
      </c>
      <c r="W81" s="19">
        <f>CF_Gen_3[[#This Row],[Expected_Acquisition]]</f>
        <v>0</v>
      </c>
      <c r="X81" s="19">
        <f>-CF_Gen_3[[#This Row],[Probability_of_Inforce]]*CF_Gen_3[[#This Row],[Earned_Premium]]*(1-CF_Gen_3[[#This Row],[Cancellation_Ratio]])*CF_Gen_3[[#This Row],[PME_Ratio]]+CF_Gen_3[[#This Row],[ULAE_Ratio]]*CF_Gen_3[[#This Row],[Exp_Claim]]</f>
        <v>-108996.69912948617</v>
      </c>
      <c r="Y81" s="19">
        <f>-CF_Gen_3[[#This Row],[Probability_of_Inforce]]*CF_Gen_3[[#This Row],[Earned_Premium]]*(1-CF_Gen_3[[#This Row],[Cancellation_Ratio]])*CF_Gen_3[[#This Row],[Loss_Ratio]]</f>
        <v>-489872.80507634231</v>
      </c>
      <c r="Z81" s="19">
        <f>CF_Gen_3[[#This Row],[Exp_Claim]]*CF_Gen_3[[#This Row],[Risk_Adjustment_Ratio]]</f>
        <v>-68582.19271068793</v>
      </c>
      <c r="AA81" s="19">
        <f>IF(CF_Gen_3[[#This Row],[Contract]]="RC",-CF_Gen_3[[#This Row],[NPR_Ratio]]*CF_Gen_3[[#This Row],[Exp_Claim]],0)</f>
        <v>0</v>
      </c>
      <c r="AB81" s="19">
        <f>SUMIFS(Actual_CF[Actual_Premium],Actual_CF[ICG],CF_Gen_3[[#This Row],[ICG]],Actual_CF[Incurred],CF_Gen_3[[#This Row],[Incurred]])</f>
        <v>0</v>
      </c>
      <c r="AC81" s="19">
        <f>SUMIFS(Actual_CF[Actual_Commission],Actual_CF[ICG],CF_Gen_3[[#This Row],[ICG]],Actual_CF[Incurred],CF_Gen_3[[#This Row],[Incurred]])</f>
        <v>0</v>
      </c>
      <c r="AD81" s="19">
        <f>SUMIFS(Actual_CF[Actual_Acquisition],Actual_CF[ICG],CF_Gen_3[[#This Row],[ICG]],Actual_CF[Incurred],CF_Gen_3[[#This Row],[Incurred]])</f>
        <v>0</v>
      </c>
    </row>
    <row r="82" spans="1:30">
      <c r="A82" t="str">
        <f t="shared" si="3"/>
        <v>#2025#IC-Property</v>
      </c>
      <c r="B82">
        <f>_xlfn.XLOOKUP(CF_Gen_3[[#This Row],[ICG]],ICG[ICG],ICG[Cohort])</f>
        <v>2025</v>
      </c>
      <c r="C82" t="str">
        <f>_xlfn.XLOOKUP(CF_Gen_3[[#This Row],[ICG]],ICG[ICG],ICG[Portfolio])</f>
        <v>IC-Property</v>
      </c>
      <c r="D82" t="str">
        <f>_xlfn.XLOOKUP(CF_Gen_3[[#This Row],[ICG]],ICG[ICG],ICG[Contract])</f>
        <v>IC</v>
      </c>
      <c r="E82" s="2">
        <f t="shared" si="2"/>
        <v>45930</v>
      </c>
      <c r="F82">
        <v>81</v>
      </c>
      <c r="G82" s="2">
        <f>EOMONTH(DATE(YEAR(CF_Gen_3[[#This Row],[Valuation]])-1,12,31),CF_Gen_3[[#This Row],['#Incurred]]*3)</f>
        <v>53052</v>
      </c>
      <c r="H82" s="14">
        <f>SUMIFS(Expected_CF[Expected_Premium],Expected_CF[ICG],CF_Gen_3[[#This Row],[ICG]],Expected_CF[Incurred],CF_Gen_3[[#This Row],[Incurred]])</f>
        <v>0</v>
      </c>
      <c r="I82" s="14">
        <f>SUMIFS(Expected_CF[Expected_Commission],Expected_CF[ICG],CF_Gen_3[[#This Row],[ICG]],Expected_CF[Incurred],CF_Gen_3[[#This Row],[Incurred]])</f>
        <v>0</v>
      </c>
      <c r="J82" s="14">
        <f>IF(CF_Gen_3[[#This Row],[Contract]]="IC",SUMIFS(Expected_CF[Expected_Acquisition],Expected_CF[ICG],CF_Gen_3[[#This Row],[ICG]],Expected_CF[Incurred],CF_Gen_3[[#This Row],[Incurred]]),0)</f>
        <v>0</v>
      </c>
      <c r="K82" s="14">
        <f>SUMIFS(Earned[Earned_Premium],Earned[ICG],CF_Gen_3[[#This Row],[ICG]],Earned[Incurred],CF_Gen_3[[#This Row],[Incurred]])</f>
        <v>372905590.34807825</v>
      </c>
      <c r="L82" s="14">
        <f>SUMIFS(Earned[Earned_Commission],Earned[ICG],CF_Gen_3[[#This Row],[ICG]],Earned[Incurred],CF_Gen_3[[#This Row],[Incurred]])</f>
        <v>-53899287.611446477</v>
      </c>
      <c r="M82" s="18">
        <f>_xlfn.XLOOKUP(CF_Gen_3[[#This Row],[ICG]],Assumptions[ICG],Assumptions[Loss_Ratio])</f>
        <v>0.4</v>
      </c>
      <c r="N82" s="18">
        <f>_xlfn.XLOOKUP(CF_Gen_3[[#This Row],[ICG]],Assumptions[ICG],Assumptions[Risk_Adjustment_Ratio])</f>
        <v>0.14000000000000001</v>
      </c>
      <c r="O82" s="18">
        <f>_xlfn.XLOOKUP(CF_Gen_3[[#This Row],[ICG]],Assumptions[ICG],Assumptions[PME_Ratio])</f>
        <v>4.4999999999999998E-2</v>
      </c>
      <c r="P82" s="18">
        <f>_xlfn.XLOOKUP(CF_Gen_3[[#This Row],[ICG]],Assumptions[ICG],Assumptions[ULAE_Ratio])</f>
        <v>0.11</v>
      </c>
      <c r="Q82" s="18">
        <f>_xlfn.XLOOKUP(CF_Gen_3[[#This Row],[ICG]],Assumptions[ICG],Assumptions[Cancellation_Ratio])</f>
        <v>7.0000000000000007E-2</v>
      </c>
      <c r="R82" s="18">
        <f>_xlfn.XLOOKUP(CF_Gen_3[[#This Row],[ICG]],Assumptions[ICG],Assumptions[Premium_Refund_Ratio])</f>
        <v>0.5</v>
      </c>
      <c r="S82" s="18">
        <f>IF(CF_Gen_3[[#This Row],[Contract]]="RC",_xlfn.XLOOKUP(CF_Gen_3[[#This Row],[ICG]],Assumptions[ICG],Assumptions[NPR_Ratio]),0)</f>
        <v>0</v>
      </c>
      <c r="T82" s="17">
        <f>T81*(1-CF_Gen_3[[#This Row],[Cancellation_Ratio]])</f>
        <v>3.0104809564588941E-3</v>
      </c>
      <c r="U82" s="19">
        <f>IF(CF_Gen_3[[#This Row],[Incurred]]&lt;=CF_Gen_3[[#This Row],[Valuation]],CF_Gen_3[[#This Row],[Expected_Premium]],-CF_Gen_3[[#This Row],[Probability_of_Inforce]]*CF_Gen_3[[#This Row],[Premium_Refund_Ratio]]*CF_Gen_3[[#This Row],[Cancellation_Ratio]]*SUM(K82:K$105))</f>
        <v>-300047.09310925973</v>
      </c>
      <c r="V8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Row],[Cancellation_Ratio]]*SUM(L82:L$105))</f>
        <v>43368.415457056704</v>
      </c>
      <c r="W82" s="19">
        <f>CF_Gen_3[[#This Row],[Expected_Acquisition]]</f>
        <v>0</v>
      </c>
      <c r="X82" s="19">
        <f>-CF_Gen_3[[#This Row],[Probability_of_Inforce]]*CF_Gen_3[[#This Row],[Earned_Premium]]*(1-CF_Gen_3[[#This Row],[Cancellation_Ratio]])*CF_Gen_3[[#This Row],[PME_Ratio]]+CF_Gen_3[[#This Row],[ULAE_Ratio]]*CF_Gen_3[[#This Row],[Exp_Claim]]</f>
        <v>-92919.68600788695</v>
      </c>
      <c r="Y82" s="19">
        <f>-CF_Gen_3[[#This Row],[Probability_of_Inforce]]*CF_Gen_3[[#This Row],[Earned_Premium]]*(1-CF_Gen_3[[#This Row],[Cancellation_Ratio]])*CF_Gen_3[[#This Row],[Loss_Ratio]]</f>
        <v>-417616.56632758182</v>
      </c>
      <c r="Z82" s="19">
        <f>CF_Gen_3[[#This Row],[Exp_Claim]]*CF_Gen_3[[#This Row],[Risk_Adjustment_Ratio]]</f>
        <v>-58466.319285861464</v>
      </c>
      <c r="AA82" s="19">
        <f>IF(CF_Gen_3[[#This Row],[Contract]]="RC",-CF_Gen_3[[#This Row],[NPR_Ratio]]*CF_Gen_3[[#This Row],[Exp_Claim]],0)</f>
        <v>0</v>
      </c>
      <c r="AB82" s="19">
        <f>SUMIFS(Actual_CF[Actual_Premium],Actual_CF[ICG],CF_Gen_3[[#This Row],[ICG]],Actual_CF[Incurred],CF_Gen_3[[#This Row],[Incurred]])</f>
        <v>0</v>
      </c>
      <c r="AC82" s="19">
        <f>SUMIFS(Actual_CF[Actual_Commission],Actual_CF[ICG],CF_Gen_3[[#This Row],[ICG]],Actual_CF[Incurred],CF_Gen_3[[#This Row],[Incurred]])</f>
        <v>0</v>
      </c>
      <c r="AD82" s="19">
        <f>SUMIFS(Actual_CF[Actual_Acquisition],Actual_CF[ICG],CF_Gen_3[[#This Row],[ICG]],Actual_CF[Incurred],CF_Gen_3[[#This Row],[Incurred]])</f>
        <v>0</v>
      </c>
    </row>
    <row r="83" spans="1:30">
      <c r="A83" t="str">
        <f t="shared" si="3"/>
        <v>#2025#IC-Property</v>
      </c>
      <c r="B83">
        <f>_xlfn.XLOOKUP(CF_Gen_3[[#This Row],[ICG]],ICG[ICG],ICG[Cohort])</f>
        <v>2025</v>
      </c>
      <c r="C83" t="str">
        <f>_xlfn.XLOOKUP(CF_Gen_3[[#This Row],[ICG]],ICG[ICG],ICG[Portfolio])</f>
        <v>IC-Property</v>
      </c>
      <c r="D83" t="str">
        <f>_xlfn.XLOOKUP(CF_Gen_3[[#This Row],[ICG]],ICG[ICG],ICG[Contract])</f>
        <v>IC</v>
      </c>
      <c r="E83" s="2">
        <f t="shared" si="2"/>
        <v>45930</v>
      </c>
      <c r="F83">
        <v>82</v>
      </c>
      <c r="G83" s="2">
        <f>EOMONTH(DATE(YEAR(CF_Gen_3[[#This Row],[Valuation]])-1,12,31),CF_Gen_3[[#This Row],['#Incurred]]*3)</f>
        <v>53143</v>
      </c>
      <c r="H83" s="14">
        <f>SUMIFS(Expected_CF[Expected_Premium],Expected_CF[ICG],CF_Gen_3[[#This Row],[ICG]],Expected_CF[Incurred],CF_Gen_3[[#This Row],[Incurred]])</f>
        <v>0</v>
      </c>
      <c r="I83" s="14">
        <f>SUMIFS(Expected_CF[Expected_Commission],Expected_CF[ICG],CF_Gen_3[[#This Row],[ICG]],Expected_CF[Incurred],CF_Gen_3[[#This Row],[Incurred]])</f>
        <v>0</v>
      </c>
      <c r="J83" s="14">
        <f>IF(CF_Gen_3[[#This Row],[Contract]]="IC",SUMIFS(Expected_CF[Expected_Acquisition],Expected_CF[ICG],CF_Gen_3[[#This Row],[ICG]],Expected_CF[Incurred],CF_Gen_3[[#This Row],[Incurred]]),0)</f>
        <v>0</v>
      </c>
      <c r="K83" s="14">
        <f>SUMIFS(Earned[Earned_Premium],Earned[ICG],CF_Gen_3[[#This Row],[ICG]],Earned[Incurred],CF_Gen_3[[#This Row],[Incurred]])</f>
        <v>339005082.13461655</v>
      </c>
      <c r="L83" s="14">
        <f>SUMIFS(Earned[Earned_Commission],Earned[ICG],CF_Gen_3[[#This Row],[ICG]],Earned[Incurred],CF_Gen_3[[#This Row],[Incurred]])</f>
        <v>-48999352.37404225</v>
      </c>
      <c r="M83" s="18">
        <f>_xlfn.XLOOKUP(CF_Gen_3[[#This Row],[ICG]],Assumptions[ICG],Assumptions[Loss_Ratio])</f>
        <v>0.4</v>
      </c>
      <c r="N83" s="18">
        <f>_xlfn.XLOOKUP(CF_Gen_3[[#This Row],[ICG]],Assumptions[ICG],Assumptions[Risk_Adjustment_Ratio])</f>
        <v>0.14000000000000001</v>
      </c>
      <c r="O83" s="18">
        <f>_xlfn.XLOOKUP(CF_Gen_3[[#This Row],[ICG]],Assumptions[ICG],Assumptions[PME_Ratio])</f>
        <v>4.4999999999999998E-2</v>
      </c>
      <c r="P83" s="18">
        <f>_xlfn.XLOOKUP(CF_Gen_3[[#This Row],[ICG]],Assumptions[ICG],Assumptions[ULAE_Ratio])</f>
        <v>0.11</v>
      </c>
      <c r="Q83" s="18">
        <f>_xlfn.XLOOKUP(CF_Gen_3[[#This Row],[ICG]],Assumptions[ICG],Assumptions[Cancellation_Ratio])</f>
        <v>7.0000000000000007E-2</v>
      </c>
      <c r="R83" s="18">
        <f>_xlfn.XLOOKUP(CF_Gen_3[[#This Row],[ICG]],Assumptions[ICG],Assumptions[Premium_Refund_Ratio])</f>
        <v>0.5</v>
      </c>
      <c r="S83" s="18">
        <f>IF(CF_Gen_3[[#This Row],[Contract]]="RC",_xlfn.XLOOKUP(CF_Gen_3[[#This Row],[ICG]],Assumptions[ICG],Assumptions[NPR_Ratio]),0)</f>
        <v>0</v>
      </c>
      <c r="T83" s="17">
        <f>T82*(1-CF_Gen_3[[#This Row],[Cancellation_Ratio]])</f>
        <v>2.7997472895067714E-3</v>
      </c>
      <c r="U83" s="19">
        <f>IF(CF_Gen_3[[#This Row],[Incurred]]&lt;=CF_Gen_3[[#This Row],[Valuation]],CF_Gen_3[[#This Row],[Expected_Premium]],-CF_Gen_3[[#This Row],[Probability_of_Inforce]]*CF_Gen_3[[#This Row],[Premium_Refund_Ratio]]*CF_Gen_3[[#This Row],[Cancellation_Ratio]]*SUM(K83:K$105))</f>
        <v>-242502.34703794817</v>
      </c>
      <c r="V8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Row],[Cancellation_Ratio]]*SUM(L83:L$105))</f>
        <v>35050.972921185472</v>
      </c>
      <c r="W83" s="19">
        <f>CF_Gen_3[[#This Row],[Expected_Acquisition]]</f>
        <v>0</v>
      </c>
      <c r="X83" s="19">
        <f>-CF_Gen_3[[#This Row],[Probability_of_Inforce]]*CF_Gen_3[[#This Row],[Earned_Premium]]*(1-CF_Gen_3[[#This Row],[Cancellation_Ratio]])*CF_Gen_3[[#This Row],[PME_Ratio]]+CF_Gen_3[[#This Row],[ULAE_Ratio]]*CF_Gen_3[[#This Row],[Exp_Claim]]</f>
        <v>-78559.370897577144</v>
      </c>
      <c r="Y83" s="19">
        <f>-CF_Gen_3[[#This Row],[Probability_of_Inforce]]*CF_Gen_3[[#This Row],[Earned_Premium]]*(1-CF_Gen_3[[#This Row],[Cancellation_Ratio]])*CF_Gen_3[[#This Row],[Loss_Ratio]]</f>
        <v>-353075.8242587737</v>
      </c>
      <c r="Z83" s="19">
        <f>CF_Gen_3[[#This Row],[Exp_Claim]]*CF_Gen_3[[#This Row],[Risk_Adjustment_Ratio]]</f>
        <v>-49430.615396228321</v>
      </c>
      <c r="AA83" s="19">
        <f>IF(CF_Gen_3[[#This Row],[Contract]]="RC",-CF_Gen_3[[#This Row],[NPR_Ratio]]*CF_Gen_3[[#This Row],[Exp_Claim]],0)</f>
        <v>0</v>
      </c>
      <c r="AB83" s="19">
        <f>SUMIFS(Actual_CF[Actual_Premium],Actual_CF[ICG],CF_Gen_3[[#This Row],[ICG]],Actual_CF[Incurred],CF_Gen_3[[#This Row],[Incurred]])</f>
        <v>0</v>
      </c>
      <c r="AC83" s="19">
        <f>SUMIFS(Actual_CF[Actual_Commission],Actual_CF[ICG],CF_Gen_3[[#This Row],[ICG]],Actual_CF[Incurred],CF_Gen_3[[#This Row],[Incurred]])</f>
        <v>0</v>
      </c>
      <c r="AD83" s="19">
        <f>SUMIFS(Actual_CF[Actual_Acquisition],Actual_CF[ICG],CF_Gen_3[[#This Row],[ICG]],Actual_CF[Incurred],CF_Gen_3[[#This Row],[Incurred]])</f>
        <v>0</v>
      </c>
    </row>
    <row r="84" spans="1:30">
      <c r="A84" t="str">
        <f t="shared" si="3"/>
        <v>#2025#IC-Property</v>
      </c>
      <c r="B84">
        <f>_xlfn.XLOOKUP(CF_Gen_3[[#This Row],[ICG]],ICG[ICG],ICG[Cohort])</f>
        <v>2025</v>
      </c>
      <c r="C84" t="str">
        <f>_xlfn.XLOOKUP(CF_Gen_3[[#This Row],[ICG]],ICG[ICG],ICG[Portfolio])</f>
        <v>IC-Property</v>
      </c>
      <c r="D84" t="str">
        <f>_xlfn.XLOOKUP(CF_Gen_3[[#This Row],[ICG]],ICG[ICG],ICG[Contract])</f>
        <v>IC</v>
      </c>
      <c r="E84" s="2">
        <f t="shared" si="2"/>
        <v>45930</v>
      </c>
      <c r="F84">
        <v>83</v>
      </c>
      <c r="G84" s="2">
        <f>EOMONTH(DATE(YEAR(CF_Gen_3[[#This Row],[Valuation]])-1,12,31),CF_Gen_3[[#This Row],['#Incurred]]*3)</f>
        <v>53235</v>
      </c>
      <c r="H84" s="14">
        <f>SUMIFS(Expected_CF[Expected_Premium],Expected_CF[ICG],CF_Gen_3[[#This Row],[ICG]],Expected_CF[Incurred],CF_Gen_3[[#This Row],[Incurred]])</f>
        <v>0</v>
      </c>
      <c r="I84" s="14">
        <f>SUMIFS(Expected_CF[Expected_Commission],Expected_CF[ICG],CF_Gen_3[[#This Row],[ICG]],Expected_CF[Incurred],CF_Gen_3[[#This Row],[Incurred]])</f>
        <v>0</v>
      </c>
      <c r="J84" s="14">
        <f>IF(CF_Gen_3[[#This Row],[Contract]]="IC",SUMIFS(Expected_CF[Expected_Acquisition],Expected_CF[ICG],CF_Gen_3[[#This Row],[ICG]],Expected_CF[Incurred],CF_Gen_3[[#This Row],[Incurred]]),0)</f>
        <v>0</v>
      </c>
      <c r="K84" s="14">
        <f>SUMIFS(Earned[Earned_Premium],Earned[ICG],CF_Gen_3[[#This Row],[ICG]],Earned[Incurred],CF_Gen_3[[#This Row],[Incurred]])</f>
        <v>305104573.92115498</v>
      </c>
      <c r="L84" s="14">
        <f>SUMIFS(Earned[Earned_Commission],Earned[ICG],CF_Gen_3[[#This Row],[ICG]],Earned[Incurred],CF_Gen_3[[#This Row],[Incurred]])</f>
        <v>-44099417.13663803</v>
      </c>
      <c r="M84" s="18">
        <f>_xlfn.XLOOKUP(CF_Gen_3[[#This Row],[ICG]],Assumptions[ICG],Assumptions[Loss_Ratio])</f>
        <v>0.4</v>
      </c>
      <c r="N84" s="18">
        <f>_xlfn.XLOOKUP(CF_Gen_3[[#This Row],[ICG]],Assumptions[ICG],Assumptions[Risk_Adjustment_Ratio])</f>
        <v>0.14000000000000001</v>
      </c>
      <c r="O84" s="18">
        <f>_xlfn.XLOOKUP(CF_Gen_3[[#This Row],[ICG]],Assumptions[ICG],Assumptions[PME_Ratio])</f>
        <v>4.4999999999999998E-2</v>
      </c>
      <c r="P84" s="18">
        <f>_xlfn.XLOOKUP(CF_Gen_3[[#This Row],[ICG]],Assumptions[ICG],Assumptions[ULAE_Ratio])</f>
        <v>0.11</v>
      </c>
      <c r="Q84" s="18">
        <f>_xlfn.XLOOKUP(CF_Gen_3[[#This Row],[ICG]],Assumptions[ICG],Assumptions[Cancellation_Ratio])</f>
        <v>7.0000000000000007E-2</v>
      </c>
      <c r="R84" s="18">
        <f>_xlfn.XLOOKUP(CF_Gen_3[[#This Row],[ICG]],Assumptions[ICG],Assumptions[Premium_Refund_Ratio])</f>
        <v>0.5</v>
      </c>
      <c r="S84" s="18">
        <f>IF(CF_Gen_3[[#This Row],[Contract]]="RC",_xlfn.XLOOKUP(CF_Gen_3[[#This Row],[ICG]],Assumptions[ICG],Assumptions[NPR_Ratio]),0)</f>
        <v>0</v>
      </c>
      <c r="T84" s="17">
        <f>T83*(1-CF_Gen_3[[#This Row],[Cancellation_Ratio]])</f>
        <v>2.6037649792412972E-3</v>
      </c>
      <c r="U84" s="19">
        <f>IF(CF_Gen_3[[#This Row],[Incurred]]&lt;=CF_Gen_3[[#This Row],[Valuation]],CF_Gen_3[[#This Row],[Expected_Premium]],-CF_Gen_3[[#This Row],[Probability_of_Inforce]]*CF_Gen_3[[#This Row],[Premium_Refund_Ratio]]*CF_Gen_3[[#This Row],[Cancellation_Ratio]]*SUM(K84:K$105))</f>
        <v>-194633.04812264896</v>
      </c>
      <c r="V8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Row],[Cancellation_Ratio]]*SUM(L84:L$105))</f>
        <v>28132.006896606257</v>
      </c>
      <c r="W84" s="19">
        <f>CF_Gen_3[[#This Row],[Expected_Acquisition]]</f>
        <v>0</v>
      </c>
      <c r="X84" s="19">
        <f>-CF_Gen_3[[#This Row],[Probability_of_Inforce]]*CF_Gen_3[[#This Row],[Earned_Premium]]*(1-CF_Gen_3[[#This Row],[Cancellation_Ratio]])*CF_Gen_3[[#This Row],[PME_Ratio]]+CF_Gen_3[[#This Row],[ULAE_Ratio]]*CF_Gen_3[[#This Row],[Exp_Claim]]</f>
        <v>-65754.193441272073</v>
      </c>
      <c r="Y84" s="19">
        <f>-CF_Gen_3[[#This Row],[Probability_of_Inforce]]*CF_Gen_3[[#This Row],[Earned_Premium]]*(1-CF_Gen_3[[#This Row],[Cancellation_Ratio]])*CF_Gen_3[[#This Row],[Loss_Ratio]]</f>
        <v>-295524.46490459359</v>
      </c>
      <c r="Z84" s="19">
        <f>CF_Gen_3[[#This Row],[Exp_Claim]]*CF_Gen_3[[#This Row],[Risk_Adjustment_Ratio]]</f>
        <v>-41373.42508664311</v>
      </c>
      <c r="AA84" s="19">
        <f>IF(CF_Gen_3[[#This Row],[Contract]]="RC",-CF_Gen_3[[#This Row],[NPR_Ratio]]*CF_Gen_3[[#This Row],[Exp_Claim]],0)</f>
        <v>0</v>
      </c>
      <c r="AB84" s="19">
        <f>SUMIFS(Actual_CF[Actual_Premium],Actual_CF[ICG],CF_Gen_3[[#This Row],[ICG]],Actual_CF[Incurred],CF_Gen_3[[#This Row],[Incurred]])</f>
        <v>0</v>
      </c>
      <c r="AC84" s="19">
        <f>SUMIFS(Actual_CF[Actual_Commission],Actual_CF[ICG],CF_Gen_3[[#This Row],[ICG]],Actual_CF[Incurred],CF_Gen_3[[#This Row],[Incurred]])</f>
        <v>0</v>
      </c>
      <c r="AD84" s="19">
        <f>SUMIFS(Actual_CF[Actual_Acquisition],Actual_CF[ICG],CF_Gen_3[[#This Row],[ICG]],Actual_CF[Incurred],CF_Gen_3[[#This Row],[Incurred]])</f>
        <v>0</v>
      </c>
    </row>
    <row r="85" spans="1:30">
      <c r="A85" t="str">
        <f t="shared" si="3"/>
        <v>#2025#IC-Property</v>
      </c>
      <c r="B85">
        <f>_xlfn.XLOOKUP(CF_Gen_3[[#This Row],[ICG]],ICG[ICG],ICG[Cohort])</f>
        <v>2025</v>
      </c>
      <c r="C85" t="str">
        <f>_xlfn.XLOOKUP(CF_Gen_3[[#This Row],[ICG]],ICG[ICG],ICG[Portfolio])</f>
        <v>IC-Property</v>
      </c>
      <c r="D85" t="str">
        <f>_xlfn.XLOOKUP(CF_Gen_3[[#This Row],[ICG]],ICG[ICG],ICG[Contract])</f>
        <v>IC</v>
      </c>
      <c r="E85" s="2">
        <f t="shared" si="2"/>
        <v>45930</v>
      </c>
      <c r="F85">
        <v>84</v>
      </c>
      <c r="G85" s="2">
        <f>EOMONTH(DATE(YEAR(CF_Gen_3[[#This Row],[Valuation]])-1,12,31),CF_Gen_3[[#This Row],['#Incurred]]*3)</f>
        <v>53327</v>
      </c>
      <c r="H85" s="14">
        <f>SUMIFS(Expected_CF[Expected_Premium],Expected_CF[ICG],CF_Gen_3[[#This Row],[ICG]],Expected_CF[Incurred],CF_Gen_3[[#This Row],[Incurred]])</f>
        <v>0</v>
      </c>
      <c r="I85" s="14">
        <f>SUMIFS(Expected_CF[Expected_Commission],Expected_CF[ICG],CF_Gen_3[[#This Row],[ICG]],Expected_CF[Incurred],CF_Gen_3[[#This Row],[Incurred]])</f>
        <v>0</v>
      </c>
      <c r="J85" s="14">
        <f>IF(CF_Gen_3[[#This Row],[Contract]]="IC",SUMIFS(Expected_CF[Expected_Acquisition],Expected_CF[ICG],CF_Gen_3[[#This Row],[ICG]],Expected_CF[Incurred],CF_Gen_3[[#This Row],[Incurred]]),0)</f>
        <v>0</v>
      </c>
      <c r="K85" s="14">
        <f>SUMIFS(Earned[Earned_Premium],Earned[ICG],CF_Gen_3[[#This Row],[ICG]],Earned[Incurred],CF_Gen_3[[#This Row],[Incurred]])</f>
        <v>305104573.92115498</v>
      </c>
      <c r="L85" s="14">
        <f>SUMIFS(Earned[Earned_Commission],Earned[ICG],CF_Gen_3[[#This Row],[ICG]],Earned[Incurred],CF_Gen_3[[#This Row],[Incurred]])</f>
        <v>-44099417.13663803</v>
      </c>
      <c r="M85" s="18">
        <f>_xlfn.XLOOKUP(CF_Gen_3[[#This Row],[ICG]],Assumptions[ICG],Assumptions[Loss_Ratio])</f>
        <v>0.4</v>
      </c>
      <c r="N85" s="18">
        <f>_xlfn.XLOOKUP(CF_Gen_3[[#This Row],[ICG]],Assumptions[ICG],Assumptions[Risk_Adjustment_Ratio])</f>
        <v>0.14000000000000001</v>
      </c>
      <c r="O85" s="18">
        <f>_xlfn.XLOOKUP(CF_Gen_3[[#This Row],[ICG]],Assumptions[ICG],Assumptions[PME_Ratio])</f>
        <v>4.4999999999999998E-2</v>
      </c>
      <c r="P85" s="18">
        <f>_xlfn.XLOOKUP(CF_Gen_3[[#This Row],[ICG]],Assumptions[ICG],Assumptions[ULAE_Ratio])</f>
        <v>0.11</v>
      </c>
      <c r="Q85" s="18">
        <f>_xlfn.XLOOKUP(CF_Gen_3[[#This Row],[ICG]],Assumptions[ICG],Assumptions[Cancellation_Ratio])</f>
        <v>7.0000000000000007E-2</v>
      </c>
      <c r="R85" s="18">
        <f>_xlfn.XLOOKUP(CF_Gen_3[[#This Row],[ICG]],Assumptions[ICG],Assumptions[Premium_Refund_Ratio])</f>
        <v>0.5</v>
      </c>
      <c r="S85" s="18">
        <f>IF(CF_Gen_3[[#This Row],[Contract]]="RC",_xlfn.XLOOKUP(CF_Gen_3[[#This Row],[ICG]],Assumptions[ICG],Assumptions[NPR_Ratio]),0)</f>
        <v>0</v>
      </c>
      <c r="T85" s="17">
        <f>T84*(1-CF_Gen_3[[#This Row],[Cancellation_Ratio]])</f>
        <v>2.4215014306944063E-3</v>
      </c>
      <c r="U85" s="19">
        <f>IF(CF_Gen_3[[#This Row],[Incurred]]&lt;=CF_Gen_3[[#This Row],[Valuation]],CF_Gen_3[[#This Row],[Expected_Premium]],-CF_Gen_3[[#This Row],[Probability_of_Inforce]]*CF_Gen_3[[#This Row],[Premium_Refund_Ratio]]*CF_Gen_3[[#This Row],[Cancellation_Ratio]]*SUM(K85:K$105))</f>
        <v>-155150.34407491161</v>
      </c>
      <c r="V8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Row],[Cancellation_Ratio]]*SUM(L85:L$105))</f>
        <v>22425.228354723269</v>
      </c>
      <c r="W85" s="19">
        <f>CF_Gen_3[[#This Row],[Expected_Acquisition]]</f>
        <v>0</v>
      </c>
      <c r="X85" s="19">
        <f>-CF_Gen_3[[#This Row],[Probability_of_Inforce]]*CF_Gen_3[[#This Row],[Earned_Premium]]*(1-CF_Gen_3[[#This Row],[Cancellation_Ratio]])*CF_Gen_3[[#This Row],[PME_Ratio]]+CF_Gen_3[[#This Row],[ULAE_Ratio]]*CF_Gen_3[[#This Row],[Exp_Claim]]</f>
        <v>-61151.399900383025</v>
      </c>
      <c r="Y85" s="19">
        <f>-CF_Gen_3[[#This Row],[Probability_of_Inforce]]*CF_Gen_3[[#This Row],[Earned_Premium]]*(1-CF_Gen_3[[#This Row],[Cancellation_Ratio]])*CF_Gen_3[[#This Row],[Loss_Ratio]]</f>
        <v>-274837.75236127205</v>
      </c>
      <c r="Z85" s="19">
        <f>CF_Gen_3[[#This Row],[Exp_Claim]]*CF_Gen_3[[#This Row],[Risk_Adjustment_Ratio]]</f>
        <v>-38477.285330578088</v>
      </c>
      <c r="AA85" s="19">
        <f>IF(CF_Gen_3[[#This Row],[Contract]]="RC",-CF_Gen_3[[#This Row],[NPR_Ratio]]*CF_Gen_3[[#This Row],[Exp_Claim]],0)</f>
        <v>0</v>
      </c>
      <c r="AB85" s="19">
        <f>SUMIFS(Actual_CF[Actual_Premium],Actual_CF[ICG],CF_Gen_3[[#This Row],[ICG]],Actual_CF[Incurred],CF_Gen_3[[#This Row],[Incurred]])</f>
        <v>0</v>
      </c>
      <c r="AC85" s="19">
        <f>SUMIFS(Actual_CF[Actual_Commission],Actual_CF[ICG],CF_Gen_3[[#This Row],[ICG]],Actual_CF[Incurred],CF_Gen_3[[#This Row],[Incurred]])</f>
        <v>0</v>
      </c>
      <c r="AD85" s="19">
        <f>SUMIFS(Actual_CF[Actual_Acquisition],Actual_CF[ICG],CF_Gen_3[[#This Row],[ICG]],Actual_CF[Incurred],CF_Gen_3[[#This Row],[Incurred]])</f>
        <v>0</v>
      </c>
    </row>
    <row r="86" spans="1:30">
      <c r="A86" t="str">
        <f t="shared" si="3"/>
        <v>#2025#IC-Property</v>
      </c>
      <c r="B86">
        <f>_xlfn.XLOOKUP(CF_Gen_3[[#This Row],[ICG]],ICG[ICG],ICG[Cohort])</f>
        <v>2025</v>
      </c>
      <c r="C86" t="str">
        <f>_xlfn.XLOOKUP(CF_Gen_3[[#This Row],[ICG]],ICG[ICG],ICG[Portfolio])</f>
        <v>IC-Property</v>
      </c>
      <c r="D86" t="str">
        <f>_xlfn.XLOOKUP(CF_Gen_3[[#This Row],[ICG]],ICG[ICG],ICG[Contract])</f>
        <v>IC</v>
      </c>
      <c r="E86" s="2">
        <f t="shared" si="2"/>
        <v>45930</v>
      </c>
      <c r="F86">
        <v>85</v>
      </c>
      <c r="G86" s="2">
        <f>EOMONTH(DATE(YEAR(CF_Gen_3[[#This Row],[Valuation]])-1,12,31),CF_Gen_3[[#This Row],['#Incurred]]*3)</f>
        <v>53417</v>
      </c>
      <c r="H86" s="14">
        <f>SUMIFS(Expected_CF[Expected_Premium],Expected_CF[ICG],CF_Gen_3[[#This Row],[ICG]],Expected_CF[Incurred],CF_Gen_3[[#This Row],[Incurred]])</f>
        <v>0</v>
      </c>
      <c r="I86" s="14">
        <f>SUMIFS(Expected_CF[Expected_Commission],Expected_CF[ICG],CF_Gen_3[[#This Row],[ICG]],Expected_CF[Incurred],CF_Gen_3[[#This Row],[Incurred]])</f>
        <v>0</v>
      </c>
      <c r="J86" s="14">
        <f>IF(CF_Gen_3[[#This Row],[Contract]]="IC",SUMIFS(Expected_CF[Expected_Acquisition],Expected_CF[ICG],CF_Gen_3[[#This Row],[ICG]],Expected_CF[Incurred],CF_Gen_3[[#This Row],[Incurred]]),0)</f>
        <v>0</v>
      </c>
      <c r="K86" s="14">
        <f>SUMIFS(Earned[Earned_Premium],Earned[ICG],CF_Gen_3[[#This Row],[ICG]],Earned[Incurred],CF_Gen_3[[#This Row],[Incurred]])</f>
        <v>271204065.70769328</v>
      </c>
      <c r="L86" s="14">
        <f>SUMIFS(Earned[Earned_Commission],Earned[ICG],CF_Gen_3[[#This Row],[ICG]],Earned[Incurred],CF_Gen_3[[#This Row],[Incurred]])</f>
        <v>-39199481.899233803</v>
      </c>
      <c r="M86" s="18">
        <f>_xlfn.XLOOKUP(CF_Gen_3[[#This Row],[ICG]],Assumptions[ICG],Assumptions[Loss_Ratio])</f>
        <v>0.4</v>
      </c>
      <c r="N86" s="18">
        <f>_xlfn.XLOOKUP(CF_Gen_3[[#This Row],[ICG]],Assumptions[ICG],Assumptions[Risk_Adjustment_Ratio])</f>
        <v>0.14000000000000001</v>
      </c>
      <c r="O86" s="18">
        <f>_xlfn.XLOOKUP(CF_Gen_3[[#This Row],[ICG]],Assumptions[ICG],Assumptions[PME_Ratio])</f>
        <v>4.4999999999999998E-2</v>
      </c>
      <c r="P86" s="18">
        <f>_xlfn.XLOOKUP(CF_Gen_3[[#This Row],[ICG]],Assumptions[ICG],Assumptions[ULAE_Ratio])</f>
        <v>0.11</v>
      </c>
      <c r="Q86" s="18">
        <f>_xlfn.XLOOKUP(CF_Gen_3[[#This Row],[ICG]],Assumptions[ICG],Assumptions[Cancellation_Ratio])</f>
        <v>7.0000000000000007E-2</v>
      </c>
      <c r="R86" s="18">
        <f>_xlfn.XLOOKUP(CF_Gen_3[[#This Row],[ICG]],Assumptions[ICG],Assumptions[Premium_Refund_Ratio])</f>
        <v>0.5</v>
      </c>
      <c r="S86" s="18">
        <f>IF(CF_Gen_3[[#This Row],[Contract]]="RC",_xlfn.XLOOKUP(CF_Gen_3[[#This Row],[ICG]],Assumptions[ICG],Assumptions[NPR_Ratio]),0)</f>
        <v>0</v>
      </c>
      <c r="T86" s="17">
        <f>T85*(1-CF_Gen_3[[#This Row],[Cancellation_Ratio]])</f>
        <v>2.2519963305457978E-3</v>
      </c>
      <c r="U86" s="19">
        <f>IF(CF_Gen_3[[#This Row],[Incurred]]&lt;=CF_Gen_3[[#This Row],[Valuation]],CF_Gen_3[[#This Row],[Expected_Premium]],-CF_Gen_3[[#This Row],[Probability_of_Inforce]]*CF_Gen_3[[#This Row],[Premium_Refund_Ratio]]*CF_Gen_3[[#This Row],[Cancellation_Ratio]]*SUM(K86:K$105))</f>
        <v>-120241.5166580565</v>
      </c>
      <c r="V8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Row],[Cancellation_Ratio]]*SUM(L86:L$105))</f>
        <v>17379.551974910533</v>
      </c>
      <c r="W86" s="19">
        <f>CF_Gen_3[[#This Row],[Expected_Acquisition]]</f>
        <v>0</v>
      </c>
      <c r="X86" s="19">
        <f>-CF_Gen_3[[#This Row],[Probability_of_Inforce]]*CF_Gen_3[[#This Row],[Earned_Premium]]*(1-CF_Gen_3[[#This Row],[Cancellation_Ratio]])*CF_Gen_3[[#This Row],[PME_Ratio]]+CF_Gen_3[[#This Row],[ULAE_Ratio]]*CF_Gen_3[[#This Row],[Exp_Claim]]</f>
        <v>-50551.823917649963</v>
      </c>
      <c r="Y86" s="19">
        <f>-CF_Gen_3[[#This Row],[Probability_of_Inforce]]*CF_Gen_3[[#This Row],[Earned_Premium]]*(1-CF_Gen_3[[#This Row],[Cancellation_Ratio]])*CF_Gen_3[[#This Row],[Loss_Ratio]]</f>
        <v>-227199.20861865152</v>
      </c>
      <c r="Z86" s="19">
        <f>CF_Gen_3[[#This Row],[Exp_Claim]]*CF_Gen_3[[#This Row],[Risk_Adjustment_Ratio]]</f>
        <v>-31807.889206611217</v>
      </c>
      <c r="AA86" s="19">
        <f>IF(CF_Gen_3[[#This Row],[Contract]]="RC",-CF_Gen_3[[#This Row],[NPR_Ratio]]*CF_Gen_3[[#This Row],[Exp_Claim]],0)</f>
        <v>0</v>
      </c>
      <c r="AB86" s="19">
        <f>SUMIFS(Actual_CF[Actual_Premium],Actual_CF[ICG],CF_Gen_3[[#This Row],[ICG]],Actual_CF[Incurred],CF_Gen_3[[#This Row],[Incurred]])</f>
        <v>0</v>
      </c>
      <c r="AC86" s="19">
        <f>SUMIFS(Actual_CF[Actual_Commission],Actual_CF[ICG],CF_Gen_3[[#This Row],[ICG]],Actual_CF[Incurred],CF_Gen_3[[#This Row],[Incurred]])</f>
        <v>0</v>
      </c>
      <c r="AD86" s="19">
        <f>SUMIFS(Actual_CF[Actual_Acquisition],Actual_CF[ICG],CF_Gen_3[[#This Row],[ICG]],Actual_CF[Incurred],CF_Gen_3[[#This Row],[Incurred]])</f>
        <v>0</v>
      </c>
    </row>
    <row r="87" spans="1:30">
      <c r="A87" t="str">
        <f t="shared" si="3"/>
        <v>#2025#IC-Property</v>
      </c>
      <c r="B87">
        <f>_xlfn.XLOOKUP(CF_Gen_3[[#This Row],[ICG]],ICG[ICG],ICG[Cohort])</f>
        <v>2025</v>
      </c>
      <c r="C87" t="str">
        <f>_xlfn.XLOOKUP(CF_Gen_3[[#This Row],[ICG]],ICG[ICG],ICG[Portfolio])</f>
        <v>IC-Property</v>
      </c>
      <c r="D87" t="str">
        <f>_xlfn.XLOOKUP(CF_Gen_3[[#This Row],[ICG]],ICG[ICG],ICG[Contract])</f>
        <v>IC</v>
      </c>
      <c r="E87" s="2">
        <f t="shared" si="2"/>
        <v>45930</v>
      </c>
      <c r="F87">
        <v>86</v>
      </c>
      <c r="G87" s="2">
        <f>EOMONTH(DATE(YEAR(CF_Gen_3[[#This Row],[Valuation]])-1,12,31),CF_Gen_3[[#This Row],['#Incurred]]*3)</f>
        <v>53508</v>
      </c>
      <c r="H87" s="14">
        <f>SUMIFS(Expected_CF[Expected_Premium],Expected_CF[ICG],CF_Gen_3[[#This Row],[ICG]],Expected_CF[Incurred],CF_Gen_3[[#This Row],[Incurred]])</f>
        <v>0</v>
      </c>
      <c r="I87" s="14">
        <f>SUMIFS(Expected_CF[Expected_Commission],Expected_CF[ICG],CF_Gen_3[[#This Row],[ICG]],Expected_CF[Incurred],CF_Gen_3[[#This Row],[Incurred]])</f>
        <v>0</v>
      </c>
      <c r="J87" s="14">
        <f>IF(CF_Gen_3[[#This Row],[Contract]]="IC",SUMIFS(Expected_CF[Expected_Acquisition],Expected_CF[ICG],CF_Gen_3[[#This Row],[ICG]],Expected_CF[Incurred],CF_Gen_3[[#This Row],[Incurred]]),0)</f>
        <v>0</v>
      </c>
      <c r="K87" s="14">
        <f>SUMIFS(Earned[Earned_Premium],Earned[ICG],CF_Gen_3[[#This Row],[ICG]],Earned[Incurred],CF_Gen_3[[#This Row],[Incurred]])</f>
        <v>237303557.49423158</v>
      </c>
      <c r="L87" s="14">
        <f>SUMIFS(Earned[Earned_Commission],Earned[ICG],CF_Gen_3[[#This Row],[ICG]],Earned[Incurred],CF_Gen_3[[#This Row],[Incurred]])</f>
        <v>-34299546.661829576</v>
      </c>
      <c r="M87" s="18">
        <f>_xlfn.XLOOKUP(CF_Gen_3[[#This Row],[ICG]],Assumptions[ICG],Assumptions[Loss_Ratio])</f>
        <v>0.4</v>
      </c>
      <c r="N87" s="18">
        <f>_xlfn.XLOOKUP(CF_Gen_3[[#This Row],[ICG]],Assumptions[ICG],Assumptions[Risk_Adjustment_Ratio])</f>
        <v>0.14000000000000001</v>
      </c>
      <c r="O87" s="18">
        <f>_xlfn.XLOOKUP(CF_Gen_3[[#This Row],[ICG]],Assumptions[ICG],Assumptions[PME_Ratio])</f>
        <v>4.4999999999999998E-2</v>
      </c>
      <c r="P87" s="18">
        <f>_xlfn.XLOOKUP(CF_Gen_3[[#This Row],[ICG]],Assumptions[ICG],Assumptions[ULAE_Ratio])</f>
        <v>0.11</v>
      </c>
      <c r="Q87" s="18">
        <f>_xlfn.XLOOKUP(CF_Gen_3[[#This Row],[ICG]],Assumptions[ICG],Assumptions[Cancellation_Ratio])</f>
        <v>7.0000000000000007E-2</v>
      </c>
      <c r="R87" s="18">
        <f>_xlfn.XLOOKUP(CF_Gen_3[[#This Row],[ICG]],Assumptions[ICG],Assumptions[Premium_Refund_Ratio])</f>
        <v>0.5</v>
      </c>
      <c r="S87" s="18">
        <f>IF(CF_Gen_3[[#This Row],[Contract]]="RC",_xlfn.XLOOKUP(CF_Gen_3[[#This Row],[ICG]],Assumptions[ICG],Assumptions[NPR_Ratio]),0)</f>
        <v>0</v>
      </c>
      <c r="T87" s="17">
        <f>T86*(1-CF_Gen_3[[#This Row],[Cancellation_Ratio]])</f>
        <v>2.0943565874075917E-3</v>
      </c>
      <c r="U87" s="19">
        <f>IF(CF_Gen_3[[#This Row],[Incurred]]&lt;=CF_Gen_3[[#This Row],[Valuation]],CF_Gen_3[[#This Row],[Expected_Premium]],-CF_Gen_3[[#This Row],[Probability_of_Inforce]]*CF_Gen_3[[#This Row],[Premium_Refund_Ratio]]*CF_Gen_3[[#This Row],[Cancellation_Ratio]]*SUM(K87:K$105))</f>
        <v>-91944.679737860526</v>
      </c>
      <c r="V8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Row],[Cancellation_Ratio]]*SUM(L87:L$105))</f>
        <v>13289.564076814919</v>
      </c>
      <c r="W87" s="19">
        <f>CF_Gen_3[[#This Row],[Expected_Acquisition]]</f>
        <v>0</v>
      </c>
      <c r="X87" s="19">
        <f>-CF_Gen_3[[#This Row],[Probability_of_Inforce]]*CF_Gen_3[[#This Row],[Earned_Premium]]*(1-CF_Gen_3[[#This Row],[Cancellation_Ratio]])*CF_Gen_3[[#This Row],[PME_Ratio]]+CF_Gen_3[[#This Row],[ULAE_Ratio]]*CF_Gen_3[[#This Row],[Exp_Claim]]</f>
        <v>-41136.546712987642</v>
      </c>
      <c r="Y87" s="19">
        <f>-CF_Gen_3[[#This Row],[Probability_of_Inforce]]*CF_Gen_3[[#This Row],[Earned_Premium]]*(1-CF_Gen_3[[#This Row],[Cancellation_Ratio]])*CF_Gen_3[[#This Row],[Loss_Ratio]]</f>
        <v>-184883.3560134276</v>
      </c>
      <c r="Z87" s="19">
        <f>CF_Gen_3[[#This Row],[Exp_Claim]]*CF_Gen_3[[#This Row],[Risk_Adjustment_Ratio]]</f>
        <v>-25883.669841879866</v>
      </c>
      <c r="AA87" s="19">
        <f>IF(CF_Gen_3[[#This Row],[Contract]]="RC",-CF_Gen_3[[#This Row],[NPR_Ratio]]*CF_Gen_3[[#This Row],[Exp_Claim]],0)</f>
        <v>0</v>
      </c>
      <c r="AB87" s="19">
        <f>SUMIFS(Actual_CF[Actual_Premium],Actual_CF[ICG],CF_Gen_3[[#This Row],[ICG]],Actual_CF[Incurred],CF_Gen_3[[#This Row],[Incurred]])</f>
        <v>0</v>
      </c>
      <c r="AC87" s="19">
        <f>SUMIFS(Actual_CF[Actual_Commission],Actual_CF[ICG],CF_Gen_3[[#This Row],[ICG]],Actual_CF[Incurred],CF_Gen_3[[#This Row],[Incurred]])</f>
        <v>0</v>
      </c>
      <c r="AD87" s="19">
        <f>SUMIFS(Actual_CF[Actual_Acquisition],Actual_CF[ICG],CF_Gen_3[[#This Row],[ICG]],Actual_CF[Incurred],CF_Gen_3[[#This Row],[Incurred]])</f>
        <v>0</v>
      </c>
    </row>
    <row r="88" spans="1:30">
      <c r="A88" t="str">
        <f t="shared" si="3"/>
        <v>#2025#IC-Property</v>
      </c>
      <c r="B88">
        <f>_xlfn.XLOOKUP(CF_Gen_3[[#This Row],[ICG]],ICG[ICG],ICG[Cohort])</f>
        <v>2025</v>
      </c>
      <c r="C88" t="str">
        <f>_xlfn.XLOOKUP(CF_Gen_3[[#This Row],[ICG]],ICG[ICG],ICG[Portfolio])</f>
        <v>IC-Property</v>
      </c>
      <c r="D88" t="str">
        <f>_xlfn.XLOOKUP(CF_Gen_3[[#This Row],[ICG]],ICG[ICG],ICG[Contract])</f>
        <v>IC</v>
      </c>
      <c r="E88" s="2">
        <f t="shared" si="2"/>
        <v>45930</v>
      </c>
      <c r="F88">
        <v>87</v>
      </c>
      <c r="G88" s="2">
        <f>EOMONTH(DATE(YEAR(CF_Gen_3[[#This Row],[Valuation]])-1,12,31),CF_Gen_3[[#This Row],['#Incurred]]*3)</f>
        <v>53600</v>
      </c>
      <c r="H88" s="14">
        <f>SUMIFS(Expected_CF[Expected_Premium],Expected_CF[ICG],CF_Gen_3[[#This Row],[ICG]],Expected_CF[Incurred],CF_Gen_3[[#This Row],[Incurred]])</f>
        <v>0</v>
      </c>
      <c r="I88" s="14">
        <f>SUMIFS(Expected_CF[Expected_Commission],Expected_CF[ICG],CF_Gen_3[[#This Row],[ICG]],Expected_CF[Incurred],CF_Gen_3[[#This Row],[Incurred]])</f>
        <v>0</v>
      </c>
      <c r="J88" s="14">
        <f>IF(CF_Gen_3[[#This Row],[Contract]]="IC",SUMIFS(Expected_CF[Expected_Acquisition],Expected_CF[ICG],CF_Gen_3[[#This Row],[ICG]],Expected_CF[Incurred],CF_Gen_3[[#This Row],[Incurred]]),0)</f>
        <v>0</v>
      </c>
      <c r="K88" s="14">
        <f>SUMIFS(Earned[Earned_Premium],Earned[ICG],CF_Gen_3[[#This Row],[ICG]],Earned[Incurred],CF_Gen_3[[#This Row],[Incurred]])</f>
        <v>203403049.28076994</v>
      </c>
      <c r="L88" s="14">
        <f>SUMIFS(Earned[Earned_Commission],Earned[ICG],CF_Gen_3[[#This Row],[ICG]],Earned[Incurred],CF_Gen_3[[#This Row],[Incurred]])</f>
        <v>-29399611.424425352</v>
      </c>
      <c r="M88" s="18">
        <f>_xlfn.XLOOKUP(CF_Gen_3[[#This Row],[ICG]],Assumptions[ICG],Assumptions[Loss_Ratio])</f>
        <v>0.4</v>
      </c>
      <c r="N88" s="18">
        <f>_xlfn.XLOOKUP(CF_Gen_3[[#This Row],[ICG]],Assumptions[ICG],Assumptions[Risk_Adjustment_Ratio])</f>
        <v>0.14000000000000001</v>
      </c>
      <c r="O88" s="18">
        <f>_xlfn.XLOOKUP(CF_Gen_3[[#This Row],[ICG]],Assumptions[ICG],Assumptions[PME_Ratio])</f>
        <v>4.4999999999999998E-2</v>
      </c>
      <c r="P88" s="18">
        <f>_xlfn.XLOOKUP(CF_Gen_3[[#This Row],[ICG]],Assumptions[ICG],Assumptions[ULAE_Ratio])</f>
        <v>0.11</v>
      </c>
      <c r="Q88" s="18">
        <f>_xlfn.XLOOKUP(CF_Gen_3[[#This Row],[ICG]],Assumptions[ICG],Assumptions[Cancellation_Ratio])</f>
        <v>7.0000000000000007E-2</v>
      </c>
      <c r="R88" s="18">
        <f>_xlfn.XLOOKUP(CF_Gen_3[[#This Row],[ICG]],Assumptions[ICG],Assumptions[Premium_Refund_Ratio])</f>
        <v>0.5</v>
      </c>
      <c r="S88" s="18">
        <f>IF(CF_Gen_3[[#This Row],[Contract]]="RC",_xlfn.XLOOKUP(CF_Gen_3[[#This Row],[ICG]],Assumptions[ICG],Assumptions[NPR_Ratio]),0)</f>
        <v>0</v>
      </c>
      <c r="T88" s="17">
        <f>T87*(1-CF_Gen_3[[#This Row],[Cancellation_Ratio]])</f>
        <v>1.9477516262890601E-3</v>
      </c>
      <c r="U88" s="19">
        <f>IF(CF_Gen_3[[#This Row],[Incurred]]&lt;=CF_Gen_3[[#This Row],[Valuation]],CF_Gen_3[[#This Row],[Expected_Premium]],-CF_Gen_3[[#This Row],[Probability_of_Inforce]]*CF_Gen_3[[#This Row],[Premium_Refund_Ratio]]*CF_Gen_3[[#This Row],[Cancellation_Ratio]]*SUM(K88:K$105))</f>
        <v>-69331.258505035366</v>
      </c>
      <c r="V8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Row],[Cancellation_Ratio]]*SUM(L88:L$105))</f>
        <v>10021.049668733413</v>
      </c>
      <c r="W88" s="19">
        <f>CF_Gen_3[[#This Row],[Expected_Acquisition]]</f>
        <v>0</v>
      </c>
      <c r="X88" s="19">
        <f>-CF_Gen_3[[#This Row],[Probability_of_Inforce]]*CF_Gen_3[[#This Row],[Earned_Premium]]*(1-CF_Gen_3[[#This Row],[Cancellation_Ratio]])*CF_Gen_3[[#This Row],[PME_Ratio]]+CF_Gen_3[[#This Row],[ULAE_Ratio]]*CF_Gen_3[[#This Row],[Exp_Claim]]</f>
        <v>-32791.704379781586</v>
      </c>
      <c r="Y88" s="19">
        <f>-CF_Gen_3[[#This Row],[Probability_of_Inforce]]*CF_Gen_3[[#This Row],[Earned_Premium]]*(1-CF_Gen_3[[#This Row],[Cancellation_Ratio]])*CF_Gen_3[[#This Row],[Loss_Ratio]]</f>
        <v>-147378.44665070376</v>
      </c>
      <c r="Z88" s="19">
        <f>CF_Gen_3[[#This Row],[Exp_Claim]]*CF_Gen_3[[#This Row],[Risk_Adjustment_Ratio]]</f>
        <v>-20632.982531098529</v>
      </c>
      <c r="AA88" s="19">
        <f>IF(CF_Gen_3[[#This Row],[Contract]]="RC",-CF_Gen_3[[#This Row],[NPR_Ratio]]*CF_Gen_3[[#This Row],[Exp_Claim]],0)</f>
        <v>0</v>
      </c>
      <c r="AB88" s="19">
        <f>SUMIFS(Actual_CF[Actual_Premium],Actual_CF[ICG],CF_Gen_3[[#This Row],[ICG]],Actual_CF[Incurred],CF_Gen_3[[#This Row],[Incurred]])</f>
        <v>0</v>
      </c>
      <c r="AC88" s="19">
        <f>SUMIFS(Actual_CF[Actual_Commission],Actual_CF[ICG],CF_Gen_3[[#This Row],[ICG]],Actual_CF[Incurred],CF_Gen_3[[#This Row],[Incurred]])</f>
        <v>0</v>
      </c>
      <c r="AD88" s="19">
        <f>SUMIFS(Actual_CF[Actual_Acquisition],Actual_CF[ICG],CF_Gen_3[[#This Row],[ICG]],Actual_CF[Incurred],CF_Gen_3[[#This Row],[Incurred]])</f>
        <v>0</v>
      </c>
    </row>
    <row r="89" spans="1:30">
      <c r="A89" t="str">
        <f t="shared" si="3"/>
        <v>#2025#IC-Property</v>
      </c>
      <c r="B89">
        <f>_xlfn.XLOOKUP(CF_Gen_3[[#This Row],[ICG]],ICG[ICG],ICG[Cohort])</f>
        <v>2025</v>
      </c>
      <c r="C89" t="str">
        <f>_xlfn.XLOOKUP(CF_Gen_3[[#This Row],[ICG]],ICG[ICG],ICG[Portfolio])</f>
        <v>IC-Property</v>
      </c>
      <c r="D89" t="str">
        <f>_xlfn.XLOOKUP(CF_Gen_3[[#This Row],[ICG]],ICG[ICG],ICG[Contract])</f>
        <v>IC</v>
      </c>
      <c r="E89" s="2">
        <f t="shared" si="2"/>
        <v>45930</v>
      </c>
      <c r="F89">
        <v>88</v>
      </c>
      <c r="G89" s="2">
        <f>EOMONTH(DATE(YEAR(CF_Gen_3[[#This Row],[Valuation]])-1,12,31),CF_Gen_3[[#This Row],['#Incurred]]*3)</f>
        <v>53692</v>
      </c>
      <c r="H89" s="14">
        <f>SUMIFS(Expected_CF[Expected_Premium],Expected_CF[ICG],CF_Gen_3[[#This Row],[ICG]],Expected_CF[Incurred],CF_Gen_3[[#This Row],[Incurred]])</f>
        <v>0</v>
      </c>
      <c r="I89" s="14">
        <f>SUMIFS(Expected_CF[Expected_Commission],Expected_CF[ICG],CF_Gen_3[[#This Row],[ICG]],Expected_CF[Incurred],CF_Gen_3[[#This Row],[Incurred]])</f>
        <v>0</v>
      </c>
      <c r="J89" s="14">
        <f>IF(CF_Gen_3[[#This Row],[Contract]]="IC",SUMIFS(Expected_CF[Expected_Acquisition],Expected_CF[ICG],CF_Gen_3[[#This Row],[ICG]],Expected_CF[Incurred],CF_Gen_3[[#This Row],[Incurred]]),0)</f>
        <v>0</v>
      </c>
      <c r="K89" s="14">
        <f>SUMIFS(Earned[Earned_Premium],Earned[ICG],CF_Gen_3[[#This Row],[ICG]],Earned[Incurred],CF_Gen_3[[#This Row],[Incurred]])</f>
        <v>203403049.28076994</v>
      </c>
      <c r="L89" s="14">
        <f>SUMIFS(Earned[Earned_Commission],Earned[ICG],CF_Gen_3[[#This Row],[ICG]],Earned[Incurred],CF_Gen_3[[#This Row],[Incurred]])</f>
        <v>-29399611.424425352</v>
      </c>
      <c r="M89" s="18">
        <f>_xlfn.XLOOKUP(CF_Gen_3[[#This Row],[ICG]],Assumptions[ICG],Assumptions[Loss_Ratio])</f>
        <v>0.4</v>
      </c>
      <c r="N89" s="18">
        <f>_xlfn.XLOOKUP(CF_Gen_3[[#This Row],[ICG]],Assumptions[ICG],Assumptions[Risk_Adjustment_Ratio])</f>
        <v>0.14000000000000001</v>
      </c>
      <c r="O89" s="18">
        <f>_xlfn.XLOOKUP(CF_Gen_3[[#This Row],[ICG]],Assumptions[ICG],Assumptions[PME_Ratio])</f>
        <v>4.4999999999999998E-2</v>
      </c>
      <c r="P89" s="18">
        <f>_xlfn.XLOOKUP(CF_Gen_3[[#This Row],[ICG]],Assumptions[ICG],Assumptions[ULAE_Ratio])</f>
        <v>0.11</v>
      </c>
      <c r="Q89" s="18">
        <f>_xlfn.XLOOKUP(CF_Gen_3[[#This Row],[ICG]],Assumptions[ICG],Assumptions[Cancellation_Ratio])</f>
        <v>7.0000000000000007E-2</v>
      </c>
      <c r="R89" s="18">
        <f>_xlfn.XLOOKUP(CF_Gen_3[[#This Row],[ICG]],Assumptions[ICG],Assumptions[Premium_Refund_Ratio])</f>
        <v>0.5</v>
      </c>
      <c r="S89" s="18">
        <f>IF(CF_Gen_3[[#This Row],[Contract]]="RC",_xlfn.XLOOKUP(CF_Gen_3[[#This Row],[ICG]],Assumptions[ICG],Assumptions[NPR_Ratio]),0)</f>
        <v>0</v>
      </c>
      <c r="T89" s="17">
        <f>T88*(1-CF_Gen_3[[#This Row],[Cancellation_Ratio]])</f>
        <v>1.8114090124488258E-3</v>
      </c>
      <c r="U89" s="19">
        <f>IF(CF_Gen_3[[#This Row],[Incurred]]&lt;=CF_Gen_3[[#This Row],[Valuation]],CF_Gen_3[[#This Row],[Expected_Premium]],-CF_Gen_3[[#This Row],[Probability_of_Inforce]]*CF_Gen_3[[#This Row],[Premium_Refund_Ratio]]*CF_Gen_3[[#This Row],[Cancellation_Ratio]]*SUM(K89:K$105))</f>
        <v>-51582.456327746309</v>
      </c>
      <c r="V8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Row],[Cancellation_Ratio]]*SUM(L89:L$105))</f>
        <v>7455.6609535376574</v>
      </c>
      <c r="W89" s="19">
        <f>CF_Gen_3[[#This Row],[Expected_Acquisition]]</f>
        <v>0</v>
      </c>
      <c r="X89" s="19">
        <f>-CF_Gen_3[[#This Row],[Probability_of_Inforce]]*CF_Gen_3[[#This Row],[Earned_Premium]]*(1-CF_Gen_3[[#This Row],[Cancellation_Ratio]])*CF_Gen_3[[#This Row],[PME_Ratio]]+CF_Gen_3[[#This Row],[ULAE_Ratio]]*CF_Gen_3[[#This Row],[Exp_Claim]]</f>
        <v>-30496.285073196865</v>
      </c>
      <c r="Y89" s="19">
        <f>-CF_Gen_3[[#This Row],[Probability_of_Inforce]]*CF_Gen_3[[#This Row],[Earned_Premium]]*(1-CF_Gen_3[[#This Row],[Cancellation_Ratio]])*CF_Gen_3[[#This Row],[Loss_Ratio]]</f>
        <v>-137061.95538515446</v>
      </c>
      <c r="Z89" s="19">
        <f>CF_Gen_3[[#This Row],[Exp_Claim]]*CF_Gen_3[[#This Row],[Risk_Adjustment_Ratio]]</f>
        <v>-19188.673753921626</v>
      </c>
      <c r="AA89" s="19">
        <f>IF(CF_Gen_3[[#This Row],[Contract]]="RC",-CF_Gen_3[[#This Row],[NPR_Ratio]]*CF_Gen_3[[#This Row],[Exp_Claim]],0)</f>
        <v>0</v>
      </c>
      <c r="AB89" s="19">
        <f>SUMIFS(Actual_CF[Actual_Premium],Actual_CF[ICG],CF_Gen_3[[#This Row],[ICG]],Actual_CF[Incurred],CF_Gen_3[[#This Row],[Incurred]])</f>
        <v>0</v>
      </c>
      <c r="AC89" s="19">
        <f>SUMIFS(Actual_CF[Actual_Commission],Actual_CF[ICG],CF_Gen_3[[#This Row],[ICG]],Actual_CF[Incurred],CF_Gen_3[[#This Row],[Incurred]])</f>
        <v>0</v>
      </c>
      <c r="AD89" s="19">
        <f>SUMIFS(Actual_CF[Actual_Acquisition],Actual_CF[ICG],CF_Gen_3[[#This Row],[ICG]],Actual_CF[Incurred],CF_Gen_3[[#This Row],[Incurred]])</f>
        <v>0</v>
      </c>
    </row>
    <row r="90" spans="1:30">
      <c r="A90" t="str">
        <f t="shared" si="3"/>
        <v>#2025#IC-Property</v>
      </c>
      <c r="B90">
        <f>_xlfn.XLOOKUP(CF_Gen_3[[#This Row],[ICG]],ICG[ICG],ICG[Cohort])</f>
        <v>2025</v>
      </c>
      <c r="C90" t="str">
        <f>_xlfn.XLOOKUP(CF_Gen_3[[#This Row],[ICG]],ICG[ICG],ICG[Portfolio])</f>
        <v>IC-Property</v>
      </c>
      <c r="D90" t="str">
        <f>_xlfn.XLOOKUP(CF_Gen_3[[#This Row],[ICG]],ICG[ICG],ICG[Contract])</f>
        <v>IC</v>
      </c>
      <c r="E90" s="2">
        <f t="shared" si="2"/>
        <v>45930</v>
      </c>
      <c r="F90">
        <v>89</v>
      </c>
      <c r="G90" s="2">
        <f>EOMONTH(DATE(YEAR(CF_Gen_3[[#This Row],[Valuation]])-1,12,31),CF_Gen_3[[#This Row],['#Incurred]]*3)</f>
        <v>53782</v>
      </c>
      <c r="H90" s="14">
        <f>SUMIFS(Expected_CF[Expected_Premium],Expected_CF[ICG],CF_Gen_3[[#This Row],[ICG]],Expected_CF[Incurred],CF_Gen_3[[#This Row],[Incurred]])</f>
        <v>0</v>
      </c>
      <c r="I90" s="14">
        <f>SUMIFS(Expected_CF[Expected_Commission],Expected_CF[ICG],CF_Gen_3[[#This Row],[ICG]],Expected_CF[Incurred],CF_Gen_3[[#This Row],[Incurred]])</f>
        <v>0</v>
      </c>
      <c r="J90" s="14">
        <f>IF(CF_Gen_3[[#This Row],[Contract]]="IC",SUMIFS(Expected_CF[Expected_Acquisition],Expected_CF[ICG],CF_Gen_3[[#This Row],[ICG]],Expected_CF[Incurred],CF_Gen_3[[#This Row],[Incurred]]),0)</f>
        <v>0</v>
      </c>
      <c r="K90" s="14">
        <f>SUMIFS(Earned[Earned_Premium],Earned[ICG],CF_Gen_3[[#This Row],[ICG]],Earned[Incurred],CF_Gen_3[[#This Row],[Incurred]])</f>
        <v>169502541.06730828</v>
      </c>
      <c r="L90" s="14">
        <f>SUMIFS(Earned[Earned_Commission],Earned[ICG],CF_Gen_3[[#This Row],[ICG]],Earned[Incurred],CF_Gen_3[[#This Row],[Incurred]])</f>
        <v>-24499676.187021125</v>
      </c>
      <c r="M90" s="18">
        <f>_xlfn.XLOOKUP(CF_Gen_3[[#This Row],[ICG]],Assumptions[ICG],Assumptions[Loss_Ratio])</f>
        <v>0.4</v>
      </c>
      <c r="N90" s="18">
        <f>_xlfn.XLOOKUP(CF_Gen_3[[#This Row],[ICG]],Assumptions[ICG],Assumptions[Risk_Adjustment_Ratio])</f>
        <v>0.14000000000000001</v>
      </c>
      <c r="O90" s="18">
        <f>_xlfn.XLOOKUP(CF_Gen_3[[#This Row],[ICG]],Assumptions[ICG],Assumptions[PME_Ratio])</f>
        <v>4.4999999999999998E-2</v>
      </c>
      <c r="P90" s="18">
        <f>_xlfn.XLOOKUP(CF_Gen_3[[#This Row],[ICG]],Assumptions[ICG],Assumptions[ULAE_Ratio])</f>
        <v>0.11</v>
      </c>
      <c r="Q90" s="18">
        <f>_xlfn.XLOOKUP(CF_Gen_3[[#This Row],[ICG]],Assumptions[ICG],Assumptions[Cancellation_Ratio])</f>
        <v>7.0000000000000007E-2</v>
      </c>
      <c r="R90" s="18">
        <f>_xlfn.XLOOKUP(CF_Gen_3[[#This Row],[ICG]],Assumptions[ICG],Assumptions[Premium_Refund_Ratio])</f>
        <v>0.5</v>
      </c>
      <c r="S90" s="18">
        <f>IF(CF_Gen_3[[#This Row],[Contract]]="RC",_xlfn.XLOOKUP(CF_Gen_3[[#This Row],[ICG]],Assumptions[ICG],Assumptions[NPR_Ratio]),0)</f>
        <v>0</v>
      </c>
      <c r="T90" s="17">
        <f>T89*(1-CF_Gen_3[[#This Row],[Cancellation_Ratio]])</f>
        <v>1.6846103815774079E-3</v>
      </c>
      <c r="U90" s="19">
        <f>IF(CF_Gen_3[[#This Row],[Incurred]]&lt;=CF_Gen_3[[#This Row],[Valuation]],CF_Gen_3[[#This Row],[Expected_Premium]],-CF_Gen_3[[#This Row],[Probability_of_Inforce]]*CF_Gen_3[[#This Row],[Premium_Refund_Ratio]]*CF_Gen_3[[#This Row],[Cancellation_Ratio]]*SUM(K90:K$105))</f>
        <v>-35978.763288603048</v>
      </c>
      <c r="V9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Row],[Cancellation_Ratio]]*SUM(L90:L$105))</f>
        <v>5200.3235150925157</v>
      </c>
      <c r="W90" s="19">
        <f>CF_Gen_3[[#This Row],[Expected_Acquisition]]</f>
        <v>0</v>
      </c>
      <c r="X90" s="19">
        <f>-CF_Gen_3[[#This Row],[Probability_of_Inforce]]*CF_Gen_3[[#This Row],[Earned_Premium]]*(1-CF_Gen_3[[#This Row],[Cancellation_Ratio]])*CF_Gen_3[[#This Row],[PME_Ratio]]+CF_Gen_3[[#This Row],[ULAE_Ratio]]*CF_Gen_3[[#This Row],[Exp_Claim]]</f>
        <v>-23634.620931727568</v>
      </c>
      <c r="Y90" s="19">
        <f>-CF_Gen_3[[#This Row],[Probability_of_Inforce]]*CF_Gen_3[[#This Row],[Earned_Premium]]*(1-CF_Gen_3[[#This Row],[Cancellation_Ratio]])*CF_Gen_3[[#This Row],[Loss_Ratio]]</f>
        <v>-106223.0154234947</v>
      </c>
      <c r="Z90" s="19">
        <f>CF_Gen_3[[#This Row],[Exp_Claim]]*CF_Gen_3[[#This Row],[Risk_Adjustment_Ratio]]</f>
        <v>-14871.222159289258</v>
      </c>
      <c r="AA90" s="19">
        <f>IF(CF_Gen_3[[#This Row],[Contract]]="RC",-CF_Gen_3[[#This Row],[NPR_Ratio]]*CF_Gen_3[[#This Row],[Exp_Claim]],0)</f>
        <v>0</v>
      </c>
      <c r="AB90" s="19">
        <f>SUMIFS(Actual_CF[Actual_Premium],Actual_CF[ICG],CF_Gen_3[[#This Row],[ICG]],Actual_CF[Incurred],CF_Gen_3[[#This Row],[Incurred]])</f>
        <v>0</v>
      </c>
      <c r="AC90" s="19">
        <f>SUMIFS(Actual_CF[Actual_Commission],Actual_CF[ICG],CF_Gen_3[[#This Row],[ICG]],Actual_CF[Incurred],CF_Gen_3[[#This Row],[Incurred]])</f>
        <v>0</v>
      </c>
      <c r="AD90" s="19">
        <f>SUMIFS(Actual_CF[Actual_Acquisition],Actual_CF[ICG],CF_Gen_3[[#This Row],[ICG]],Actual_CF[Incurred],CF_Gen_3[[#This Row],[Incurred]])</f>
        <v>0</v>
      </c>
    </row>
    <row r="91" spans="1:30">
      <c r="A91" t="str">
        <f t="shared" si="3"/>
        <v>#2025#IC-Property</v>
      </c>
      <c r="B91">
        <f>_xlfn.XLOOKUP(CF_Gen_3[[#This Row],[ICG]],ICG[ICG],ICG[Cohort])</f>
        <v>2025</v>
      </c>
      <c r="C91" t="str">
        <f>_xlfn.XLOOKUP(CF_Gen_3[[#This Row],[ICG]],ICG[ICG],ICG[Portfolio])</f>
        <v>IC-Property</v>
      </c>
      <c r="D91" t="str">
        <f>_xlfn.XLOOKUP(CF_Gen_3[[#This Row],[ICG]],ICG[ICG],ICG[Contract])</f>
        <v>IC</v>
      </c>
      <c r="E91" s="2">
        <f t="shared" si="2"/>
        <v>45930</v>
      </c>
      <c r="F91">
        <v>90</v>
      </c>
      <c r="G91" s="2">
        <f>EOMONTH(DATE(YEAR(CF_Gen_3[[#This Row],[Valuation]])-1,12,31),CF_Gen_3[[#This Row],['#Incurred]]*3)</f>
        <v>53873</v>
      </c>
      <c r="H91" s="14">
        <f>SUMIFS(Expected_CF[Expected_Premium],Expected_CF[ICG],CF_Gen_3[[#This Row],[ICG]],Expected_CF[Incurred],CF_Gen_3[[#This Row],[Incurred]])</f>
        <v>0</v>
      </c>
      <c r="I91" s="14">
        <f>SUMIFS(Expected_CF[Expected_Commission],Expected_CF[ICG],CF_Gen_3[[#This Row],[ICG]],Expected_CF[Incurred],CF_Gen_3[[#This Row],[Incurred]])</f>
        <v>0</v>
      </c>
      <c r="J91" s="14">
        <f>IF(CF_Gen_3[[#This Row],[Contract]]="IC",SUMIFS(Expected_CF[Expected_Acquisition],Expected_CF[ICG],CF_Gen_3[[#This Row],[ICG]],Expected_CF[Incurred],CF_Gen_3[[#This Row],[Incurred]]),0)</f>
        <v>0</v>
      </c>
      <c r="K91" s="14">
        <f>SUMIFS(Earned[Earned_Premium],Earned[ICG],CF_Gen_3[[#This Row],[ICG]],Earned[Incurred],CF_Gen_3[[#This Row],[Incurred]])</f>
        <v>135602032.85384664</v>
      </c>
      <c r="L91" s="14">
        <f>SUMIFS(Earned[Earned_Commission],Earned[ICG],CF_Gen_3[[#This Row],[ICG]],Earned[Incurred],CF_Gen_3[[#This Row],[Incurred]])</f>
        <v>-19599740.949616902</v>
      </c>
      <c r="M91" s="18">
        <f>_xlfn.XLOOKUP(CF_Gen_3[[#This Row],[ICG]],Assumptions[ICG],Assumptions[Loss_Ratio])</f>
        <v>0.4</v>
      </c>
      <c r="N91" s="18">
        <f>_xlfn.XLOOKUP(CF_Gen_3[[#This Row],[ICG]],Assumptions[ICG],Assumptions[Risk_Adjustment_Ratio])</f>
        <v>0.14000000000000001</v>
      </c>
      <c r="O91" s="18">
        <f>_xlfn.XLOOKUP(CF_Gen_3[[#This Row],[ICG]],Assumptions[ICG],Assumptions[PME_Ratio])</f>
        <v>4.4999999999999998E-2</v>
      </c>
      <c r="P91" s="18">
        <f>_xlfn.XLOOKUP(CF_Gen_3[[#This Row],[ICG]],Assumptions[ICG],Assumptions[ULAE_Ratio])</f>
        <v>0.11</v>
      </c>
      <c r="Q91" s="18">
        <f>_xlfn.XLOOKUP(CF_Gen_3[[#This Row],[ICG]],Assumptions[ICG],Assumptions[Cancellation_Ratio])</f>
        <v>7.0000000000000007E-2</v>
      </c>
      <c r="R91" s="18">
        <f>_xlfn.XLOOKUP(CF_Gen_3[[#This Row],[ICG]],Assumptions[ICG],Assumptions[Premium_Refund_Ratio])</f>
        <v>0.5</v>
      </c>
      <c r="S91" s="18">
        <f>IF(CF_Gen_3[[#This Row],[Contract]]="RC",_xlfn.XLOOKUP(CF_Gen_3[[#This Row],[ICG]],Assumptions[ICG],Assumptions[NPR_Ratio]),0)</f>
        <v>0</v>
      </c>
      <c r="T91" s="17">
        <f>T90*(1-CF_Gen_3[[#This Row],[Cancellation_Ratio]])</f>
        <v>1.5666876548669892E-3</v>
      </c>
      <c r="U91" s="19">
        <f>IF(CF_Gen_3[[#This Row],[Incurred]]&lt;=CF_Gen_3[[#This Row],[Valuation]],CF_Gen_3[[#This Row],[Expected_Premium]],-CF_Gen_3[[#This Row],[Probability_of_Inforce]]*CF_Gen_3[[#This Row],[Premium_Refund_Ratio]]*CF_Gen_3[[#This Row],[Cancellation_Ratio]]*SUM(K91:K$105))</f>
        <v>-24165.736008845048</v>
      </c>
      <c r="V9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Row],[Cancellation_Ratio]]*SUM(L91:L$105))</f>
        <v>3492.8839609704719</v>
      </c>
      <c r="W91" s="19">
        <f>CF_Gen_3[[#This Row],[Expected_Acquisition]]</f>
        <v>0</v>
      </c>
      <c r="X91" s="19">
        <f>-CF_Gen_3[[#This Row],[Probability_of_Inforce]]*CF_Gen_3[[#This Row],[Earned_Premium]]*(1-CF_Gen_3[[#This Row],[Cancellation_Ratio]])*CF_Gen_3[[#This Row],[PME_Ratio]]+CF_Gen_3[[#This Row],[ULAE_Ratio]]*CF_Gen_3[[#This Row],[Exp_Claim]]</f>
        <v>-17584.157973205314</v>
      </c>
      <c r="Y91" s="19">
        <f>-CF_Gen_3[[#This Row],[Probability_of_Inforce]]*CF_Gen_3[[#This Row],[Earned_Premium]]*(1-CF_Gen_3[[#This Row],[Cancellation_Ratio]])*CF_Gen_3[[#This Row],[Loss_Ratio]]</f>
        <v>-79029.923475080068</v>
      </c>
      <c r="Z91" s="19">
        <f>CF_Gen_3[[#This Row],[Exp_Claim]]*CF_Gen_3[[#This Row],[Risk_Adjustment_Ratio]]</f>
        <v>-11064.189286511211</v>
      </c>
      <c r="AA91" s="19">
        <f>IF(CF_Gen_3[[#This Row],[Contract]]="RC",-CF_Gen_3[[#This Row],[NPR_Ratio]]*CF_Gen_3[[#This Row],[Exp_Claim]],0)</f>
        <v>0</v>
      </c>
      <c r="AB91" s="19">
        <f>SUMIFS(Actual_CF[Actual_Premium],Actual_CF[ICG],CF_Gen_3[[#This Row],[ICG]],Actual_CF[Incurred],CF_Gen_3[[#This Row],[Incurred]])</f>
        <v>0</v>
      </c>
      <c r="AC91" s="19">
        <f>SUMIFS(Actual_CF[Actual_Commission],Actual_CF[ICG],CF_Gen_3[[#This Row],[ICG]],Actual_CF[Incurred],CF_Gen_3[[#This Row],[Incurred]])</f>
        <v>0</v>
      </c>
      <c r="AD91" s="19">
        <f>SUMIFS(Actual_CF[Actual_Acquisition],Actual_CF[ICG],CF_Gen_3[[#This Row],[ICG]],Actual_CF[Incurred],CF_Gen_3[[#This Row],[Incurred]])</f>
        <v>0</v>
      </c>
    </row>
    <row r="92" spans="1:30">
      <c r="A92" t="str">
        <f t="shared" si="3"/>
        <v>#2025#IC-Property</v>
      </c>
      <c r="B92">
        <f>_xlfn.XLOOKUP(CF_Gen_3[[#This Row],[ICG]],ICG[ICG],ICG[Cohort])</f>
        <v>2025</v>
      </c>
      <c r="C92" t="str">
        <f>_xlfn.XLOOKUP(CF_Gen_3[[#This Row],[ICG]],ICG[ICG],ICG[Portfolio])</f>
        <v>IC-Property</v>
      </c>
      <c r="D92" t="str">
        <f>_xlfn.XLOOKUP(CF_Gen_3[[#This Row],[ICG]],ICG[ICG],ICG[Contract])</f>
        <v>IC</v>
      </c>
      <c r="E92" s="2">
        <f t="shared" si="2"/>
        <v>45930</v>
      </c>
      <c r="F92">
        <v>91</v>
      </c>
      <c r="G92" s="2">
        <f>EOMONTH(DATE(YEAR(CF_Gen_3[[#This Row],[Valuation]])-1,12,31),CF_Gen_3[[#This Row],['#Incurred]]*3)</f>
        <v>53965</v>
      </c>
      <c r="H92" s="14">
        <f>SUMIFS(Expected_CF[Expected_Premium],Expected_CF[ICG],CF_Gen_3[[#This Row],[ICG]],Expected_CF[Incurred],CF_Gen_3[[#This Row],[Incurred]])</f>
        <v>0</v>
      </c>
      <c r="I92" s="14">
        <f>SUMIFS(Expected_CF[Expected_Commission],Expected_CF[ICG],CF_Gen_3[[#This Row],[ICG]],Expected_CF[Incurred],CF_Gen_3[[#This Row],[Incurred]])</f>
        <v>0</v>
      </c>
      <c r="J92" s="14">
        <f>IF(CF_Gen_3[[#This Row],[Contract]]="IC",SUMIFS(Expected_CF[Expected_Acquisition],Expected_CF[ICG],CF_Gen_3[[#This Row],[ICG]],Expected_CF[Incurred],CF_Gen_3[[#This Row],[Incurred]]),0)</f>
        <v>0</v>
      </c>
      <c r="K92" s="14">
        <f>SUMIFS(Earned[Earned_Premium],Earned[ICG],CF_Gen_3[[#This Row],[ICG]],Earned[Incurred],CF_Gen_3[[#This Row],[Incurred]])</f>
        <v>101701524.64038497</v>
      </c>
      <c r="L92" s="14">
        <f>SUMIFS(Earned[Earned_Commission],Earned[ICG],CF_Gen_3[[#This Row],[ICG]],Earned[Incurred],CF_Gen_3[[#This Row],[Incurred]])</f>
        <v>-14699805.712212676</v>
      </c>
      <c r="M92" s="18">
        <f>_xlfn.XLOOKUP(CF_Gen_3[[#This Row],[ICG]],Assumptions[ICG],Assumptions[Loss_Ratio])</f>
        <v>0.4</v>
      </c>
      <c r="N92" s="18">
        <f>_xlfn.XLOOKUP(CF_Gen_3[[#This Row],[ICG]],Assumptions[ICG],Assumptions[Risk_Adjustment_Ratio])</f>
        <v>0.14000000000000001</v>
      </c>
      <c r="O92" s="18">
        <f>_xlfn.XLOOKUP(CF_Gen_3[[#This Row],[ICG]],Assumptions[ICG],Assumptions[PME_Ratio])</f>
        <v>4.4999999999999998E-2</v>
      </c>
      <c r="P92" s="18">
        <f>_xlfn.XLOOKUP(CF_Gen_3[[#This Row],[ICG]],Assumptions[ICG],Assumptions[ULAE_Ratio])</f>
        <v>0.11</v>
      </c>
      <c r="Q92" s="18">
        <f>_xlfn.XLOOKUP(CF_Gen_3[[#This Row],[ICG]],Assumptions[ICG],Assumptions[Cancellation_Ratio])</f>
        <v>7.0000000000000007E-2</v>
      </c>
      <c r="R92" s="18">
        <f>_xlfn.XLOOKUP(CF_Gen_3[[#This Row],[ICG]],Assumptions[ICG],Assumptions[Premium_Refund_Ratio])</f>
        <v>0.5</v>
      </c>
      <c r="S92" s="18">
        <f>IF(CF_Gen_3[[#This Row],[Contract]]="RC",_xlfn.XLOOKUP(CF_Gen_3[[#This Row],[ICG]],Assumptions[ICG],Assumptions[NPR_Ratio]),0)</f>
        <v>0</v>
      </c>
      <c r="T92" s="17">
        <f>T91*(1-CF_Gen_3[[#This Row],[Cancellation_Ratio]])</f>
        <v>1.4570195190262997E-3</v>
      </c>
      <c r="U92" s="19">
        <f>IF(CF_Gen_3[[#This Row],[Incurred]]&lt;=CF_Gen_3[[#This Row],[Valuation]],CF_Gen_3[[#This Row],[Expected_Premium]],-CF_Gen_3[[#This Row],[Probability_of_Inforce]]*CF_Gen_3[[#This Row],[Premium_Refund_Ratio]]*CF_Gen_3[[#This Row],[Cancellation_Ratio]]*SUM(K92:K$105))</f>
        <v>-15559.016184156386</v>
      </c>
      <c r="V9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Row],[Cancellation_Ratio]]*SUM(L92:L$105))</f>
        <v>2248.8799041017578</v>
      </c>
      <c r="W92" s="19">
        <f>CF_Gen_3[[#This Row],[Expected_Acquisition]]</f>
        <v>0</v>
      </c>
      <c r="X92" s="19">
        <f>-CF_Gen_3[[#This Row],[Probability_of_Inforce]]*CF_Gen_3[[#This Row],[Earned_Premium]]*(1-CF_Gen_3[[#This Row],[Cancellation_Ratio]])*CF_Gen_3[[#This Row],[PME_Ratio]]+CF_Gen_3[[#This Row],[ULAE_Ratio]]*CF_Gen_3[[#This Row],[Exp_Claim]]</f>
        <v>-12264.950186310703</v>
      </c>
      <c r="Y92" s="19">
        <f>-CF_Gen_3[[#This Row],[Probability_of_Inforce]]*CF_Gen_3[[#This Row],[Earned_Premium]]*(1-CF_Gen_3[[#This Row],[Cancellation_Ratio]])*CF_Gen_3[[#This Row],[Loss_Ratio]]</f>
        <v>-55123.371623868334</v>
      </c>
      <c r="Z92" s="19">
        <f>CF_Gen_3[[#This Row],[Exp_Claim]]*CF_Gen_3[[#This Row],[Risk_Adjustment_Ratio]]</f>
        <v>-7717.2720273415671</v>
      </c>
      <c r="AA92" s="19">
        <f>IF(CF_Gen_3[[#This Row],[Contract]]="RC",-CF_Gen_3[[#This Row],[NPR_Ratio]]*CF_Gen_3[[#This Row],[Exp_Claim]],0)</f>
        <v>0</v>
      </c>
      <c r="AB92" s="19">
        <f>SUMIFS(Actual_CF[Actual_Premium],Actual_CF[ICG],CF_Gen_3[[#This Row],[ICG]],Actual_CF[Incurred],CF_Gen_3[[#This Row],[Incurred]])</f>
        <v>0</v>
      </c>
      <c r="AC92" s="19">
        <f>SUMIFS(Actual_CF[Actual_Commission],Actual_CF[ICG],CF_Gen_3[[#This Row],[ICG]],Actual_CF[Incurred],CF_Gen_3[[#This Row],[Incurred]])</f>
        <v>0</v>
      </c>
      <c r="AD92" s="19">
        <f>SUMIFS(Actual_CF[Actual_Acquisition],Actual_CF[ICG],CF_Gen_3[[#This Row],[ICG]],Actual_CF[Incurred],CF_Gen_3[[#This Row],[Incurred]])</f>
        <v>0</v>
      </c>
    </row>
    <row r="93" spans="1:30">
      <c r="A93" t="str">
        <f t="shared" si="3"/>
        <v>#2025#IC-Property</v>
      </c>
      <c r="B93">
        <f>_xlfn.XLOOKUP(CF_Gen_3[[#This Row],[ICG]],ICG[ICG],ICG[Cohort])</f>
        <v>2025</v>
      </c>
      <c r="C93" t="str">
        <f>_xlfn.XLOOKUP(CF_Gen_3[[#This Row],[ICG]],ICG[ICG],ICG[Portfolio])</f>
        <v>IC-Property</v>
      </c>
      <c r="D93" t="str">
        <f>_xlfn.XLOOKUP(CF_Gen_3[[#This Row],[ICG]],ICG[ICG],ICG[Contract])</f>
        <v>IC</v>
      </c>
      <c r="E93" s="2">
        <f t="shared" si="2"/>
        <v>45930</v>
      </c>
      <c r="F93">
        <v>92</v>
      </c>
      <c r="G93" s="2">
        <f>EOMONTH(DATE(YEAR(CF_Gen_3[[#This Row],[Valuation]])-1,12,31),CF_Gen_3[[#This Row],['#Incurred]]*3)</f>
        <v>54057</v>
      </c>
      <c r="H93" s="14">
        <f>SUMIFS(Expected_CF[Expected_Premium],Expected_CF[ICG],CF_Gen_3[[#This Row],[ICG]],Expected_CF[Incurred],CF_Gen_3[[#This Row],[Incurred]])</f>
        <v>0</v>
      </c>
      <c r="I93" s="14">
        <f>SUMIFS(Expected_CF[Expected_Commission],Expected_CF[ICG],CF_Gen_3[[#This Row],[ICG]],Expected_CF[Incurred],CF_Gen_3[[#This Row],[Incurred]])</f>
        <v>0</v>
      </c>
      <c r="J93" s="14">
        <f>IF(CF_Gen_3[[#This Row],[Contract]]="IC",SUMIFS(Expected_CF[Expected_Acquisition],Expected_CF[ICG],CF_Gen_3[[#This Row],[ICG]],Expected_CF[Incurred],CF_Gen_3[[#This Row],[Incurred]]),0)</f>
        <v>0</v>
      </c>
      <c r="K93" s="14">
        <f>SUMIFS(Earned[Earned_Premium],Earned[ICG],CF_Gen_3[[#This Row],[ICG]],Earned[Incurred],CF_Gen_3[[#This Row],[Incurred]])</f>
        <v>101701524.64038497</v>
      </c>
      <c r="L93" s="14">
        <f>SUMIFS(Earned[Earned_Commission],Earned[ICG],CF_Gen_3[[#This Row],[ICG]],Earned[Incurred],CF_Gen_3[[#This Row],[Incurred]])</f>
        <v>-14699805.712212676</v>
      </c>
      <c r="M93" s="18">
        <f>_xlfn.XLOOKUP(CF_Gen_3[[#This Row],[ICG]],Assumptions[ICG],Assumptions[Loss_Ratio])</f>
        <v>0.4</v>
      </c>
      <c r="N93" s="18">
        <f>_xlfn.XLOOKUP(CF_Gen_3[[#This Row],[ICG]],Assumptions[ICG],Assumptions[Risk_Adjustment_Ratio])</f>
        <v>0.14000000000000001</v>
      </c>
      <c r="O93" s="18">
        <f>_xlfn.XLOOKUP(CF_Gen_3[[#This Row],[ICG]],Assumptions[ICG],Assumptions[PME_Ratio])</f>
        <v>4.4999999999999998E-2</v>
      </c>
      <c r="P93" s="18">
        <f>_xlfn.XLOOKUP(CF_Gen_3[[#This Row],[ICG]],Assumptions[ICG],Assumptions[ULAE_Ratio])</f>
        <v>0.11</v>
      </c>
      <c r="Q93" s="18">
        <f>_xlfn.XLOOKUP(CF_Gen_3[[#This Row],[ICG]],Assumptions[ICG],Assumptions[Cancellation_Ratio])</f>
        <v>7.0000000000000007E-2</v>
      </c>
      <c r="R93" s="18">
        <f>_xlfn.XLOOKUP(CF_Gen_3[[#This Row],[ICG]],Assumptions[ICG],Assumptions[Premium_Refund_Ratio])</f>
        <v>0.5</v>
      </c>
      <c r="S93" s="18">
        <f>IF(CF_Gen_3[[#This Row],[Contract]]="RC",_xlfn.XLOOKUP(CF_Gen_3[[#This Row],[ICG]],Assumptions[ICG],Assumptions[NPR_Ratio]),0)</f>
        <v>0</v>
      </c>
      <c r="T93" s="17">
        <f>T92*(1-CF_Gen_3[[#This Row],[Cancellation_Ratio]])</f>
        <v>1.3550281526944587E-3</v>
      </c>
      <c r="U93" s="19">
        <f>IF(CF_Gen_3[[#This Row],[Incurred]]&lt;=CF_Gen_3[[#This Row],[Valuation]],CF_Gen_3[[#This Row],[Expected_Premium]],-CF_Gen_3[[#This Row],[Probability_of_Inforce]]*CF_Gen_3[[#This Row],[Premium_Refund_Ratio]]*CF_Gen_3[[#This Row],[Cancellation_Ratio]]*SUM(K93:K$105))</f>
        <v>-9646.5900341769611</v>
      </c>
      <c r="V9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Row],[Cancellation_Ratio]]*SUM(L93:L$105))</f>
        <v>1394.30554054309</v>
      </c>
      <c r="W93" s="19">
        <f>CF_Gen_3[[#This Row],[Expected_Acquisition]]</f>
        <v>0</v>
      </c>
      <c r="X93" s="19">
        <f>-CF_Gen_3[[#This Row],[Probability_of_Inforce]]*CF_Gen_3[[#This Row],[Earned_Premium]]*(1-CF_Gen_3[[#This Row],[Cancellation_Ratio]])*CF_Gen_3[[#This Row],[PME_Ratio]]+CF_Gen_3[[#This Row],[ULAE_Ratio]]*CF_Gen_3[[#This Row],[Exp_Claim]]</f>
        <v>-11406.403673268953</v>
      </c>
      <c r="Y93" s="19">
        <f>-CF_Gen_3[[#This Row],[Probability_of_Inforce]]*CF_Gen_3[[#This Row],[Earned_Premium]]*(1-CF_Gen_3[[#This Row],[Cancellation_Ratio]])*CF_Gen_3[[#This Row],[Loss_Ratio]]</f>
        <v>-51264.735610197546</v>
      </c>
      <c r="Z93" s="19">
        <f>CF_Gen_3[[#This Row],[Exp_Claim]]*CF_Gen_3[[#This Row],[Risk_Adjustment_Ratio]]</f>
        <v>-7177.0629854276567</v>
      </c>
      <c r="AA93" s="19">
        <f>IF(CF_Gen_3[[#This Row],[Contract]]="RC",-CF_Gen_3[[#This Row],[NPR_Ratio]]*CF_Gen_3[[#This Row],[Exp_Claim]],0)</f>
        <v>0</v>
      </c>
      <c r="AB93" s="19">
        <f>SUMIFS(Actual_CF[Actual_Premium],Actual_CF[ICG],CF_Gen_3[[#This Row],[ICG]],Actual_CF[Incurred],CF_Gen_3[[#This Row],[Incurred]])</f>
        <v>0</v>
      </c>
      <c r="AC93" s="19">
        <f>SUMIFS(Actual_CF[Actual_Commission],Actual_CF[ICG],CF_Gen_3[[#This Row],[ICG]],Actual_CF[Incurred],CF_Gen_3[[#This Row],[Incurred]])</f>
        <v>0</v>
      </c>
      <c r="AD93" s="19">
        <f>SUMIFS(Actual_CF[Actual_Acquisition],Actual_CF[ICG],CF_Gen_3[[#This Row],[ICG]],Actual_CF[Incurred],CF_Gen_3[[#This Row],[Incurred]])</f>
        <v>0</v>
      </c>
    </row>
    <row r="94" spans="1:30">
      <c r="A94" t="str">
        <f t="shared" si="3"/>
        <v>#2025#IC-Property</v>
      </c>
      <c r="B94">
        <f>_xlfn.XLOOKUP(CF_Gen_3[[#This Row],[ICG]],ICG[ICG],ICG[Cohort])</f>
        <v>2025</v>
      </c>
      <c r="C94" t="str">
        <f>_xlfn.XLOOKUP(CF_Gen_3[[#This Row],[ICG]],ICG[ICG],ICG[Portfolio])</f>
        <v>IC-Property</v>
      </c>
      <c r="D94" t="str">
        <f>_xlfn.XLOOKUP(CF_Gen_3[[#This Row],[ICG]],ICG[ICG],ICG[Contract])</f>
        <v>IC</v>
      </c>
      <c r="E94" s="2">
        <f t="shared" si="2"/>
        <v>45930</v>
      </c>
      <c r="F94">
        <v>93</v>
      </c>
      <c r="G94" s="2">
        <f>EOMONTH(DATE(YEAR(CF_Gen_3[[#This Row],[Valuation]])-1,12,31),CF_Gen_3[[#This Row],['#Incurred]]*3)</f>
        <v>54148</v>
      </c>
      <c r="H94" s="14">
        <f>SUMIFS(Expected_CF[Expected_Premium],Expected_CF[ICG],CF_Gen_3[[#This Row],[ICG]],Expected_CF[Incurred],CF_Gen_3[[#This Row],[Incurred]])</f>
        <v>0</v>
      </c>
      <c r="I94" s="14">
        <f>SUMIFS(Expected_CF[Expected_Commission],Expected_CF[ICG],CF_Gen_3[[#This Row],[ICG]],Expected_CF[Incurred],CF_Gen_3[[#This Row],[Incurred]])</f>
        <v>0</v>
      </c>
      <c r="J94" s="14">
        <f>IF(CF_Gen_3[[#This Row],[Contract]]="IC",SUMIFS(Expected_CF[Expected_Acquisition],Expected_CF[ICG],CF_Gen_3[[#This Row],[ICG]],Expected_CF[Incurred],CF_Gen_3[[#This Row],[Incurred]]),0)</f>
        <v>0</v>
      </c>
      <c r="K94" s="14">
        <f>SUMIFS(Earned[Earned_Premium],Earned[ICG],CF_Gen_3[[#This Row],[ICG]],Earned[Incurred],CF_Gen_3[[#This Row],[Incurred]])</f>
        <v>67801016.42692332</v>
      </c>
      <c r="L94" s="14">
        <f>SUMIFS(Earned[Earned_Commission],Earned[ICG],CF_Gen_3[[#This Row],[ICG]],Earned[Incurred],CF_Gen_3[[#This Row],[Incurred]])</f>
        <v>-9799870.4748084508</v>
      </c>
      <c r="M94" s="18">
        <f>_xlfn.XLOOKUP(CF_Gen_3[[#This Row],[ICG]],Assumptions[ICG],Assumptions[Loss_Ratio])</f>
        <v>0.4</v>
      </c>
      <c r="N94" s="18">
        <f>_xlfn.XLOOKUP(CF_Gen_3[[#This Row],[ICG]],Assumptions[ICG],Assumptions[Risk_Adjustment_Ratio])</f>
        <v>0.14000000000000001</v>
      </c>
      <c r="O94" s="18">
        <f>_xlfn.XLOOKUP(CF_Gen_3[[#This Row],[ICG]],Assumptions[ICG],Assumptions[PME_Ratio])</f>
        <v>4.4999999999999998E-2</v>
      </c>
      <c r="P94" s="18">
        <f>_xlfn.XLOOKUP(CF_Gen_3[[#This Row],[ICG]],Assumptions[ICG],Assumptions[ULAE_Ratio])</f>
        <v>0.11</v>
      </c>
      <c r="Q94" s="18">
        <f>_xlfn.XLOOKUP(CF_Gen_3[[#This Row],[ICG]],Assumptions[ICG],Assumptions[Cancellation_Ratio])</f>
        <v>7.0000000000000007E-2</v>
      </c>
      <c r="R94" s="18">
        <f>_xlfn.XLOOKUP(CF_Gen_3[[#This Row],[ICG]],Assumptions[ICG],Assumptions[Premium_Refund_Ratio])</f>
        <v>0.5</v>
      </c>
      <c r="S94" s="18">
        <f>IF(CF_Gen_3[[#This Row],[Contract]]="RC",_xlfn.XLOOKUP(CF_Gen_3[[#This Row],[ICG]],Assumptions[ICG],Assumptions[NPR_Ratio]),0)</f>
        <v>0</v>
      </c>
      <c r="T94" s="17">
        <f>T93*(1-CF_Gen_3[[#This Row],[Cancellation_Ratio]])</f>
        <v>1.2601761820058466E-3</v>
      </c>
      <c r="U94" s="19">
        <f>IF(CF_Gen_3[[#This Row],[Incurred]]&lt;=CF_Gen_3[[#This Row],[Valuation]],CF_Gen_3[[#This Row],[Expected_Premium]],-CF_Gen_3[[#This Row],[Probability_of_Inforce]]*CF_Gen_3[[#This Row],[Premium_Refund_Ratio]]*CF_Gen_3[[#This Row],[Cancellation_Ratio]]*SUM(K94:K$105))</f>
        <v>-4485.6643658922858</v>
      </c>
      <c r="V9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Row],[Cancellation_Ratio]]*SUM(L94:L$105))</f>
        <v>648.35207635253676</v>
      </c>
      <c r="W94" s="19">
        <f>CF_Gen_3[[#This Row],[Expected_Acquisition]]</f>
        <v>0</v>
      </c>
      <c r="X94" s="19">
        <f>-CF_Gen_3[[#This Row],[Probability_of_Inforce]]*CF_Gen_3[[#This Row],[Earned_Premium]]*(1-CF_Gen_3[[#This Row],[Cancellation_Ratio]])*CF_Gen_3[[#This Row],[PME_Ratio]]+CF_Gen_3[[#This Row],[ULAE_Ratio]]*CF_Gen_3[[#This Row],[Exp_Claim]]</f>
        <v>-7071.9702774267516</v>
      </c>
      <c r="Y94" s="19">
        <f>-CF_Gen_3[[#This Row],[Probability_of_Inforce]]*CF_Gen_3[[#This Row],[Earned_Premium]]*(1-CF_Gen_3[[#This Row],[Cancellation_Ratio]])*CF_Gen_3[[#This Row],[Loss_Ratio]]</f>
        <v>-31784.136078322481</v>
      </c>
      <c r="Z94" s="19">
        <f>CF_Gen_3[[#This Row],[Exp_Claim]]*CF_Gen_3[[#This Row],[Risk_Adjustment_Ratio]]</f>
        <v>-4449.7790509651477</v>
      </c>
      <c r="AA94" s="19">
        <f>IF(CF_Gen_3[[#This Row],[Contract]]="RC",-CF_Gen_3[[#This Row],[NPR_Ratio]]*CF_Gen_3[[#This Row],[Exp_Claim]],0)</f>
        <v>0</v>
      </c>
      <c r="AB94" s="19">
        <f>SUMIFS(Actual_CF[Actual_Premium],Actual_CF[ICG],CF_Gen_3[[#This Row],[ICG]],Actual_CF[Incurred],CF_Gen_3[[#This Row],[Incurred]])</f>
        <v>0</v>
      </c>
      <c r="AC94" s="19">
        <f>SUMIFS(Actual_CF[Actual_Commission],Actual_CF[ICG],CF_Gen_3[[#This Row],[ICG]],Actual_CF[Incurred],CF_Gen_3[[#This Row],[Incurred]])</f>
        <v>0</v>
      </c>
      <c r="AD94" s="19">
        <f>SUMIFS(Actual_CF[Actual_Acquisition],Actual_CF[ICG],CF_Gen_3[[#This Row],[ICG]],Actual_CF[Incurred],CF_Gen_3[[#This Row],[Incurred]])</f>
        <v>0</v>
      </c>
    </row>
    <row r="95" spans="1:30">
      <c r="A95" t="str">
        <f t="shared" si="3"/>
        <v>#2025#IC-Property</v>
      </c>
      <c r="B95">
        <f>_xlfn.XLOOKUP(CF_Gen_3[[#This Row],[ICG]],ICG[ICG],ICG[Cohort])</f>
        <v>2025</v>
      </c>
      <c r="C95" t="str">
        <f>_xlfn.XLOOKUP(CF_Gen_3[[#This Row],[ICG]],ICG[ICG],ICG[Portfolio])</f>
        <v>IC-Property</v>
      </c>
      <c r="D95" t="str">
        <f>_xlfn.XLOOKUP(CF_Gen_3[[#This Row],[ICG]],ICG[ICG],ICG[Contract])</f>
        <v>IC</v>
      </c>
      <c r="E95" s="2">
        <f t="shared" si="2"/>
        <v>45930</v>
      </c>
      <c r="F95">
        <v>94</v>
      </c>
      <c r="G95" s="2">
        <f>EOMONTH(DATE(YEAR(CF_Gen_3[[#This Row],[Valuation]])-1,12,31),CF_Gen_3[[#This Row],['#Incurred]]*3)</f>
        <v>54239</v>
      </c>
      <c r="H95" s="14">
        <f>SUMIFS(Expected_CF[Expected_Premium],Expected_CF[ICG],CF_Gen_3[[#This Row],[ICG]],Expected_CF[Incurred],CF_Gen_3[[#This Row],[Incurred]])</f>
        <v>0</v>
      </c>
      <c r="I95" s="14">
        <f>SUMIFS(Expected_CF[Expected_Commission],Expected_CF[ICG],CF_Gen_3[[#This Row],[ICG]],Expected_CF[Incurred],CF_Gen_3[[#This Row],[Incurred]])</f>
        <v>0</v>
      </c>
      <c r="J95" s="14">
        <f>IF(CF_Gen_3[[#This Row],[Contract]]="IC",SUMIFS(Expected_CF[Expected_Acquisition],Expected_CF[ICG],CF_Gen_3[[#This Row],[ICG]],Expected_CF[Incurred],CF_Gen_3[[#This Row],[Incurred]]),0)</f>
        <v>0</v>
      </c>
      <c r="K95" s="14">
        <f>SUMIFS(Earned[Earned_Premium],Earned[ICG],CF_Gen_3[[#This Row],[ICG]],Earned[Incurred],CF_Gen_3[[#This Row],[Incurred]])</f>
        <v>33900508.21346166</v>
      </c>
      <c r="L95" s="14">
        <f>SUMIFS(Earned[Earned_Commission],Earned[ICG],CF_Gen_3[[#This Row],[ICG]],Earned[Incurred],CF_Gen_3[[#This Row],[Incurred]])</f>
        <v>-4899935.2374042254</v>
      </c>
      <c r="M95" s="18">
        <f>_xlfn.XLOOKUP(CF_Gen_3[[#This Row],[ICG]],Assumptions[ICG],Assumptions[Loss_Ratio])</f>
        <v>0.4</v>
      </c>
      <c r="N95" s="18">
        <f>_xlfn.XLOOKUP(CF_Gen_3[[#This Row],[ICG]],Assumptions[ICG],Assumptions[Risk_Adjustment_Ratio])</f>
        <v>0.14000000000000001</v>
      </c>
      <c r="O95" s="18">
        <f>_xlfn.XLOOKUP(CF_Gen_3[[#This Row],[ICG]],Assumptions[ICG],Assumptions[PME_Ratio])</f>
        <v>4.4999999999999998E-2</v>
      </c>
      <c r="P95" s="18">
        <f>_xlfn.XLOOKUP(CF_Gen_3[[#This Row],[ICG]],Assumptions[ICG],Assumptions[ULAE_Ratio])</f>
        <v>0.11</v>
      </c>
      <c r="Q95" s="18">
        <f>_xlfn.XLOOKUP(CF_Gen_3[[#This Row],[ICG]],Assumptions[ICG],Assumptions[Cancellation_Ratio])</f>
        <v>7.0000000000000007E-2</v>
      </c>
      <c r="R95" s="18">
        <f>_xlfn.XLOOKUP(CF_Gen_3[[#This Row],[ICG]],Assumptions[ICG],Assumptions[Premium_Refund_Ratio])</f>
        <v>0.5</v>
      </c>
      <c r="S95" s="18">
        <f>IF(CF_Gen_3[[#This Row],[Contract]]="RC",_xlfn.XLOOKUP(CF_Gen_3[[#This Row],[ICG]],Assumptions[ICG],Assumptions[NPR_Ratio]),0)</f>
        <v>0</v>
      </c>
      <c r="T95" s="17">
        <f>T94*(1-CF_Gen_3[[#This Row],[Cancellation_Ratio]])</f>
        <v>1.1719638492654373E-3</v>
      </c>
      <c r="U95" s="19">
        <f>IF(CF_Gen_3[[#This Row],[Incurred]]&lt;=CF_Gen_3[[#This Row],[Valuation]],CF_Gen_3[[#This Row],[Expected_Premium]],-CF_Gen_3[[#This Row],[Probability_of_Inforce]]*CF_Gen_3[[#This Row],[Premium_Refund_Ratio]]*CF_Gen_3[[#This Row],[Cancellation_Ratio]]*SUM(K95:K$105))</f>
        <v>-1390.5559534266088</v>
      </c>
      <c r="V9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Row],[Cancellation_Ratio]]*SUM(L95:L$105))</f>
        <v>200.98914366928639</v>
      </c>
      <c r="W95" s="19">
        <f>CF_Gen_3[[#This Row],[Expected_Acquisition]]</f>
        <v>0</v>
      </c>
      <c r="X95" s="19">
        <f>-CF_Gen_3[[#This Row],[Probability_of_Inforce]]*CF_Gen_3[[#This Row],[Earned_Premium]]*(1-CF_Gen_3[[#This Row],[Cancellation_Ratio]])*CF_Gen_3[[#This Row],[PME_Ratio]]+CF_Gen_3[[#This Row],[ULAE_Ratio]]*CF_Gen_3[[#This Row],[Exp_Claim]]</f>
        <v>-3288.4661790034393</v>
      </c>
      <c r="Y95" s="19">
        <f>-CF_Gen_3[[#This Row],[Probability_of_Inforce]]*CF_Gen_3[[#This Row],[Earned_Premium]]*(1-CF_Gen_3[[#This Row],[Cancellation_Ratio]])*CF_Gen_3[[#This Row],[Loss_Ratio]]</f>
        <v>-14779.623276419952</v>
      </c>
      <c r="Z95" s="19">
        <f>CF_Gen_3[[#This Row],[Exp_Claim]]*CF_Gen_3[[#This Row],[Risk_Adjustment_Ratio]]</f>
        <v>-2069.1472586987934</v>
      </c>
      <c r="AA95" s="19">
        <f>IF(CF_Gen_3[[#This Row],[Contract]]="RC",-CF_Gen_3[[#This Row],[NPR_Ratio]]*CF_Gen_3[[#This Row],[Exp_Claim]],0)</f>
        <v>0</v>
      </c>
      <c r="AB95" s="19">
        <f>SUMIFS(Actual_CF[Actual_Premium],Actual_CF[ICG],CF_Gen_3[[#This Row],[ICG]],Actual_CF[Incurred],CF_Gen_3[[#This Row],[Incurred]])</f>
        <v>0</v>
      </c>
      <c r="AC95" s="19">
        <f>SUMIFS(Actual_CF[Actual_Commission],Actual_CF[ICG],CF_Gen_3[[#This Row],[ICG]],Actual_CF[Incurred],CF_Gen_3[[#This Row],[Incurred]])</f>
        <v>0</v>
      </c>
      <c r="AD95" s="19">
        <f>SUMIFS(Actual_CF[Actual_Acquisition],Actual_CF[ICG],CF_Gen_3[[#This Row],[ICG]],Actual_CF[Incurred],CF_Gen_3[[#This Row],[Incurred]])</f>
        <v>0</v>
      </c>
    </row>
    <row r="96" spans="1:30">
      <c r="A96" t="str">
        <f t="shared" si="3"/>
        <v>#2025#IC-Property</v>
      </c>
      <c r="B96">
        <f>_xlfn.XLOOKUP(CF_Gen_3[[#This Row],[ICG]],ICG[ICG],ICG[Cohort])</f>
        <v>2025</v>
      </c>
      <c r="C96" t="str">
        <f>_xlfn.XLOOKUP(CF_Gen_3[[#This Row],[ICG]],ICG[ICG],ICG[Portfolio])</f>
        <v>IC-Property</v>
      </c>
      <c r="D96" t="str">
        <f>_xlfn.XLOOKUP(CF_Gen_3[[#This Row],[ICG]],ICG[ICG],ICG[Contract])</f>
        <v>IC</v>
      </c>
      <c r="E96" s="2">
        <f t="shared" si="2"/>
        <v>45930</v>
      </c>
      <c r="F96">
        <v>95</v>
      </c>
      <c r="G96" s="2">
        <f>EOMONTH(DATE(YEAR(CF_Gen_3[[#This Row],[Valuation]])-1,12,31),CF_Gen_3[[#This Row],['#Incurred]]*3)</f>
        <v>54331</v>
      </c>
      <c r="H96" s="14">
        <f>SUMIFS(Expected_CF[Expected_Premium],Expected_CF[ICG],CF_Gen_3[[#This Row],[ICG]],Expected_CF[Incurred],CF_Gen_3[[#This Row],[Incurred]])</f>
        <v>0</v>
      </c>
      <c r="I96" s="14">
        <f>SUMIFS(Expected_CF[Expected_Commission],Expected_CF[ICG],CF_Gen_3[[#This Row],[ICG]],Expected_CF[Incurred],CF_Gen_3[[#This Row],[Incurred]])</f>
        <v>0</v>
      </c>
      <c r="J96" s="14">
        <f>IF(CF_Gen_3[[#This Row],[Contract]]="IC",SUMIFS(Expected_CF[Expected_Acquisition],Expected_CF[ICG],CF_Gen_3[[#This Row],[ICG]],Expected_CF[Incurred],CF_Gen_3[[#This Row],[Incurred]]),0)</f>
        <v>0</v>
      </c>
      <c r="K96" s="14">
        <f>SUMIFS(Earned[Earned_Premium],Earned[ICG],CF_Gen_3[[#This Row],[ICG]],Earned[Incurred],CF_Gen_3[[#This Row],[Incurred]])</f>
        <v>0</v>
      </c>
      <c r="L96" s="14">
        <f>SUMIFS(Earned[Earned_Commission],Earned[ICG],CF_Gen_3[[#This Row],[ICG]],Earned[Incurred],CF_Gen_3[[#This Row],[Incurred]])</f>
        <v>0</v>
      </c>
      <c r="M96" s="18">
        <f>_xlfn.XLOOKUP(CF_Gen_3[[#This Row],[ICG]],Assumptions[ICG],Assumptions[Loss_Ratio])</f>
        <v>0.4</v>
      </c>
      <c r="N96" s="18">
        <f>_xlfn.XLOOKUP(CF_Gen_3[[#This Row],[ICG]],Assumptions[ICG],Assumptions[Risk_Adjustment_Ratio])</f>
        <v>0.14000000000000001</v>
      </c>
      <c r="O96" s="18">
        <f>_xlfn.XLOOKUP(CF_Gen_3[[#This Row],[ICG]],Assumptions[ICG],Assumptions[PME_Ratio])</f>
        <v>4.4999999999999998E-2</v>
      </c>
      <c r="P96" s="18">
        <f>_xlfn.XLOOKUP(CF_Gen_3[[#This Row],[ICG]],Assumptions[ICG],Assumptions[ULAE_Ratio])</f>
        <v>0.11</v>
      </c>
      <c r="Q96" s="18">
        <f>_xlfn.XLOOKUP(CF_Gen_3[[#This Row],[ICG]],Assumptions[ICG],Assumptions[Cancellation_Ratio])</f>
        <v>7.0000000000000007E-2</v>
      </c>
      <c r="R96" s="18">
        <f>_xlfn.XLOOKUP(CF_Gen_3[[#This Row],[ICG]],Assumptions[ICG],Assumptions[Premium_Refund_Ratio])</f>
        <v>0.5</v>
      </c>
      <c r="S96" s="18">
        <f>IF(CF_Gen_3[[#This Row],[Contract]]="RC",_xlfn.XLOOKUP(CF_Gen_3[[#This Row],[ICG]],Assumptions[ICG],Assumptions[NPR_Ratio]),0)</f>
        <v>0</v>
      </c>
      <c r="T96" s="17">
        <f>T95*(1-CF_Gen_3[[#This Row],[Cancellation_Ratio]])</f>
        <v>1.0899263798168565E-3</v>
      </c>
      <c r="U96" s="19">
        <f>IF(CF_Gen_3[[#This Row],[Incurred]]&lt;=CF_Gen_3[[#This Row],[Valuation]],CF_Gen_3[[#This Row],[Expected_Premium]],-CF_Gen_3[[#This Row],[Probability_of_Inforce]]*CF_Gen_3[[#This Row],[Premium_Refund_Ratio]]*CF_Gen_3[[#This Row],[Cancellation_Ratio]]*SUM(K96:K$105))</f>
        <v>0</v>
      </c>
      <c r="V96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Row],[Cancellation_Ratio]]*SUM(L96:L$105))</f>
        <v>0</v>
      </c>
      <c r="W96" s="19">
        <f>CF_Gen_3[[#This Row],[Expected_Acquisition]]</f>
        <v>0</v>
      </c>
      <c r="X96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96" s="19">
        <f>-CF_Gen_3[[#This Row],[Probability_of_Inforce]]*CF_Gen_3[[#This Row],[Earned_Premium]]*(1-CF_Gen_3[[#This Row],[Cancellation_Ratio]])*CF_Gen_3[[#This Row],[Loss_Ratio]]</f>
        <v>0</v>
      </c>
      <c r="Z96" s="19">
        <f>CF_Gen_3[[#This Row],[Exp_Claim]]*CF_Gen_3[[#This Row],[Risk_Adjustment_Ratio]]</f>
        <v>0</v>
      </c>
      <c r="AA96" s="19">
        <f>IF(CF_Gen_3[[#This Row],[Contract]]="RC",-CF_Gen_3[[#This Row],[NPR_Ratio]]*CF_Gen_3[[#This Row],[Exp_Claim]],0)</f>
        <v>0</v>
      </c>
      <c r="AB96" s="19">
        <f>SUMIFS(Actual_CF[Actual_Premium],Actual_CF[ICG],CF_Gen_3[[#This Row],[ICG]],Actual_CF[Incurred],CF_Gen_3[[#This Row],[Incurred]])</f>
        <v>0</v>
      </c>
      <c r="AC96" s="19">
        <f>SUMIFS(Actual_CF[Actual_Commission],Actual_CF[ICG],CF_Gen_3[[#This Row],[ICG]],Actual_CF[Incurred],CF_Gen_3[[#This Row],[Incurred]])</f>
        <v>0</v>
      </c>
      <c r="AD96" s="19">
        <f>SUMIFS(Actual_CF[Actual_Acquisition],Actual_CF[ICG],CF_Gen_3[[#This Row],[ICG]],Actual_CF[Incurred],CF_Gen_3[[#This Row],[Incurred]])</f>
        <v>0</v>
      </c>
    </row>
    <row r="97" spans="1:30">
      <c r="A97" t="str">
        <f t="shared" si="3"/>
        <v>#2025#IC-Property</v>
      </c>
      <c r="B97">
        <f>_xlfn.XLOOKUP(CF_Gen_3[[#This Row],[ICG]],ICG[ICG],ICG[Cohort])</f>
        <v>2025</v>
      </c>
      <c r="C97" t="str">
        <f>_xlfn.XLOOKUP(CF_Gen_3[[#This Row],[ICG]],ICG[ICG],ICG[Portfolio])</f>
        <v>IC-Property</v>
      </c>
      <c r="D97" t="str">
        <f>_xlfn.XLOOKUP(CF_Gen_3[[#This Row],[ICG]],ICG[ICG],ICG[Contract])</f>
        <v>IC</v>
      </c>
      <c r="E97" s="2">
        <f t="shared" si="2"/>
        <v>45930</v>
      </c>
      <c r="F97">
        <v>96</v>
      </c>
      <c r="G97" s="2">
        <f>EOMONTH(DATE(YEAR(CF_Gen_3[[#This Row],[Valuation]])-1,12,31),CF_Gen_3[[#This Row],['#Incurred]]*3)</f>
        <v>54423</v>
      </c>
      <c r="H97" s="14">
        <f>SUMIFS(Expected_CF[Expected_Premium],Expected_CF[ICG],CF_Gen_3[[#This Row],[ICG]],Expected_CF[Incurred],CF_Gen_3[[#This Row],[Incurred]])</f>
        <v>0</v>
      </c>
      <c r="I97" s="14">
        <f>SUMIFS(Expected_CF[Expected_Commission],Expected_CF[ICG],CF_Gen_3[[#This Row],[ICG]],Expected_CF[Incurred],CF_Gen_3[[#This Row],[Incurred]])</f>
        <v>0</v>
      </c>
      <c r="J97" s="14">
        <f>IF(CF_Gen_3[[#This Row],[Contract]]="IC",SUMIFS(Expected_CF[Expected_Acquisition],Expected_CF[ICG],CF_Gen_3[[#This Row],[ICG]],Expected_CF[Incurred],CF_Gen_3[[#This Row],[Incurred]]),0)</f>
        <v>0</v>
      </c>
      <c r="K97" s="14">
        <f>SUMIFS(Earned[Earned_Premium],Earned[ICG],CF_Gen_3[[#This Row],[ICG]],Earned[Incurred],CF_Gen_3[[#This Row],[Incurred]])</f>
        <v>0</v>
      </c>
      <c r="L97" s="14">
        <f>SUMIFS(Earned[Earned_Commission],Earned[ICG],CF_Gen_3[[#This Row],[ICG]],Earned[Incurred],CF_Gen_3[[#This Row],[Incurred]])</f>
        <v>0</v>
      </c>
      <c r="M97" s="18">
        <f>_xlfn.XLOOKUP(CF_Gen_3[[#This Row],[ICG]],Assumptions[ICG],Assumptions[Loss_Ratio])</f>
        <v>0.4</v>
      </c>
      <c r="N97" s="18">
        <f>_xlfn.XLOOKUP(CF_Gen_3[[#This Row],[ICG]],Assumptions[ICG],Assumptions[Risk_Adjustment_Ratio])</f>
        <v>0.14000000000000001</v>
      </c>
      <c r="O97" s="18">
        <f>_xlfn.XLOOKUP(CF_Gen_3[[#This Row],[ICG]],Assumptions[ICG],Assumptions[PME_Ratio])</f>
        <v>4.4999999999999998E-2</v>
      </c>
      <c r="P97" s="18">
        <f>_xlfn.XLOOKUP(CF_Gen_3[[#This Row],[ICG]],Assumptions[ICG],Assumptions[ULAE_Ratio])</f>
        <v>0.11</v>
      </c>
      <c r="Q97" s="18">
        <f>_xlfn.XLOOKUP(CF_Gen_3[[#This Row],[ICG]],Assumptions[ICG],Assumptions[Cancellation_Ratio])</f>
        <v>7.0000000000000007E-2</v>
      </c>
      <c r="R97" s="18">
        <f>_xlfn.XLOOKUP(CF_Gen_3[[#This Row],[ICG]],Assumptions[ICG],Assumptions[Premium_Refund_Ratio])</f>
        <v>0.5</v>
      </c>
      <c r="S97" s="18">
        <f>IF(CF_Gen_3[[#This Row],[Contract]]="RC",_xlfn.XLOOKUP(CF_Gen_3[[#This Row],[ICG]],Assumptions[ICG],Assumptions[NPR_Ratio]),0)</f>
        <v>0</v>
      </c>
      <c r="T97" s="17">
        <f>T96*(1-CF_Gen_3[[#This Row],[Cancellation_Ratio]])</f>
        <v>1.0136315332296764E-3</v>
      </c>
      <c r="U97" s="19">
        <f>IF(CF_Gen_3[[#This Row],[Incurred]]&lt;=CF_Gen_3[[#This Row],[Valuation]],CF_Gen_3[[#This Row],[Expected_Premium]],-CF_Gen_3[[#This Row],[Probability_of_Inforce]]*CF_Gen_3[[#This Row],[Premium_Refund_Ratio]]*CF_Gen_3[[#This Row],[Cancellation_Ratio]]*SUM(K97:K$105))</f>
        <v>0</v>
      </c>
      <c r="V97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Row],[Cancellation_Ratio]]*SUM(L97:L$105))</f>
        <v>0</v>
      </c>
      <c r="W97" s="19">
        <f>CF_Gen_3[[#This Row],[Expected_Acquisition]]</f>
        <v>0</v>
      </c>
      <c r="X97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97" s="19">
        <f>-CF_Gen_3[[#This Row],[Probability_of_Inforce]]*CF_Gen_3[[#This Row],[Earned_Premium]]*(1-CF_Gen_3[[#This Row],[Cancellation_Ratio]])*CF_Gen_3[[#This Row],[Loss_Ratio]]</f>
        <v>0</v>
      </c>
      <c r="Z97" s="19">
        <f>CF_Gen_3[[#This Row],[Exp_Claim]]*CF_Gen_3[[#This Row],[Risk_Adjustment_Ratio]]</f>
        <v>0</v>
      </c>
      <c r="AA97" s="19">
        <f>IF(CF_Gen_3[[#This Row],[Contract]]="RC",-CF_Gen_3[[#This Row],[NPR_Ratio]]*CF_Gen_3[[#This Row],[Exp_Claim]],0)</f>
        <v>0</v>
      </c>
      <c r="AB97" s="19">
        <f>SUMIFS(Actual_CF[Actual_Premium],Actual_CF[ICG],CF_Gen_3[[#This Row],[ICG]],Actual_CF[Incurred],CF_Gen_3[[#This Row],[Incurred]])</f>
        <v>0</v>
      </c>
      <c r="AC97" s="19">
        <f>SUMIFS(Actual_CF[Actual_Commission],Actual_CF[ICG],CF_Gen_3[[#This Row],[ICG]],Actual_CF[Incurred],CF_Gen_3[[#This Row],[Incurred]])</f>
        <v>0</v>
      </c>
      <c r="AD97" s="19">
        <f>SUMIFS(Actual_CF[Actual_Acquisition],Actual_CF[ICG],CF_Gen_3[[#This Row],[ICG]],Actual_CF[Incurred],CF_Gen_3[[#This Row],[Incurred]])</f>
        <v>0</v>
      </c>
    </row>
    <row r="98" spans="1:30">
      <c r="A98" t="str">
        <f t="shared" si="3"/>
        <v>#2025#IC-Property</v>
      </c>
      <c r="B98">
        <f>_xlfn.XLOOKUP(CF_Gen_3[[#This Row],[ICG]],ICG[ICG],ICG[Cohort])</f>
        <v>2025</v>
      </c>
      <c r="C98" t="str">
        <f>_xlfn.XLOOKUP(CF_Gen_3[[#This Row],[ICG]],ICG[ICG],ICG[Portfolio])</f>
        <v>IC-Property</v>
      </c>
      <c r="D98" t="str">
        <f>_xlfn.XLOOKUP(CF_Gen_3[[#This Row],[ICG]],ICG[ICG],ICG[Contract])</f>
        <v>IC</v>
      </c>
      <c r="E98" s="2">
        <f t="shared" si="2"/>
        <v>45930</v>
      </c>
      <c r="F98">
        <v>97</v>
      </c>
      <c r="G98" s="2">
        <f>EOMONTH(DATE(YEAR(CF_Gen_3[[#This Row],[Valuation]])-1,12,31),CF_Gen_3[[#This Row],['#Incurred]]*3)</f>
        <v>54513</v>
      </c>
      <c r="H98" s="14">
        <f>SUMIFS(Expected_CF[Expected_Premium],Expected_CF[ICG],CF_Gen_3[[#This Row],[ICG]],Expected_CF[Incurred],CF_Gen_3[[#This Row],[Incurred]])</f>
        <v>0</v>
      </c>
      <c r="I98" s="14">
        <f>SUMIFS(Expected_CF[Expected_Commission],Expected_CF[ICG],CF_Gen_3[[#This Row],[ICG]],Expected_CF[Incurred],CF_Gen_3[[#This Row],[Incurred]])</f>
        <v>0</v>
      </c>
      <c r="J98" s="14">
        <f>IF(CF_Gen_3[[#This Row],[Contract]]="IC",SUMIFS(Expected_CF[Expected_Acquisition],Expected_CF[ICG],CF_Gen_3[[#This Row],[ICG]],Expected_CF[Incurred],CF_Gen_3[[#This Row],[Incurred]]),0)</f>
        <v>0</v>
      </c>
      <c r="K98" s="14">
        <f>SUMIFS(Earned[Earned_Premium],Earned[ICG],CF_Gen_3[[#This Row],[ICG]],Earned[Incurred],CF_Gen_3[[#This Row],[Incurred]])</f>
        <v>0</v>
      </c>
      <c r="L98" s="14">
        <f>SUMIFS(Earned[Earned_Commission],Earned[ICG],CF_Gen_3[[#This Row],[ICG]],Earned[Incurred],CF_Gen_3[[#This Row],[Incurred]])</f>
        <v>0</v>
      </c>
      <c r="M98" s="18">
        <f>_xlfn.XLOOKUP(CF_Gen_3[[#This Row],[ICG]],Assumptions[ICG],Assumptions[Loss_Ratio])</f>
        <v>0.4</v>
      </c>
      <c r="N98" s="18">
        <f>_xlfn.XLOOKUP(CF_Gen_3[[#This Row],[ICG]],Assumptions[ICG],Assumptions[Risk_Adjustment_Ratio])</f>
        <v>0.14000000000000001</v>
      </c>
      <c r="O98" s="18">
        <f>_xlfn.XLOOKUP(CF_Gen_3[[#This Row],[ICG]],Assumptions[ICG],Assumptions[PME_Ratio])</f>
        <v>4.4999999999999998E-2</v>
      </c>
      <c r="P98" s="18">
        <f>_xlfn.XLOOKUP(CF_Gen_3[[#This Row],[ICG]],Assumptions[ICG],Assumptions[ULAE_Ratio])</f>
        <v>0.11</v>
      </c>
      <c r="Q98" s="18">
        <f>_xlfn.XLOOKUP(CF_Gen_3[[#This Row],[ICG]],Assumptions[ICG],Assumptions[Cancellation_Ratio])</f>
        <v>7.0000000000000007E-2</v>
      </c>
      <c r="R98" s="18">
        <f>_xlfn.XLOOKUP(CF_Gen_3[[#This Row],[ICG]],Assumptions[ICG],Assumptions[Premium_Refund_Ratio])</f>
        <v>0.5</v>
      </c>
      <c r="S98" s="18">
        <f>IF(CF_Gen_3[[#This Row],[Contract]]="RC",_xlfn.XLOOKUP(CF_Gen_3[[#This Row],[ICG]],Assumptions[ICG],Assumptions[NPR_Ratio]),0)</f>
        <v>0</v>
      </c>
      <c r="T98" s="17">
        <f>T97*(1-CF_Gen_3[[#This Row],[Cancellation_Ratio]])</f>
        <v>9.4267732590359898E-4</v>
      </c>
      <c r="U98" s="19">
        <f>IF(CF_Gen_3[[#This Row],[Incurred]]&lt;=CF_Gen_3[[#This Row],[Valuation]],CF_Gen_3[[#This Row],[Expected_Premium]],-CF_Gen_3[[#This Row],[Probability_of_Inforce]]*CF_Gen_3[[#This Row],[Premium_Refund_Ratio]]*CF_Gen_3[[#This Row],[Cancellation_Ratio]]*SUM(K98:K$105))</f>
        <v>0</v>
      </c>
      <c r="V98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Row],[Cancellation_Ratio]]*SUM(L98:L$105))</f>
        <v>0</v>
      </c>
      <c r="W98" s="19">
        <f>CF_Gen_3[[#This Row],[Expected_Acquisition]]</f>
        <v>0</v>
      </c>
      <c r="X98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98" s="19">
        <f>-CF_Gen_3[[#This Row],[Probability_of_Inforce]]*CF_Gen_3[[#This Row],[Earned_Premium]]*(1-CF_Gen_3[[#This Row],[Cancellation_Ratio]])*CF_Gen_3[[#This Row],[Loss_Ratio]]</f>
        <v>0</v>
      </c>
      <c r="Z98" s="19">
        <f>CF_Gen_3[[#This Row],[Exp_Claim]]*CF_Gen_3[[#This Row],[Risk_Adjustment_Ratio]]</f>
        <v>0</v>
      </c>
      <c r="AA98" s="19">
        <f>IF(CF_Gen_3[[#This Row],[Contract]]="RC",-CF_Gen_3[[#This Row],[NPR_Ratio]]*CF_Gen_3[[#This Row],[Exp_Claim]],0)</f>
        <v>0</v>
      </c>
      <c r="AB98" s="19">
        <f>SUMIFS(Actual_CF[Actual_Premium],Actual_CF[ICG],CF_Gen_3[[#This Row],[ICG]],Actual_CF[Incurred],CF_Gen_3[[#This Row],[Incurred]])</f>
        <v>0</v>
      </c>
      <c r="AC98" s="19">
        <f>SUMIFS(Actual_CF[Actual_Commission],Actual_CF[ICG],CF_Gen_3[[#This Row],[ICG]],Actual_CF[Incurred],CF_Gen_3[[#This Row],[Incurred]])</f>
        <v>0</v>
      </c>
      <c r="AD98" s="19">
        <f>SUMIFS(Actual_CF[Actual_Acquisition],Actual_CF[ICG],CF_Gen_3[[#This Row],[ICG]],Actual_CF[Incurred],CF_Gen_3[[#This Row],[Incurred]])</f>
        <v>0</v>
      </c>
    </row>
    <row r="99" spans="1:30">
      <c r="A99" t="str">
        <f t="shared" si="3"/>
        <v>#2025#IC-Property</v>
      </c>
      <c r="B99">
        <f>_xlfn.XLOOKUP(CF_Gen_3[[#This Row],[ICG]],ICG[ICG],ICG[Cohort])</f>
        <v>2025</v>
      </c>
      <c r="C99" t="str">
        <f>_xlfn.XLOOKUP(CF_Gen_3[[#This Row],[ICG]],ICG[ICG],ICG[Portfolio])</f>
        <v>IC-Property</v>
      </c>
      <c r="D99" t="str">
        <f>_xlfn.XLOOKUP(CF_Gen_3[[#This Row],[ICG]],ICG[ICG],ICG[Contract])</f>
        <v>IC</v>
      </c>
      <c r="E99" s="2">
        <f t="shared" si="2"/>
        <v>45930</v>
      </c>
      <c r="F99">
        <v>98</v>
      </c>
      <c r="G99" s="2">
        <f>EOMONTH(DATE(YEAR(CF_Gen_3[[#This Row],[Valuation]])-1,12,31),CF_Gen_3[[#This Row],['#Incurred]]*3)</f>
        <v>54604</v>
      </c>
      <c r="H99" s="14">
        <f>SUMIFS(Expected_CF[Expected_Premium],Expected_CF[ICG],CF_Gen_3[[#This Row],[ICG]],Expected_CF[Incurred],CF_Gen_3[[#This Row],[Incurred]])</f>
        <v>0</v>
      </c>
      <c r="I99" s="14">
        <f>SUMIFS(Expected_CF[Expected_Commission],Expected_CF[ICG],CF_Gen_3[[#This Row],[ICG]],Expected_CF[Incurred],CF_Gen_3[[#This Row],[Incurred]])</f>
        <v>0</v>
      </c>
      <c r="J99" s="14">
        <f>IF(CF_Gen_3[[#This Row],[Contract]]="IC",SUMIFS(Expected_CF[Expected_Acquisition],Expected_CF[ICG],CF_Gen_3[[#This Row],[ICG]],Expected_CF[Incurred],CF_Gen_3[[#This Row],[Incurred]]),0)</f>
        <v>0</v>
      </c>
      <c r="K99" s="14">
        <f>SUMIFS(Earned[Earned_Premium],Earned[ICG],CF_Gen_3[[#This Row],[ICG]],Earned[Incurred],CF_Gen_3[[#This Row],[Incurred]])</f>
        <v>0</v>
      </c>
      <c r="L99" s="14">
        <f>SUMIFS(Earned[Earned_Commission],Earned[ICG],CF_Gen_3[[#This Row],[ICG]],Earned[Incurred],CF_Gen_3[[#This Row],[Incurred]])</f>
        <v>0</v>
      </c>
      <c r="M99" s="18">
        <f>_xlfn.XLOOKUP(CF_Gen_3[[#This Row],[ICG]],Assumptions[ICG],Assumptions[Loss_Ratio])</f>
        <v>0.4</v>
      </c>
      <c r="N99" s="18">
        <f>_xlfn.XLOOKUP(CF_Gen_3[[#This Row],[ICG]],Assumptions[ICG],Assumptions[Risk_Adjustment_Ratio])</f>
        <v>0.14000000000000001</v>
      </c>
      <c r="O99" s="18">
        <f>_xlfn.XLOOKUP(CF_Gen_3[[#This Row],[ICG]],Assumptions[ICG],Assumptions[PME_Ratio])</f>
        <v>4.4999999999999998E-2</v>
      </c>
      <c r="P99" s="18">
        <f>_xlfn.XLOOKUP(CF_Gen_3[[#This Row],[ICG]],Assumptions[ICG],Assumptions[ULAE_Ratio])</f>
        <v>0.11</v>
      </c>
      <c r="Q99" s="18">
        <f>_xlfn.XLOOKUP(CF_Gen_3[[#This Row],[ICG]],Assumptions[ICG],Assumptions[Cancellation_Ratio])</f>
        <v>7.0000000000000007E-2</v>
      </c>
      <c r="R99" s="18">
        <f>_xlfn.XLOOKUP(CF_Gen_3[[#This Row],[ICG]],Assumptions[ICG],Assumptions[Premium_Refund_Ratio])</f>
        <v>0.5</v>
      </c>
      <c r="S99" s="18">
        <f>IF(CF_Gen_3[[#This Row],[Contract]]="RC",_xlfn.XLOOKUP(CF_Gen_3[[#This Row],[ICG]],Assumptions[ICG],Assumptions[NPR_Ratio]),0)</f>
        <v>0</v>
      </c>
      <c r="T99" s="17">
        <f>T98*(1-CF_Gen_3[[#This Row],[Cancellation_Ratio]])</f>
        <v>8.7668991309034698E-4</v>
      </c>
      <c r="U99" s="19">
        <f>IF(CF_Gen_3[[#This Row],[Incurred]]&lt;=CF_Gen_3[[#This Row],[Valuation]],CF_Gen_3[[#This Row],[Expected_Premium]],-CF_Gen_3[[#This Row],[Probability_of_Inforce]]*CF_Gen_3[[#This Row],[Premium_Refund_Ratio]]*CF_Gen_3[[#This Row],[Cancellation_Ratio]]*SUM(K99:K$105))</f>
        <v>0</v>
      </c>
      <c r="V99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Row],[Cancellation_Ratio]]*SUM(L99:L$105))</f>
        <v>0</v>
      </c>
      <c r="W99" s="19">
        <f>CF_Gen_3[[#This Row],[Expected_Acquisition]]</f>
        <v>0</v>
      </c>
      <c r="X99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99" s="19">
        <f>-CF_Gen_3[[#This Row],[Probability_of_Inforce]]*CF_Gen_3[[#This Row],[Earned_Premium]]*(1-CF_Gen_3[[#This Row],[Cancellation_Ratio]])*CF_Gen_3[[#This Row],[Loss_Ratio]]</f>
        <v>0</v>
      </c>
      <c r="Z99" s="19">
        <f>CF_Gen_3[[#This Row],[Exp_Claim]]*CF_Gen_3[[#This Row],[Risk_Adjustment_Ratio]]</f>
        <v>0</v>
      </c>
      <c r="AA99" s="19">
        <f>IF(CF_Gen_3[[#This Row],[Contract]]="RC",-CF_Gen_3[[#This Row],[NPR_Ratio]]*CF_Gen_3[[#This Row],[Exp_Claim]],0)</f>
        <v>0</v>
      </c>
      <c r="AB99" s="19">
        <f>SUMIFS(Actual_CF[Actual_Premium],Actual_CF[ICG],CF_Gen_3[[#This Row],[ICG]],Actual_CF[Incurred],CF_Gen_3[[#This Row],[Incurred]])</f>
        <v>0</v>
      </c>
      <c r="AC99" s="19">
        <f>SUMIFS(Actual_CF[Actual_Commission],Actual_CF[ICG],CF_Gen_3[[#This Row],[ICG]],Actual_CF[Incurred],CF_Gen_3[[#This Row],[Incurred]])</f>
        <v>0</v>
      </c>
      <c r="AD99" s="19">
        <f>SUMIFS(Actual_CF[Actual_Acquisition],Actual_CF[ICG],CF_Gen_3[[#This Row],[ICG]],Actual_CF[Incurred],CF_Gen_3[[#This Row],[Incurred]])</f>
        <v>0</v>
      </c>
    </row>
    <row r="100" spans="1:30">
      <c r="A100" t="str">
        <f t="shared" si="3"/>
        <v>#2025#IC-Property</v>
      </c>
      <c r="B100">
        <f>_xlfn.XLOOKUP(CF_Gen_3[[#This Row],[ICG]],ICG[ICG],ICG[Cohort])</f>
        <v>2025</v>
      </c>
      <c r="C100" t="str">
        <f>_xlfn.XLOOKUP(CF_Gen_3[[#This Row],[ICG]],ICG[ICG],ICG[Portfolio])</f>
        <v>IC-Property</v>
      </c>
      <c r="D100" t="str">
        <f>_xlfn.XLOOKUP(CF_Gen_3[[#This Row],[ICG]],ICG[ICG],ICG[Contract])</f>
        <v>IC</v>
      </c>
      <c r="E100" s="2">
        <f t="shared" si="2"/>
        <v>45930</v>
      </c>
      <c r="F100">
        <v>99</v>
      </c>
      <c r="G100" s="2">
        <f>EOMONTH(DATE(YEAR(CF_Gen_3[[#This Row],[Valuation]])-1,12,31),CF_Gen_3[[#This Row],['#Incurred]]*3)</f>
        <v>54696</v>
      </c>
      <c r="H100" s="14">
        <f>SUMIFS(Expected_CF[Expected_Premium],Expected_CF[ICG],CF_Gen_3[[#This Row],[ICG]],Expected_CF[Incurred],CF_Gen_3[[#This Row],[Incurred]])</f>
        <v>0</v>
      </c>
      <c r="I100" s="14">
        <f>SUMIFS(Expected_CF[Expected_Commission],Expected_CF[ICG],CF_Gen_3[[#This Row],[ICG]],Expected_CF[Incurred],CF_Gen_3[[#This Row],[Incurred]])</f>
        <v>0</v>
      </c>
      <c r="J100" s="14">
        <f>IF(CF_Gen_3[[#This Row],[Contract]]="IC",SUMIFS(Expected_CF[Expected_Acquisition],Expected_CF[ICG],CF_Gen_3[[#This Row],[ICG]],Expected_CF[Incurred],CF_Gen_3[[#This Row],[Incurred]]),0)</f>
        <v>0</v>
      </c>
      <c r="K100" s="14">
        <f>SUMIFS(Earned[Earned_Premium],Earned[ICG],CF_Gen_3[[#This Row],[ICG]],Earned[Incurred],CF_Gen_3[[#This Row],[Incurred]])</f>
        <v>0</v>
      </c>
      <c r="L100" s="14">
        <f>SUMIFS(Earned[Earned_Commission],Earned[ICG],CF_Gen_3[[#This Row],[ICG]],Earned[Incurred],CF_Gen_3[[#This Row],[Incurred]])</f>
        <v>0</v>
      </c>
      <c r="M100" s="18">
        <f>_xlfn.XLOOKUP(CF_Gen_3[[#This Row],[ICG]],Assumptions[ICG],Assumptions[Loss_Ratio])</f>
        <v>0.4</v>
      </c>
      <c r="N100" s="18">
        <f>_xlfn.XLOOKUP(CF_Gen_3[[#This Row],[ICG]],Assumptions[ICG],Assumptions[Risk_Adjustment_Ratio])</f>
        <v>0.14000000000000001</v>
      </c>
      <c r="O100" s="18">
        <f>_xlfn.XLOOKUP(CF_Gen_3[[#This Row],[ICG]],Assumptions[ICG],Assumptions[PME_Ratio])</f>
        <v>4.4999999999999998E-2</v>
      </c>
      <c r="P100" s="18">
        <f>_xlfn.XLOOKUP(CF_Gen_3[[#This Row],[ICG]],Assumptions[ICG],Assumptions[ULAE_Ratio])</f>
        <v>0.11</v>
      </c>
      <c r="Q100" s="18">
        <f>_xlfn.XLOOKUP(CF_Gen_3[[#This Row],[ICG]],Assumptions[ICG],Assumptions[Cancellation_Ratio])</f>
        <v>7.0000000000000007E-2</v>
      </c>
      <c r="R100" s="18">
        <f>_xlfn.XLOOKUP(CF_Gen_3[[#This Row],[ICG]],Assumptions[ICG],Assumptions[Premium_Refund_Ratio])</f>
        <v>0.5</v>
      </c>
      <c r="S100" s="18">
        <f>IF(CF_Gen_3[[#This Row],[Contract]]="RC",_xlfn.XLOOKUP(CF_Gen_3[[#This Row],[ICG]],Assumptions[ICG],Assumptions[NPR_Ratio]),0)</f>
        <v>0</v>
      </c>
      <c r="T100" s="17">
        <f>T99*(1-CF_Gen_3[[#This Row],[Cancellation_Ratio]])</f>
        <v>8.1532161917402264E-4</v>
      </c>
      <c r="U100" s="19">
        <f>IF(CF_Gen_3[[#This Row],[Incurred]]&lt;=CF_Gen_3[[#This Row],[Valuation]],CF_Gen_3[[#This Row],[Expected_Premium]],-CF_Gen_3[[#This Row],[Probability_of_Inforce]]*CF_Gen_3[[#This Row],[Premium_Refund_Ratio]]*CF_Gen_3[[#This Row],[Cancellation_Ratio]]*SUM(K100:K$105))</f>
        <v>0</v>
      </c>
      <c r="V100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Row],[Cancellation_Ratio]]*SUM(L100:L$105))</f>
        <v>0</v>
      </c>
      <c r="W100" s="19">
        <f>CF_Gen_3[[#This Row],[Expected_Acquisition]]</f>
        <v>0</v>
      </c>
      <c r="X100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100" s="19">
        <f>-CF_Gen_3[[#This Row],[Probability_of_Inforce]]*CF_Gen_3[[#This Row],[Earned_Premium]]*(1-CF_Gen_3[[#This Row],[Cancellation_Ratio]])*CF_Gen_3[[#This Row],[Loss_Ratio]]</f>
        <v>0</v>
      </c>
      <c r="Z100" s="19">
        <f>CF_Gen_3[[#This Row],[Exp_Claim]]*CF_Gen_3[[#This Row],[Risk_Adjustment_Ratio]]</f>
        <v>0</v>
      </c>
      <c r="AA100" s="19">
        <f>IF(CF_Gen_3[[#This Row],[Contract]]="RC",-CF_Gen_3[[#This Row],[NPR_Ratio]]*CF_Gen_3[[#This Row],[Exp_Claim]],0)</f>
        <v>0</v>
      </c>
      <c r="AB100" s="19">
        <f>SUMIFS(Actual_CF[Actual_Premium],Actual_CF[ICG],CF_Gen_3[[#This Row],[ICG]],Actual_CF[Incurred],CF_Gen_3[[#This Row],[Incurred]])</f>
        <v>0</v>
      </c>
      <c r="AC100" s="19">
        <f>SUMIFS(Actual_CF[Actual_Commission],Actual_CF[ICG],CF_Gen_3[[#This Row],[ICG]],Actual_CF[Incurred],CF_Gen_3[[#This Row],[Incurred]])</f>
        <v>0</v>
      </c>
      <c r="AD100" s="19">
        <f>SUMIFS(Actual_CF[Actual_Acquisition],Actual_CF[ICG],CF_Gen_3[[#This Row],[ICG]],Actual_CF[Incurred],CF_Gen_3[[#This Row],[Incurred]])</f>
        <v>0</v>
      </c>
    </row>
    <row r="101" spans="1:30">
      <c r="A101" t="str">
        <f t="shared" si="3"/>
        <v>#2025#IC-Property</v>
      </c>
      <c r="B101">
        <f>_xlfn.XLOOKUP(CF_Gen_3[[#This Row],[ICG]],ICG[ICG],ICG[Cohort])</f>
        <v>2025</v>
      </c>
      <c r="C101" t="str">
        <f>_xlfn.XLOOKUP(CF_Gen_3[[#This Row],[ICG]],ICG[ICG],ICG[Portfolio])</f>
        <v>IC-Property</v>
      </c>
      <c r="D101" t="str">
        <f>_xlfn.XLOOKUP(CF_Gen_3[[#This Row],[ICG]],ICG[ICG],ICG[Contract])</f>
        <v>IC</v>
      </c>
      <c r="E101" s="2">
        <f t="shared" si="2"/>
        <v>45930</v>
      </c>
      <c r="F101">
        <v>100</v>
      </c>
      <c r="G101" s="2">
        <f>EOMONTH(DATE(YEAR(CF_Gen_3[[#This Row],[Valuation]])-1,12,31),CF_Gen_3[[#This Row],['#Incurred]]*3)</f>
        <v>54788</v>
      </c>
      <c r="H101" s="14">
        <f>SUMIFS(Expected_CF[Expected_Premium],Expected_CF[ICG],CF_Gen_3[[#This Row],[ICG]],Expected_CF[Incurred],CF_Gen_3[[#This Row],[Incurred]])</f>
        <v>0</v>
      </c>
      <c r="I101" s="14">
        <f>SUMIFS(Expected_CF[Expected_Commission],Expected_CF[ICG],CF_Gen_3[[#This Row],[ICG]],Expected_CF[Incurred],CF_Gen_3[[#This Row],[Incurred]])</f>
        <v>0</v>
      </c>
      <c r="J101" s="14">
        <f>IF(CF_Gen_3[[#This Row],[Contract]]="IC",SUMIFS(Expected_CF[Expected_Acquisition],Expected_CF[ICG],CF_Gen_3[[#This Row],[ICG]],Expected_CF[Incurred],CF_Gen_3[[#This Row],[Incurred]]),0)</f>
        <v>0</v>
      </c>
      <c r="K101" s="14">
        <f>SUMIFS(Earned[Earned_Premium],Earned[ICG],CF_Gen_3[[#This Row],[ICG]],Earned[Incurred],CF_Gen_3[[#This Row],[Incurred]])</f>
        <v>0</v>
      </c>
      <c r="L101" s="14">
        <f>SUMIFS(Earned[Earned_Commission],Earned[ICG],CF_Gen_3[[#This Row],[ICG]],Earned[Incurred],CF_Gen_3[[#This Row],[Incurred]])</f>
        <v>0</v>
      </c>
      <c r="M101" s="18">
        <f>_xlfn.XLOOKUP(CF_Gen_3[[#This Row],[ICG]],Assumptions[ICG],Assumptions[Loss_Ratio])</f>
        <v>0.4</v>
      </c>
      <c r="N101" s="18">
        <f>_xlfn.XLOOKUP(CF_Gen_3[[#This Row],[ICG]],Assumptions[ICG],Assumptions[Risk_Adjustment_Ratio])</f>
        <v>0.14000000000000001</v>
      </c>
      <c r="O101" s="18">
        <f>_xlfn.XLOOKUP(CF_Gen_3[[#This Row],[ICG]],Assumptions[ICG],Assumptions[PME_Ratio])</f>
        <v>4.4999999999999998E-2</v>
      </c>
      <c r="P101" s="18">
        <f>_xlfn.XLOOKUP(CF_Gen_3[[#This Row],[ICG]],Assumptions[ICG],Assumptions[ULAE_Ratio])</f>
        <v>0.11</v>
      </c>
      <c r="Q101" s="18">
        <f>_xlfn.XLOOKUP(CF_Gen_3[[#This Row],[ICG]],Assumptions[ICG],Assumptions[Cancellation_Ratio])</f>
        <v>7.0000000000000007E-2</v>
      </c>
      <c r="R101" s="18">
        <f>_xlfn.XLOOKUP(CF_Gen_3[[#This Row],[ICG]],Assumptions[ICG],Assumptions[Premium_Refund_Ratio])</f>
        <v>0.5</v>
      </c>
      <c r="S101" s="18">
        <f>IF(CF_Gen_3[[#This Row],[Contract]]="RC",_xlfn.XLOOKUP(CF_Gen_3[[#This Row],[ICG]],Assumptions[ICG],Assumptions[NPR_Ratio]),0)</f>
        <v>0</v>
      </c>
      <c r="T101" s="17">
        <f>T100*(1-CF_Gen_3[[#This Row],[Cancellation_Ratio]])</f>
        <v>7.5824910583184102E-4</v>
      </c>
      <c r="U101" s="19">
        <f>IF(CF_Gen_3[[#This Row],[Incurred]]&lt;=CF_Gen_3[[#This Row],[Valuation]],CF_Gen_3[[#This Row],[Expected_Premium]],-CF_Gen_3[[#This Row],[Probability_of_Inforce]]*CF_Gen_3[[#This Row],[Premium_Refund_Ratio]]*CF_Gen_3[[#This Row],[Cancellation_Ratio]]*SUM(K101:K$105))</f>
        <v>0</v>
      </c>
      <c r="V101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Row],[Cancellation_Ratio]]*SUM(L101:L$105))</f>
        <v>0</v>
      </c>
      <c r="W101" s="19">
        <f>CF_Gen_3[[#This Row],[Expected_Acquisition]]</f>
        <v>0</v>
      </c>
      <c r="X101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101" s="19">
        <f>-CF_Gen_3[[#This Row],[Probability_of_Inforce]]*CF_Gen_3[[#This Row],[Earned_Premium]]*(1-CF_Gen_3[[#This Row],[Cancellation_Ratio]])*CF_Gen_3[[#This Row],[Loss_Ratio]]</f>
        <v>0</v>
      </c>
      <c r="Z101" s="19">
        <f>CF_Gen_3[[#This Row],[Exp_Claim]]*CF_Gen_3[[#This Row],[Risk_Adjustment_Ratio]]</f>
        <v>0</v>
      </c>
      <c r="AA101" s="19">
        <f>IF(CF_Gen_3[[#This Row],[Contract]]="RC",-CF_Gen_3[[#This Row],[NPR_Ratio]]*CF_Gen_3[[#This Row],[Exp_Claim]],0)</f>
        <v>0</v>
      </c>
      <c r="AB101" s="19">
        <f>SUMIFS(Actual_CF[Actual_Premium],Actual_CF[ICG],CF_Gen_3[[#This Row],[ICG]],Actual_CF[Incurred],CF_Gen_3[[#This Row],[Incurred]])</f>
        <v>0</v>
      </c>
      <c r="AC101" s="19">
        <f>SUMIFS(Actual_CF[Actual_Commission],Actual_CF[ICG],CF_Gen_3[[#This Row],[ICG]],Actual_CF[Incurred],CF_Gen_3[[#This Row],[Incurred]])</f>
        <v>0</v>
      </c>
      <c r="AD101" s="19">
        <f>SUMIFS(Actual_CF[Actual_Acquisition],Actual_CF[ICG],CF_Gen_3[[#This Row],[ICG]],Actual_CF[Incurred],CF_Gen_3[[#This Row],[Incurred]])</f>
        <v>0</v>
      </c>
    </row>
    <row r="102" spans="1:30">
      <c r="A102" t="str">
        <f t="shared" si="3"/>
        <v>#2025#IC-Property</v>
      </c>
      <c r="B102">
        <f>_xlfn.XLOOKUP(CF_Gen_3[[#This Row],[ICG]],ICG[ICG],ICG[Cohort])</f>
        <v>2025</v>
      </c>
      <c r="C102" t="str">
        <f>_xlfn.XLOOKUP(CF_Gen_3[[#This Row],[ICG]],ICG[ICG],ICG[Portfolio])</f>
        <v>IC-Property</v>
      </c>
      <c r="D102" t="str">
        <f>_xlfn.XLOOKUP(CF_Gen_3[[#This Row],[ICG]],ICG[ICG],ICG[Contract])</f>
        <v>IC</v>
      </c>
      <c r="E102" s="2">
        <f t="shared" si="2"/>
        <v>45930</v>
      </c>
      <c r="F102">
        <v>101</v>
      </c>
      <c r="G102" s="2">
        <f>EOMONTH(DATE(YEAR(CF_Gen_3[[#This Row],[Valuation]])-1,12,31),CF_Gen_3[[#This Row],['#Incurred]]*3)</f>
        <v>54878</v>
      </c>
      <c r="H102" s="14">
        <f>SUMIFS(Expected_CF[Expected_Premium],Expected_CF[ICG],CF_Gen_3[[#This Row],[ICG]],Expected_CF[Incurred],CF_Gen_3[[#This Row],[Incurred]])</f>
        <v>0</v>
      </c>
      <c r="I102" s="14">
        <f>SUMIFS(Expected_CF[Expected_Commission],Expected_CF[ICG],CF_Gen_3[[#This Row],[ICG]],Expected_CF[Incurred],CF_Gen_3[[#This Row],[Incurred]])</f>
        <v>0</v>
      </c>
      <c r="J102" s="14">
        <f>IF(CF_Gen_3[[#This Row],[Contract]]="IC",SUMIFS(Expected_CF[Expected_Acquisition],Expected_CF[ICG],CF_Gen_3[[#This Row],[ICG]],Expected_CF[Incurred],CF_Gen_3[[#This Row],[Incurred]]),0)</f>
        <v>0</v>
      </c>
      <c r="K102" s="14">
        <f>SUMIFS(Earned[Earned_Premium],Earned[ICG],CF_Gen_3[[#This Row],[ICG]],Earned[Incurred],CF_Gen_3[[#This Row],[Incurred]])</f>
        <v>0</v>
      </c>
      <c r="L102" s="14">
        <f>SUMIFS(Earned[Earned_Commission],Earned[ICG],CF_Gen_3[[#This Row],[ICG]],Earned[Incurred],CF_Gen_3[[#This Row],[Incurred]])</f>
        <v>0</v>
      </c>
      <c r="M102" s="18">
        <f>_xlfn.XLOOKUP(CF_Gen_3[[#This Row],[ICG]],Assumptions[ICG],Assumptions[Loss_Ratio])</f>
        <v>0.4</v>
      </c>
      <c r="N102" s="18">
        <f>_xlfn.XLOOKUP(CF_Gen_3[[#This Row],[ICG]],Assumptions[ICG],Assumptions[Risk_Adjustment_Ratio])</f>
        <v>0.14000000000000001</v>
      </c>
      <c r="O102" s="18">
        <f>_xlfn.XLOOKUP(CF_Gen_3[[#This Row],[ICG]],Assumptions[ICG],Assumptions[PME_Ratio])</f>
        <v>4.4999999999999998E-2</v>
      </c>
      <c r="P102" s="18">
        <f>_xlfn.XLOOKUP(CF_Gen_3[[#This Row],[ICG]],Assumptions[ICG],Assumptions[ULAE_Ratio])</f>
        <v>0.11</v>
      </c>
      <c r="Q102" s="18">
        <f>_xlfn.XLOOKUP(CF_Gen_3[[#This Row],[ICG]],Assumptions[ICG],Assumptions[Cancellation_Ratio])</f>
        <v>7.0000000000000007E-2</v>
      </c>
      <c r="R102" s="18">
        <f>_xlfn.XLOOKUP(CF_Gen_3[[#This Row],[ICG]],Assumptions[ICG],Assumptions[Premium_Refund_Ratio])</f>
        <v>0.5</v>
      </c>
      <c r="S102" s="18">
        <f>IF(CF_Gen_3[[#This Row],[Contract]]="RC",_xlfn.XLOOKUP(CF_Gen_3[[#This Row],[ICG]],Assumptions[ICG],Assumptions[NPR_Ratio]),0)</f>
        <v>0</v>
      </c>
      <c r="T102" s="17">
        <f>T101*(1-CF_Gen_3[[#This Row],[Cancellation_Ratio]])</f>
        <v>7.0517166842361213E-4</v>
      </c>
      <c r="U102" s="19">
        <f>IF(CF_Gen_3[[#This Row],[Incurred]]&lt;=CF_Gen_3[[#This Row],[Valuation]],CF_Gen_3[[#This Row],[Expected_Premium]],-CF_Gen_3[[#This Row],[Probability_of_Inforce]]*CF_Gen_3[[#This Row],[Premium_Refund_Ratio]]*CF_Gen_3[[#This Row],[Cancellation_Ratio]]*SUM(K102:K$105))</f>
        <v>0</v>
      </c>
      <c r="V102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Row],[Cancellation_Ratio]]*SUM(L102:L$105))</f>
        <v>0</v>
      </c>
      <c r="W102" s="19">
        <f>CF_Gen_3[[#This Row],[Expected_Acquisition]]</f>
        <v>0</v>
      </c>
      <c r="X102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102" s="19">
        <f>-CF_Gen_3[[#This Row],[Probability_of_Inforce]]*CF_Gen_3[[#This Row],[Earned_Premium]]*(1-CF_Gen_3[[#This Row],[Cancellation_Ratio]])*CF_Gen_3[[#This Row],[Loss_Ratio]]</f>
        <v>0</v>
      </c>
      <c r="Z102" s="19">
        <f>CF_Gen_3[[#This Row],[Exp_Claim]]*CF_Gen_3[[#This Row],[Risk_Adjustment_Ratio]]</f>
        <v>0</v>
      </c>
      <c r="AA102" s="19">
        <f>IF(CF_Gen_3[[#This Row],[Contract]]="RC",-CF_Gen_3[[#This Row],[NPR_Ratio]]*CF_Gen_3[[#This Row],[Exp_Claim]],0)</f>
        <v>0</v>
      </c>
      <c r="AB102" s="19">
        <f>SUMIFS(Actual_CF[Actual_Premium],Actual_CF[ICG],CF_Gen_3[[#This Row],[ICG]],Actual_CF[Incurred],CF_Gen_3[[#This Row],[Incurred]])</f>
        <v>0</v>
      </c>
      <c r="AC102" s="19">
        <f>SUMIFS(Actual_CF[Actual_Commission],Actual_CF[ICG],CF_Gen_3[[#This Row],[ICG]],Actual_CF[Incurred],CF_Gen_3[[#This Row],[Incurred]])</f>
        <v>0</v>
      </c>
      <c r="AD102" s="19">
        <f>SUMIFS(Actual_CF[Actual_Acquisition],Actual_CF[ICG],CF_Gen_3[[#This Row],[ICG]],Actual_CF[Incurred],CF_Gen_3[[#This Row],[Incurred]])</f>
        <v>0</v>
      </c>
    </row>
    <row r="103" spans="1:30">
      <c r="A103" t="str">
        <f t="shared" si="3"/>
        <v>#2025#IC-Property</v>
      </c>
      <c r="B103">
        <f>_xlfn.XLOOKUP(CF_Gen_3[[#This Row],[ICG]],ICG[ICG],ICG[Cohort])</f>
        <v>2025</v>
      </c>
      <c r="C103" t="str">
        <f>_xlfn.XLOOKUP(CF_Gen_3[[#This Row],[ICG]],ICG[ICG],ICG[Portfolio])</f>
        <v>IC-Property</v>
      </c>
      <c r="D103" t="str">
        <f>_xlfn.XLOOKUP(CF_Gen_3[[#This Row],[ICG]],ICG[ICG],ICG[Contract])</f>
        <v>IC</v>
      </c>
      <c r="E103" s="2">
        <f t="shared" si="2"/>
        <v>45930</v>
      </c>
      <c r="F103">
        <v>102</v>
      </c>
      <c r="G103" s="2">
        <f>EOMONTH(DATE(YEAR(CF_Gen_3[[#This Row],[Valuation]])-1,12,31),CF_Gen_3[[#This Row],['#Incurred]]*3)</f>
        <v>54969</v>
      </c>
      <c r="H103" s="14">
        <f>SUMIFS(Expected_CF[Expected_Premium],Expected_CF[ICG],CF_Gen_3[[#This Row],[ICG]],Expected_CF[Incurred],CF_Gen_3[[#This Row],[Incurred]])</f>
        <v>0</v>
      </c>
      <c r="I103" s="14">
        <f>SUMIFS(Expected_CF[Expected_Commission],Expected_CF[ICG],CF_Gen_3[[#This Row],[ICG]],Expected_CF[Incurred],CF_Gen_3[[#This Row],[Incurred]])</f>
        <v>0</v>
      </c>
      <c r="J103" s="14">
        <f>IF(CF_Gen_3[[#This Row],[Contract]]="IC",SUMIFS(Expected_CF[Expected_Acquisition],Expected_CF[ICG],CF_Gen_3[[#This Row],[ICG]],Expected_CF[Incurred],CF_Gen_3[[#This Row],[Incurred]]),0)</f>
        <v>0</v>
      </c>
      <c r="K103" s="14">
        <f>SUMIFS(Earned[Earned_Premium],Earned[ICG],CF_Gen_3[[#This Row],[ICG]],Earned[Incurred],CF_Gen_3[[#This Row],[Incurred]])</f>
        <v>0</v>
      </c>
      <c r="L103" s="14">
        <f>SUMIFS(Earned[Earned_Commission],Earned[ICG],CF_Gen_3[[#This Row],[ICG]],Earned[Incurred],CF_Gen_3[[#This Row],[Incurred]])</f>
        <v>0</v>
      </c>
      <c r="M103" s="18">
        <f>_xlfn.XLOOKUP(CF_Gen_3[[#This Row],[ICG]],Assumptions[ICG],Assumptions[Loss_Ratio])</f>
        <v>0.4</v>
      </c>
      <c r="N103" s="18">
        <f>_xlfn.XLOOKUP(CF_Gen_3[[#This Row],[ICG]],Assumptions[ICG],Assumptions[Risk_Adjustment_Ratio])</f>
        <v>0.14000000000000001</v>
      </c>
      <c r="O103" s="18">
        <f>_xlfn.XLOOKUP(CF_Gen_3[[#This Row],[ICG]],Assumptions[ICG],Assumptions[PME_Ratio])</f>
        <v>4.4999999999999998E-2</v>
      </c>
      <c r="P103" s="18">
        <f>_xlfn.XLOOKUP(CF_Gen_3[[#This Row],[ICG]],Assumptions[ICG],Assumptions[ULAE_Ratio])</f>
        <v>0.11</v>
      </c>
      <c r="Q103" s="18">
        <f>_xlfn.XLOOKUP(CF_Gen_3[[#This Row],[ICG]],Assumptions[ICG],Assumptions[Cancellation_Ratio])</f>
        <v>7.0000000000000007E-2</v>
      </c>
      <c r="R103" s="18">
        <f>_xlfn.XLOOKUP(CF_Gen_3[[#This Row],[ICG]],Assumptions[ICG],Assumptions[Premium_Refund_Ratio])</f>
        <v>0.5</v>
      </c>
      <c r="S103" s="18">
        <f>IF(CF_Gen_3[[#This Row],[Contract]]="RC",_xlfn.XLOOKUP(CF_Gen_3[[#This Row],[ICG]],Assumptions[ICG],Assumptions[NPR_Ratio]),0)</f>
        <v>0</v>
      </c>
      <c r="T103" s="17">
        <f>T102*(1-CF_Gen_3[[#This Row],[Cancellation_Ratio]])</f>
        <v>6.5580965163395928E-4</v>
      </c>
      <c r="U103" s="19">
        <f>IF(CF_Gen_3[[#This Row],[Incurred]]&lt;=CF_Gen_3[[#This Row],[Valuation]],CF_Gen_3[[#This Row],[Expected_Premium]],-CF_Gen_3[[#This Row],[Probability_of_Inforce]]*CF_Gen_3[[#This Row],[Premium_Refund_Ratio]]*CF_Gen_3[[#This Row],[Cancellation_Ratio]]*SUM(K103:K$105))</f>
        <v>0</v>
      </c>
      <c r="V103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Row],[Cancellation_Ratio]]*SUM(L103:L$105))</f>
        <v>0</v>
      </c>
      <c r="W103" s="19">
        <f>CF_Gen_3[[#This Row],[Expected_Acquisition]]</f>
        <v>0</v>
      </c>
      <c r="X103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103" s="19">
        <f>-CF_Gen_3[[#This Row],[Probability_of_Inforce]]*CF_Gen_3[[#This Row],[Earned_Premium]]*(1-CF_Gen_3[[#This Row],[Cancellation_Ratio]])*CF_Gen_3[[#This Row],[Loss_Ratio]]</f>
        <v>0</v>
      </c>
      <c r="Z103" s="19">
        <f>CF_Gen_3[[#This Row],[Exp_Claim]]*CF_Gen_3[[#This Row],[Risk_Adjustment_Ratio]]</f>
        <v>0</v>
      </c>
      <c r="AA103" s="19">
        <f>IF(CF_Gen_3[[#This Row],[Contract]]="RC",-CF_Gen_3[[#This Row],[NPR_Ratio]]*CF_Gen_3[[#This Row],[Exp_Claim]],0)</f>
        <v>0</v>
      </c>
      <c r="AB103" s="19">
        <f>SUMIFS(Actual_CF[Actual_Premium],Actual_CF[ICG],CF_Gen_3[[#This Row],[ICG]],Actual_CF[Incurred],CF_Gen_3[[#This Row],[Incurred]])</f>
        <v>0</v>
      </c>
      <c r="AC103" s="19">
        <f>SUMIFS(Actual_CF[Actual_Commission],Actual_CF[ICG],CF_Gen_3[[#This Row],[ICG]],Actual_CF[Incurred],CF_Gen_3[[#This Row],[Incurred]])</f>
        <v>0</v>
      </c>
      <c r="AD103" s="19">
        <f>SUMIFS(Actual_CF[Actual_Acquisition],Actual_CF[ICG],CF_Gen_3[[#This Row],[ICG]],Actual_CF[Incurred],CF_Gen_3[[#This Row],[Incurred]])</f>
        <v>0</v>
      </c>
    </row>
    <row r="104" spans="1:30">
      <c r="A104" t="str">
        <f t="shared" si="3"/>
        <v>#2025#IC-Property</v>
      </c>
      <c r="B104">
        <f>_xlfn.XLOOKUP(CF_Gen_3[[#This Row],[ICG]],ICG[ICG],ICG[Cohort])</f>
        <v>2025</v>
      </c>
      <c r="C104" t="str">
        <f>_xlfn.XLOOKUP(CF_Gen_3[[#This Row],[ICG]],ICG[ICG],ICG[Portfolio])</f>
        <v>IC-Property</v>
      </c>
      <c r="D104" t="str">
        <f>_xlfn.XLOOKUP(CF_Gen_3[[#This Row],[ICG]],ICG[ICG],ICG[Contract])</f>
        <v>IC</v>
      </c>
      <c r="E104" s="2">
        <f t="shared" si="2"/>
        <v>45930</v>
      </c>
      <c r="F104">
        <v>103</v>
      </c>
      <c r="G104" s="2">
        <f>EOMONTH(DATE(YEAR(CF_Gen_3[[#This Row],[Valuation]])-1,12,31),CF_Gen_3[[#This Row],['#Incurred]]*3)</f>
        <v>55061</v>
      </c>
      <c r="H104" s="14">
        <f>SUMIFS(Expected_CF[Expected_Premium],Expected_CF[ICG],CF_Gen_3[[#This Row],[ICG]],Expected_CF[Incurred],CF_Gen_3[[#This Row],[Incurred]])</f>
        <v>0</v>
      </c>
      <c r="I104" s="14">
        <f>SUMIFS(Expected_CF[Expected_Commission],Expected_CF[ICG],CF_Gen_3[[#This Row],[ICG]],Expected_CF[Incurred],CF_Gen_3[[#This Row],[Incurred]])</f>
        <v>0</v>
      </c>
      <c r="J104" s="14">
        <f>IF(CF_Gen_3[[#This Row],[Contract]]="IC",SUMIFS(Expected_CF[Expected_Acquisition],Expected_CF[ICG],CF_Gen_3[[#This Row],[ICG]],Expected_CF[Incurred],CF_Gen_3[[#This Row],[Incurred]]),0)</f>
        <v>0</v>
      </c>
      <c r="K104" s="14">
        <f>SUMIFS(Earned[Earned_Premium],Earned[ICG],CF_Gen_3[[#This Row],[ICG]],Earned[Incurred],CF_Gen_3[[#This Row],[Incurred]])</f>
        <v>0</v>
      </c>
      <c r="L104" s="14">
        <f>SUMIFS(Earned[Earned_Commission],Earned[ICG],CF_Gen_3[[#This Row],[ICG]],Earned[Incurred],CF_Gen_3[[#This Row],[Incurred]])</f>
        <v>0</v>
      </c>
      <c r="M104" s="18">
        <f>_xlfn.XLOOKUP(CF_Gen_3[[#This Row],[ICG]],Assumptions[ICG],Assumptions[Loss_Ratio])</f>
        <v>0.4</v>
      </c>
      <c r="N104" s="18">
        <f>_xlfn.XLOOKUP(CF_Gen_3[[#This Row],[ICG]],Assumptions[ICG],Assumptions[Risk_Adjustment_Ratio])</f>
        <v>0.14000000000000001</v>
      </c>
      <c r="O104" s="18">
        <f>_xlfn.XLOOKUP(CF_Gen_3[[#This Row],[ICG]],Assumptions[ICG],Assumptions[PME_Ratio])</f>
        <v>4.4999999999999998E-2</v>
      </c>
      <c r="P104" s="18">
        <f>_xlfn.XLOOKUP(CF_Gen_3[[#This Row],[ICG]],Assumptions[ICG],Assumptions[ULAE_Ratio])</f>
        <v>0.11</v>
      </c>
      <c r="Q104" s="18">
        <f>_xlfn.XLOOKUP(CF_Gen_3[[#This Row],[ICG]],Assumptions[ICG],Assumptions[Cancellation_Ratio])</f>
        <v>7.0000000000000007E-2</v>
      </c>
      <c r="R104" s="18">
        <f>_xlfn.XLOOKUP(CF_Gen_3[[#This Row],[ICG]],Assumptions[ICG],Assumptions[Premium_Refund_Ratio])</f>
        <v>0.5</v>
      </c>
      <c r="S104" s="18">
        <f>IF(CF_Gen_3[[#This Row],[Contract]]="RC",_xlfn.XLOOKUP(CF_Gen_3[[#This Row],[ICG]],Assumptions[ICG],Assumptions[NPR_Ratio]),0)</f>
        <v>0</v>
      </c>
      <c r="T104" s="17">
        <f>T103*(1-CF_Gen_3[[#This Row],[Cancellation_Ratio]])</f>
        <v>6.0990297601958205E-4</v>
      </c>
      <c r="U104" s="19">
        <f>IF(CF_Gen_3[[#This Row],[Incurred]]&lt;=CF_Gen_3[[#This Row],[Valuation]],CF_Gen_3[[#This Row],[Expected_Premium]],-CF_Gen_3[[#This Row],[Probability_of_Inforce]]*CF_Gen_3[[#This Row],[Premium_Refund_Ratio]]*CF_Gen_3[[#This Row],[Cancellation_Ratio]]*SUM(K104:K$105))</f>
        <v>0</v>
      </c>
      <c r="V104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Row],[Cancellation_Ratio]]*SUM(L104:L$105))</f>
        <v>0</v>
      </c>
      <c r="W104" s="19">
        <f>CF_Gen_3[[#This Row],[Expected_Acquisition]]</f>
        <v>0</v>
      </c>
      <c r="X104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104" s="19">
        <f>-CF_Gen_3[[#This Row],[Probability_of_Inforce]]*CF_Gen_3[[#This Row],[Earned_Premium]]*(1-CF_Gen_3[[#This Row],[Cancellation_Ratio]])*CF_Gen_3[[#This Row],[Loss_Ratio]]</f>
        <v>0</v>
      </c>
      <c r="Z104" s="19">
        <f>CF_Gen_3[[#This Row],[Exp_Claim]]*CF_Gen_3[[#This Row],[Risk_Adjustment_Ratio]]</f>
        <v>0</v>
      </c>
      <c r="AA104" s="19">
        <f>IF(CF_Gen_3[[#This Row],[Contract]]="RC",-CF_Gen_3[[#This Row],[NPR_Ratio]]*CF_Gen_3[[#This Row],[Exp_Claim]],0)</f>
        <v>0</v>
      </c>
      <c r="AB104" s="19">
        <f>SUMIFS(Actual_CF[Actual_Premium],Actual_CF[ICG],CF_Gen_3[[#This Row],[ICG]],Actual_CF[Incurred],CF_Gen_3[[#This Row],[Incurred]])</f>
        <v>0</v>
      </c>
      <c r="AC104" s="19">
        <f>SUMIFS(Actual_CF[Actual_Commission],Actual_CF[ICG],CF_Gen_3[[#This Row],[ICG]],Actual_CF[Incurred],CF_Gen_3[[#This Row],[Incurred]])</f>
        <v>0</v>
      </c>
      <c r="AD104" s="19">
        <f>SUMIFS(Actual_CF[Actual_Acquisition],Actual_CF[ICG],CF_Gen_3[[#This Row],[ICG]],Actual_CF[Incurred],CF_Gen_3[[#This Row],[Incurred]])</f>
        <v>0</v>
      </c>
    </row>
    <row r="105" spans="1:30">
      <c r="A105" t="str">
        <f t="shared" si="3"/>
        <v>#2025#IC-Property</v>
      </c>
      <c r="B105">
        <f>_xlfn.XLOOKUP(CF_Gen_3[[#This Row],[ICG]],ICG[ICG],ICG[Cohort])</f>
        <v>2025</v>
      </c>
      <c r="C105" t="str">
        <f>_xlfn.XLOOKUP(CF_Gen_3[[#This Row],[ICG]],ICG[ICG],ICG[Portfolio])</f>
        <v>IC-Property</v>
      </c>
      <c r="D105" t="str">
        <f>_xlfn.XLOOKUP(CF_Gen_3[[#This Row],[ICG]],ICG[ICG],ICG[Contract])</f>
        <v>IC</v>
      </c>
      <c r="E105" s="2">
        <f t="shared" si="2"/>
        <v>45930</v>
      </c>
      <c r="F105">
        <v>104</v>
      </c>
      <c r="G105" s="2">
        <f>EOMONTH(DATE(YEAR(CF_Gen_3[[#This Row],[Valuation]])-1,12,31),CF_Gen_3[[#This Row],['#Incurred]]*3)</f>
        <v>55153</v>
      </c>
      <c r="H105" s="14">
        <f>SUMIFS(Expected_CF[Expected_Premium],Expected_CF[ICG],CF_Gen_3[[#This Row],[ICG]],Expected_CF[Incurred],CF_Gen_3[[#This Row],[Incurred]])</f>
        <v>0</v>
      </c>
      <c r="I105" s="14">
        <f>SUMIFS(Expected_CF[Expected_Commission],Expected_CF[ICG],CF_Gen_3[[#This Row],[ICG]],Expected_CF[Incurred],CF_Gen_3[[#This Row],[Incurred]])</f>
        <v>0</v>
      </c>
      <c r="J105" s="14">
        <f>IF(CF_Gen_3[[#This Row],[Contract]]="IC",SUMIFS(Expected_CF[Expected_Acquisition],Expected_CF[ICG],CF_Gen_3[[#This Row],[ICG]],Expected_CF[Incurred],CF_Gen_3[[#This Row],[Incurred]]),0)</f>
        <v>0</v>
      </c>
      <c r="K105" s="14">
        <f>SUMIFS(Earned[Earned_Premium],Earned[ICG],CF_Gen_3[[#This Row],[ICG]],Earned[Incurred],CF_Gen_3[[#This Row],[Incurred]])</f>
        <v>0</v>
      </c>
      <c r="L105" s="14">
        <f>SUMIFS(Earned[Earned_Commission],Earned[ICG],CF_Gen_3[[#This Row],[ICG]],Earned[Incurred],CF_Gen_3[[#This Row],[Incurred]])</f>
        <v>0</v>
      </c>
      <c r="M105" s="18">
        <f>_xlfn.XLOOKUP(CF_Gen_3[[#This Row],[ICG]],Assumptions[ICG],Assumptions[Loss_Ratio])</f>
        <v>0.4</v>
      </c>
      <c r="N105" s="18">
        <f>_xlfn.XLOOKUP(CF_Gen_3[[#This Row],[ICG]],Assumptions[ICG],Assumptions[Risk_Adjustment_Ratio])</f>
        <v>0.14000000000000001</v>
      </c>
      <c r="O105" s="18">
        <f>_xlfn.XLOOKUP(CF_Gen_3[[#This Row],[ICG]],Assumptions[ICG],Assumptions[PME_Ratio])</f>
        <v>4.4999999999999998E-2</v>
      </c>
      <c r="P105" s="18">
        <f>_xlfn.XLOOKUP(CF_Gen_3[[#This Row],[ICG]],Assumptions[ICG],Assumptions[ULAE_Ratio])</f>
        <v>0.11</v>
      </c>
      <c r="Q105" s="18">
        <f>_xlfn.XLOOKUP(CF_Gen_3[[#This Row],[ICG]],Assumptions[ICG],Assumptions[Cancellation_Ratio])</f>
        <v>7.0000000000000007E-2</v>
      </c>
      <c r="R105" s="18">
        <f>_xlfn.XLOOKUP(CF_Gen_3[[#This Row],[ICG]],Assumptions[ICG],Assumptions[Premium_Refund_Ratio])</f>
        <v>0.5</v>
      </c>
      <c r="S105" s="18">
        <f>IF(CF_Gen_3[[#This Row],[Contract]]="RC",_xlfn.XLOOKUP(CF_Gen_3[[#This Row],[ICG]],Assumptions[ICG],Assumptions[NPR_Ratio]),0)</f>
        <v>0</v>
      </c>
      <c r="T105" s="17">
        <f>T104*(1-CF_Gen_3[[#This Row],[Cancellation_Ratio]])</f>
        <v>5.6720976769821126E-4</v>
      </c>
      <c r="U105" s="19">
        <f>IF(CF_Gen_3[[#This Row],[Incurred]]&lt;=CF_Gen_3[[#This Row],[Valuation]],CF_Gen_3[[#This Row],[Expected_Premium]],-CF_Gen_3[[#This Row],[Probability_of_Inforce]]*CF_Gen_3[[#This Row],[Premium_Refund_Ratio]]*CF_Gen_3[[#This Row],[Cancellation_Ratio]]*SUM(K105:K$105))</f>
        <v>0</v>
      </c>
      <c r="V105" s="19">
        <f>IF(CF_Gen_3[[#This Row],[Incurred]]&lt;=CF_Gen_3[[#This Row],[Valuation]],CF_Gen_3[[#This Row],[Expected_Commission]],-CF_Gen_3[[#This Row],[Probability_of_Inforce]]*CF_Gen_3[[#This Row],[Premium_Refund_Ratio]]*CF_Gen_3[[#This Row],[Cancellation_Ratio]]*SUM(L105:L$105))</f>
        <v>0</v>
      </c>
      <c r="W105" s="19">
        <f>CF_Gen_3[[#This Row],[Expected_Acquisition]]</f>
        <v>0</v>
      </c>
      <c r="X105" s="19">
        <f>-CF_Gen_3[[#This Row],[Probability_of_Inforce]]*CF_Gen_3[[#This Row],[Earned_Premium]]*(1-CF_Gen_3[[#This Row],[Cancellation_Ratio]])*CF_Gen_3[[#This Row],[PME_Ratio]]+CF_Gen_3[[#This Row],[ULAE_Ratio]]*CF_Gen_3[[#This Row],[Exp_Claim]]</f>
        <v>0</v>
      </c>
      <c r="Y105" s="19">
        <f>-CF_Gen_3[[#This Row],[Probability_of_Inforce]]*CF_Gen_3[[#This Row],[Earned_Premium]]*(1-CF_Gen_3[[#This Row],[Cancellation_Ratio]])*CF_Gen_3[[#This Row],[Loss_Ratio]]</f>
        <v>0</v>
      </c>
      <c r="Z105" s="19">
        <f>CF_Gen_3[[#This Row],[Exp_Claim]]*CF_Gen_3[[#This Row],[Risk_Adjustment_Ratio]]</f>
        <v>0</v>
      </c>
      <c r="AA105" s="19">
        <f>IF(CF_Gen_3[[#This Row],[Contract]]="RC",-CF_Gen_3[[#This Row],[NPR_Ratio]]*CF_Gen_3[[#This Row],[Exp_Claim]],0)</f>
        <v>0</v>
      </c>
      <c r="AB105" s="19">
        <f>SUMIFS(Actual_CF[Actual_Premium],Actual_CF[ICG],CF_Gen_3[[#This Row],[ICG]],Actual_CF[Incurred],CF_Gen_3[[#This Row],[Incurred]])</f>
        <v>0</v>
      </c>
      <c r="AC105" s="19">
        <f>SUMIFS(Actual_CF[Actual_Commission],Actual_CF[ICG],CF_Gen_3[[#This Row],[ICG]],Actual_CF[Incurred],CF_Gen_3[[#This Row],[Incurred]])</f>
        <v>0</v>
      </c>
      <c r="AD105" s="19">
        <f>SUMIFS(Actual_CF[Actual_Acquisition],Actual_CF[ICG],CF_Gen_3[[#This Row],[ICG]],Actual_CF[Incurred],CF_Gen_3[[#This Row],[Incurred]])</f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EFD6-577C-4095-BD4D-8363BE4BAC54}">
  <dimension ref="A1:AD105"/>
  <sheetViews>
    <sheetView showGridLines="0" topLeftCell="B1" zoomScale="80" zoomScaleNormal="80" workbookViewId="0">
      <selection activeCell="I8" sqref="I8"/>
    </sheetView>
  </sheetViews>
  <sheetFormatPr defaultRowHeight="14.5"/>
  <cols>
    <col min="1" max="1" width="18.7265625" bestFit="1" customWidth="1"/>
    <col min="2" max="2" width="10.26953125" bestFit="1" customWidth="1"/>
    <col min="3" max="4" width="12" bestFit="1" customWidth="1"/>
    <col min="5" max="5" width="13.7265625" bestFit="1" customWidth="1"/>
    <col min="6" max="6" width="13.1796875" bestFit="1" customWidth="1"/>
    <col min="7" max="7" width="12.81640625" bestFit="1" customWidth="1"/>
    <col min="8" max="8" width="22.7265625" bestFit="1" customWidth="1"/>
    <col min="9" max="9" width="26.26953125" bestFit="1" customWidth="1"/>
    <col min="10" max="10" width="25.1796875" bestFit="1" customWidth="1"/>
    <col min="11" max="11" width="20.7265625" bestFit="1" customWidth="1"/>
    <col min="12" max="12" width="24.26953125" bestFit="1" customWidth="1"/>
    <col min="13" max="13" width="14.54296875" bestFit="1" customWidth="1"/>
    <col min="14" max="14" width="27.1796875" bestFit="1" customWidth="1"/>
    <col min="15" max="15" width="14.26953125" bestFit="1" customWidth="1"/>
    <col min="16" max="16" width="15" bestFit="1" customWidth="1"/>
    <col min="17" max="17" width="23" bestFit="1" customWidth="1"/>
    <col min="18" max="18" width="27.453125" bestFit="1" customWidth="1"/>
    <col min="19" max="19" width="14.1796875" bestFit="1" customWidth="1"/>
    <col min="20" max="20" width="26" bestFit="1" customWidth="1"/>
    <col min="21" max="21" width="20.26953125" bestFit="1" customWidth="1"/>
    <col min="22" max="22" width="23.81640625" bestFit="1" customWidth="1"/>
    <col min="23" max="23" width="23" bestFit="1" customWidth="1"/>
    <col min="24" max="24" width="19.81640625" bestFit="1" customWidth="1"/>
    <col min="25" max="25" width="17.26953125" bestFit="1" customWidth="1"/>
    <col min="26" max="26" width="15.1796875" bestFit="1" customWidth="1"/>
    <col min="27" max="27" width="15.26953125" bestFit="1" customWidth="1"/>
    <col min="28" max="28" width="20" bestFit="1" customWidth="1"/>
    <col min="29" max="29" width="23.54296875" bestFit="1" customWidth="1"/>
    <col min="30" max="30" width="22.7265625" bestFit="1" customWidth="1"/>
  </cols>
  <sheetData>
    <row r="1" spans="1:30">
      <c r="A1" t="s">
        <v>8</v>
      </c>
      <c r="B1" t="s">
        <v>5</v>
      </c>
      <c r="C1" t="s">
        <v>56</v>
      </c>
      <c r="D1" t="s">
        <v>21</v>
      </c>
      <c r="E1" t="s">
        <v>16</v>
      </c>
      <c r="F1" t="s">
        <v>41</v>
      </c>
      <c r="G1" t="s">
        <v>15</v>
      </c>
      <c r="H1" s="15" t="s">
        <v>26</v>
      </c>
      <c r="I1" s="15" t="s">
        <v>27</v>
      </c>
      <c r="J1" s="15" t="s">
        <v>31</v>
      </c>
      <c r="K1" s="16" t="s">
        <v>24</v>
      </c>
      <c r="L1" s="16" t="s">
        <v>25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  <c r="R1" s="15" t="s">
        <v>38</v>
      </c>
      <c r="S1" s="15" t="s">
        <v>39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29</v>
      </c>
      <c r="AC1" t="s">
        <v>30</v>
      </c>
      <c r="AD1" t="s">
        <v>32</v>
      </c>
    </row>
    <row r="2" spans="1:30">
      <c r="A2" s="4" t="str">
        <f>ICG!$A$5</f>
        <v>#2025#RC-Property</v>
      </c>
      <c r="B2">
        <f>_xlfn.XLOOKUP(CF_Gen_4[[#This Row],[ICG]],ICG[ICG],ICG[Cohort])</f>
        <v>2025</v>
      </c>
      <c r="C2" t="str">
        <f>_xlfn.XLOOKUP(CF_Gen_4[[#This Row],[ICG]],ICG[ICG],ICG[Portfolio])</f>
        <v>RC-Property</v>
      </c>
      <c r="D2" t="str">
        <f>_xlfn.XLOOKUP(CF_Gen_4[[#This Row],[ICG]],ICG[ICG],ICG[Contract])</f>
        <v>RC</v>
      </c>
      <c r="E2" s="2">
        <f t="shared" ref="E2:E65" si="0">ValuationDate</f>
        <v>45930</v>
      </c>
      <c r="F2">
        <v>1</v>
      </c>
      <c r="G2" s="2">
        <f>EOMONTH(DATE(YEAR(CF_Gen_4[[#This Row],[Valuation]])-1,12,31),CF_Gen_4[[#This Row],['#Incurred]]*3)</f>
        <v>45747</v>
      </c>
      <c r="H2" s="13">
        <f>SUMIFS(Expected_CF[Expected_Premium],Expected_CF[ICG],CF_Gen_4[[#This Row],[ICG]],Expected_CF[Incurred],CF_Gen_4[[#This Row],[Incurred]])</f>
        <v>-11287109074.600513</v>
      </c>
      <c r="I2" s="13">
        <f>SUMIFS(Expected_CF[Expected_Commission],Expected_CF[ICG],CF_Gen_4[[#This Row],[ICG]],Expected_CF[Incurred],CF_Gen_4[[#This Row],[Incurred]])</f>
        <v>3668310449.2451673</v>
      </c>
      <c r="J2" s="13">
        <f>IF(CF_Gen_4[[#This Row],[Contract]]="IC",SUMIFS(Expected_CF[Expected_Acquisition],Expected_CF[ICG],CF_Gen_4[[#This Row],[ICG]],Expected_CF[Incurred],CF_Gen_4[[#This Row],[Incurred]]),0)</f>
        <v>0</v>
      </c>
      <c r="K2" s="13">
        <f>SUMIFS(Earned[Earned_Premium],Earned[ICG],CF_Gen_4[[#This Row],[ICG]],Earned[Incurred],CF_Gen_4[[#This Row],[Incurred]])</f>
        <v>-350870260.00932807</v>
      </c>
      <c r="L2" s="13">
        <f>SUMIFS(Earned[Earned_Commission],Earned[ICG],CF_Gen_4[[#This Row],[ICG]],Earned[Incurred],CF_Gen_4[[#This Row],[Incurred]])</f>
        <v>114032834.50303164</v>
      </c>
      <c r="M2" s="17">
        <f>_xlfn.XLOOKUP(CF_Gen_4[[#This Row],[ICG]],Assumptions[ICG],Assumptions[Loss_Ratio])</f>
        <v>0.38</v>
      </c>
      <c r="N2" s="17">
        <f>_xlfn.XLOOKUP(CF_Gen_4[[#This Row],[ICG]],Assumptions[ICG],Assumptions[Risk_Adjustment_Ratio])</f>
        <v>0.13</v>
      </c>
      <c r="O2" s="17">
        <f>_xlfn.XLOOKUP(CF_Gen_4[[#This Row],[ICG]],Assumptions[ICG],Assumptions[PME_Ratio])</f>
        <v>0</v>
      </c>
      <c r="P2" s="17">
        <f>_xlfn.XLOOKUP(CF_Gen_4[[#This Row],[ICG]],Assumptions[ICG],Assumptions[ULAE_Ratio])</f>
        <v>0</v>
      </c>
      <c r="Q2" s="17">
        <f>_xlfn.XLOOKUP(CF_Gen_4[[#This Row],[ICG]],Assumptions[ICG],Assumptions[Cancellation_Ratio])</f>
        <v>7.0000000000000007E-2</v>
      </c>
      <c r="R2" s="17">
        <f>_xlfn.XLOOKUP(CF_Gen_4[[#This Row],[ICG]],Assumptions[ICG],Assumptions[Premium_Refund_Ratio])</f>
        <v>0.5</v>
      </c>
      <c r="S2" s="17">
        <f>IF(CF_Gen_4[[#This Row],[Contract]]="RC",_xlfn.XLOOKUP(CF_Gen_4[[#This Row],[ICG]],Assumptions[ICG],Assumptions[NPR_Ratio]),0)</f>
        <v>2.8000000000000001E-2</v>
      </c>
      <c r="T2" s="17">
        <v>1</v>
      </c>
      <c r="U2" s="19">
        <f>IF(CF_Gen_4[[#This Row],[Incurred]]&lt;=CF_Gen_4[[#This Row],[Valuation]],CF_Gen_4[[#This Row],[Expected_Premium]],-CF_Gen_4[[#This Row],[Probability_of_Inforce]]*CF_Gen_4[[#This Row],[Premium_Refund_Ratio]]*CF_Gen_4[[#This Row],[Cancellation_Ratio]]*SUM(K2:K$105))</f>
        <v>-11287109074.600513</v>
      </c>
      <c r="V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Row],[Cancellation_Ratio]]*SUM(L2:L$105))</f>
        <v>3668310449.2451673</v>
      </c>
      <c r="W2" s="19">
        <f>CF_Gen_4[[#This Row],[Expected_Acquisition]]</f>
        <v>0</v>
      </c>
      <c r="X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" s="19">
        <f>-CF_Gen_4[[#This Row],[Probability_of_Inforce]]*CF_Gen_4[[#This Row],[Earned_Premium]]*(1-CF_Gen_4[[#This Row],[Cancellation_Ratio]])*CF_Gen_4[[#This Row],[Loss_Ratio]]</f>
        <v>123997549.88729654</v>
      </c>
      <c r="Z2" s="19">
        <f>CF_Gen_4[[#This Row],[Exp_Claim]]*CF_Gen_4[[#This Row],[Risk_Adjustment_Ratio]]</f>
        <v>16119681.485348551</v>
      </c>
      <c r="AA2" s="19">
        <f>IF(CF_Gen_4[[#This Row],[Contract]]="RC",-CF_Gen_4[[#This Row],[NPR_Ratio]]*CF_Gen_4[[#This Row],[Exp_Claim]],0)</f>
        <v>-3471931.3968443032</v>
      </c>
      <c r="AB2" s="19">
        <f>SUMIFS(Actual_CF[Actual_Premium],Actual_CF[ICG],CF_Gen_4[[#This Row],[ICG]],Actual_CF[Incurred],CF_Gen_4[[#This Row],[Incurred]])</f>
        <v>-11287109074.600513</v>
      </c>
      <c r="AC2" s="19">
        <f>SUMIFS(Actual_CF[Actual_Commission],Actual_CF[ICG],CF_Gen_4[[#This Row],[ICG]],Actual_CF[Incurred],CF_Gen_4[[#This Row],[Incurred]])</f>
        <v>3668310449.2451673</v>
      </c>
      <c r="AD2" s="19">
        <f>SUMIFS(Actual_CF[Actual_Acquisition],Actual_CF[ICG],CF_Gen_4[[#This Row],[ICG]],Actual_CF[Incurred],CF_Gen_4[[#This Row],[Incurred]])</f>
        <v>0</v>
      </c>
    </row>
    <row r="3" spans="1:30">
      <c r="A3" t="str">
        <f>A2</f>
        <v>#2025#RC-Property</v>
      </c>
      <c r="B3">
        <f>_xlfn.XLOOKUP(CF_Gen_4[[#This Row],[ICG]],ICG[ICG],ICG[Cohort])</f>
        <v>2025</v>
      </c>
      <c r="C3" t="str">
        <f>_xlfn.XLOOKUP(CF_Gen_4[[#This Row],[ICG]],ICG[ICG],ICG[Portfolio])</f>
        <v>RC-Property</v>
      </c>
      <c r="D3" t="str">
        <f>_xlfn.XLOOKUP(CF_Gen_4[[#This Row],[ICG]],ICG[ICG],ICG[Contract])</f>
        <v>RC</v>
      </c>
      <c r="E3" s="2">
        <f t="shared" si="0"/>
        <v>45930</v>
      </c>
      <c r="F3">
        <v>2</v>
      </c>
      <c r="G3" s="2">
        <f>EOMONTH(DATE(YEAR(CF_Gen_4[[#This Row],[Valuation]])-1,12,31),CF_Gen_4[[#This Row],['#Incurred]]*3)</f>
        <v>45838</v>
      </c>
      <c r="H3" s="13">
        <f>SUMIFS(Expected_CF[Expected_Premium],Expected_CF[ICG],CF_Gen_4[[#This Row],[ICG]],Expected_CF[Incurred],CF_Gen_4[[#This Row],[Incurred]])</f>
        <v>-15948619308.103546</v>
      </c>
      <c r="I3" s="13">
        <f>SUMIFS(Expected_CF[Expected_Commission],Expected_CF[ICG],CF_Gen_4[[#This Row],[ICG]],Expected_CF[Incurred],CF_Gen_4[[#This Row],[Incurred]])</f>
        <v>5183301275.1336536</v>
      </c>
      <c r="J3" s="13">
        <f>IF(CF_Gen_4[[#This Row],[Contract]]="IC",SUMIFS(Expected_CF[Expected_Acquisition],Expected_CF[ICG],CF_Gen_4[[#This Row],[ICG]],Expected_CF[Incurred],CF_Gen_4[[#This Row],[Incurred]]),0)</f>
        <v>0</v>
      </c>
      <c r="K3" s="13">
        <f>SUMIFS(Earned[Earned_Premium],Earned[ICG],CF_Gen_4[[#This Row],[ICG]],Earned[Incurred],CF_Gen_4[[#This Row],[Incurred]])</f>
        <v>-701740520.01865613</v>
      </c>
      <c r="L3" s="13">
        <f>SUMIFS(Earned[Earned_Commission],Earned[ICG],CF_Gen_4[[#This Row],[ICG]],Earned[Incurred],CF_Gen_4[[#This Row],[Incurred]])</f>
        <v>228065669.00606328</v>
      </c>
      <c r="M3" s="17">
        <f>_xlfn.XLOOKUP(CF_Gen_4[[#This Row],[ICG]],Assumptions[ICG],Assumptions[Loss_Ratio])</f>
        <v>0.38</v>
      </c>
      <c r="N3" s="17">
        <f>_xlfn.XLOOKUP(CF_Gen_4[[#This Row],[ICG]],Assumptions[ICG],Assumptions[Risk_Adjustment_Ratio])</f>
        <v>0.13</v>
      </c>
      <c r="O3" s="17">
        <f>_xlfn.XLOOKUP(CF_Gen_4[[#This Row],[ICG]],Assumptions[ICG],Assumptions[PME_Ratio])</f>
        <v>0</v>
      </c>
      <c r="P3" s="17">
        <f>_xlfn.XLOOKUP(CF_Gen_4[[#This Row],[ICG]],Assumptions[ICG],Assumptions[ULAE_Ratio])</f>
        <v>0</v>
      </c>
      <c r="Q3" s="17">
        <f>_xlfn.XLOOKUP(CF_Gen_4[[#This Row],[ICG]],Assumptions[ICG],Assumptions[Cancellation_Ratio])</f>
        <v>7.0000000000000007E-2</v>
      </c>
      <c r="R3" s="17">
        <f>_xlfn.XLOOKUP(CF_Gen_4[[#This Row],[ICG]],Assumptions[ICG],Assumptions[Premium_Refund_Ratio])</f>
        <v>0.5</v>
      </c>
      <c r="S3" s="17">
        <f>IF(CF_Gen_4[[#This Row],[Contract]]="RC",_xlfn.XLOOKUP(CF_Gen_4[[#This Row],[ICG]],Assumptions[ICG],Assumptions[NPR_Ratio]),0)</f>
        <v>2.8000000000000001E-2</v>
      </c>
      <c r="T3" s="17">
        <f>T2*(1-CF_Gen_4[[#This Row],[Cancellation_Ratio]])</f>
        <v>0.92999999999999994</v>
      </c>
      <c r="U3" s="19">
        <f>IF(CF_Gen_4[[#This Row],[Incurred]]&lt;=CF_Gen_4[[#This Row],[Valuation]],CF_Gen_4[[#This Row],[Expected_Premium]],-CF_Gen_4[[#This Row],[Probability_of_Inforce]]*CF_Gen_4[[#This Row],[Premium_Refund_Ratio]]*CF_Gen_4[[#This Row],[Cancellation_Ratio]]*SUM(K3:K$105))</f>
        <v>-15948619308.103546</v>
      </c>
      <c r="V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Row],[Cancellation_Ratio]]*SUM(L3:L$105))</f>
        <v>5183301275.1336536</v>
      </c>
      <c r="W3" s="19">
        <f>CF_Gen_4[[#This Row],[Expected_Acquisition]]</f>
        <v>0</v>
      </c>
      <c r="X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" s="19">
        <f>-CF_Gen_4[[#This Row],[Probability_of_Inforce]]*CF_Gen_4[[#This Row],[Earned_Premium]]*(1-CF_Gen_4[[#This Row],[Cancellation_Ratio]])*CF_Gen_4[[#This Row],[Loss_Ratio]]</f>
        <v>230635442.79037157</v>
      </c>
      <c r="Z3" s="19">
        <f>CF_Gen_4[[#This Row],[Exp_Claim]]*CF_Gen_4[[#This Row],[Risk_Adjustment_Ratio]]</f>
        <v>29982607.562748305</v>
      </c>
      <c r="AA3" s="19">
        <f>IF(CF_Gen_4[[#This Row],[Contract]]="RC",-CF_Gen_4[[#This Row],[NPR_Ratio]]*CF_Gen_4[[#This Row],[Exp_Claim]],0)</f>
        <v>-6457792.3981304038</v>
      </c>
      <c r="AB3" s="19">
        <f>SUMIFS(Actual_CF[Actual_Premium],Actual_CF[ICG],CF_Gen_4[[#This Row],[ICG]],Actual_CF[Incurred],CF_Gen_4[[#This Row],[Incurred]])</f>
        <v>-15948619308.103546</v>
      </c>
      <c r="AC3" s="19">
        <f>SUMIFS(Actual_CF[Actual_Commission],Actual_CF[ICG],CF_Gen_4[[#This Row],[ICG]],Actual_CF[Incurred],CF_Gen_4[[#This Row],[Incurred]])</f>
        <v>5183301275.1336536</v>
      </c>
      <c r="AD3" s="19">
        <f>SUMIFS(Actual_CF[Actual_Acquisition],Actual_CF[ICG],CF_Gen_4[[#This Row],[ICG]],Actual_CF[Incurred],CF_Gen_4[[#This Row],[Incurred]])</f>
        <v>0</v>
      </c>
    </row>
    <row r="4" spans="1:30">
      <c r="A4" t="str">
        <f t="shared" ref="A4:A67" si="1">A3</f>
        <v>#2025#RC-Property</v>
      </c>
      <c r="B4">
        <f>_xlfn.XLOOKUP(CF_Gen_4[[#This Row],[ICG]],ICG[ICG],ICG[Cohort])</f>
        <v>2025</v>
      </c>
      <c r="C4" t="str">
        <f>_xlfn.XLOOKUP(CF_Gen_4[[#This Row],[ICG]],ICG[ICG],ICG[Portfolio])</f>
        <v>RC-Property</v>
      </c>
      <c r="D4" t="str">
        <f>_xlfn.XLOOKUP(CF_Gen_4[[#This Row],[ICG]],ICG[ICG],ICG[Contract])</f>
        <v>RC</v>
      </c>
      <c r="E4" s="2">
        <f t="shared" si="0"/>
        <v>45930</v>
      </c>
      <c r="F4">
        <v>3</v>
      </c>
      <c r="G4" s="2">
        <f>EOMONTH(DATE(YEAR(CF_Gen_4[[#This Row],[Valuation]])-1,12,31),CF_Gen_4[[#This Row],['#Incurred]]*3)</f>
        <v>45930</v>
      </c>
      <c r="H4" s="14">
        <f>SUMIFS(Expected_CF[Expected_Premium],Expected_CF[ICG],CF_Gen_4[[#This Row],[ICG]],Expected_CF[Incurred],CF_Gen_4[[#This Row],[Incurred]])</f>
        <v>-23289589058.639343</v>
      </c>
      <c r="I4" s="14">
        <f>SUMIFS(Expected_CF[Expected_Commission],Expected_CF[ICG],CF_Gen_4[[#This Row],[ICG]],Expected_CF[Incurred],CF_Gen_4[[#This Row],[Incurred]])</f>
        <v>7569116444.0577869</v>
      </c>
      <c r="J4" s="14">
        <f>IF(CF_Gen_4[[#This Row],[Contract]]="IC",SUMIFS(Expected_CF[Expected_Acquisition],Expected_CF[ICG],CF_Gen_4[[#This Row],[ICG]],Expected_CF[Incurred],CF_Gen_4[[#This Row],[Incurred]]),0)</f>
        <v>0</v>
      </c>
      <c r="K4" s="14">
        <f>SUMIFS(Earned[Earned_Premium],Earned[ICG],CF_Gen_4[[#This Row],[ICG]],Earned[Incurred],CF_Gen_4[[#This Row],[Incurred]])</f>
        <v>-1052610780.0279843</v>
      </c>
      <c r="L4" s="14">
        <f>SUMIFS(Earned[Earned_Commission],Earned[ICG],CF_Gen_4[[#This Row],[ICG]],Earned[Incurred],CF_Gen_4[[#This Row],[Incurred]])</f>
        <v>342098503.50909495</v>
      </c>
      <c r="M4" s="18">
        <f>_xlfn.XLOOKUP(CF_Gen_4[[#This Row],[ICG]],Assumptions[ICG],Assumptions[Loss_Ratio])</f>
        <v>0.38</v>
      </c>
      <c r="N4" s="18">
        <f>_xlfn.XLOOKUP(CF_Gen_4[[#This Row],[ICG]],Assumptions[ICG],Assumptions[Risk_Adjustment_Ratio])</f>
        <v>0.13</v>
      </c>
      <c r="O4" s="18">
        <f>_xlfn.XLOOKUP(CF_Gen_4[[#This Row],[ICG]],Assumptions[ICG],Assumptions[PME_Ratio])</f>
        <v>0</v>
      </c>
      <c r="P4" s="18">
        <f>_xlfn.XLOOKUP(CF_Gen_4[[#This Row],[ICG]],Assumptions[ICG],Assumptions[ULAE_Ratio])</f>
        <v>0</v>
      </c>
      <c r="Q4" s="18">
        <f>_xlfn.XLOOKUP(CF_Gen_4[[#This Row],[ICG]],Assumptions[ICG],Assumptions[Cancellation_Ratio])</f>
        <v>7.0000000000000007E-2</v>
      </c>
      <c r="R4" s="18">
        <f>_xlfn.XLOOKUP(CF_Gen_4[[#This Row],[ICG]],Assumptions[ICG],Assumptions[Premium_Refund_Ratio])</f>
        <v>0.5</v>
      </c>
      <c r="S4" s="18">
        <f>IF(CF_Gen_4[[#This Row],[Contract]]="RC",_xlfn.XLOOKUP(CF_Gen_4[[#This Row],[ICG]],Assumptions[ICG],Assumptions[NPR_Ratio]),0)</f>
        <v>2.8000000000000001E-2</v>
      </c>
      <c r="T4" s="17">
        <f>T3*(1-CF_Gen_4[[#This Row],[Cancellation_Ratio]])</f>
        <v>0.86489999999999989</v>
      </c>
      <c r="U4" s="19">
        <f>IF(CF_Gen_4[[#This Row],[Incurred]]&lt;=CF_Gen_4[[#This Row],[Valuation]],CF_Gen_4[[#This Row],[Expected_Premium]],-CF_Gen_4[[#This Row],[Probability_of_Inforce]]*CF_Gen_4[[#This Row],[Premium_Refund_Ratio]]*CF_Gen_4[[#This Row],[Cancellation_Ratio]]*SUM(K4:K$105))</f>
        <v>-23289589058.639343</v>
      </c>
      <c r="V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Row],[Cancellation_Ratio]]*SUM(L4:L$105))</f>
        <v>7569116444.0577869</v>
      </c>
      <c r="W4" s="19">
        <f>CF_Gen_4[[#This Row],[Expected_Acquisition]]</f>
        <v>0</v>
      </c>
      <c r="X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" s="19">
        <f>-CF_Gen_4[[#This Row],[Probability_of_Inforce]]*CF_Gen_4[[#This Row],[Earned_Premium]]*(1-CF_Gen_4[[#This Row],[Cancellation_Ratio]])*CF_Gen_4[[#This Row],[Loss_Ratio]]</f>
        <v>321736442.6925683</v>
      </c>
      <c r="Z4" s="19">
        <f>CF_Gen_4[[#This Row],[Exp_Claim]]*CF_Gen_4[[#This Row],[Risk_Adjustment_Ratio]]</f>
        <v>41825737.550033882</v>
      </c>
      <c r="AA4" s="19">
        <f>IF(CF_Gen_4[[#This Row],[Contract]]="RC",-CF_Gen_4[[#This Row],[NPR_Ratio]]*CF_Gen_4[[#This Row],[Exp_Claim]],0)</f>
        <v>-9008620.3953919131</v>
      </c>
      <c r="AB4" s="19">
        <f>SUMIFS(Actual_CF[Actual_Premium],Actual_CF[ICG],CF_Gen_4[[#This Row],[ICG]],Actual_CF[Incurred],CF_Gen_4[[#This Row],[Incurred]])</f>
        <v>-23289589058.639343</v>
      </c>
      <c r="AC4" s="19">
        <f>SUMIFS(Actual_CF[Actual_Commission],Actual_CF[ICG],CF_Gen_4[[#This Row],[ICG]],Actual_CF[Incurred],CF_Gen_4[[#This Row],[Incurred]])</f>
        <v>7569116444.0577869</v>
      </c>
      <c r="AD4" s="19">
        <f>SUMIFS(Actual_CF[Actual_Acquisition],Actual_CF[ICG],CF_Gen_4[[#This Row],[ICG]],Actual_CF[Incurred],CF_Gen_4[[#This Row],[Incurred]])</f>
        <v>0</v>
      </c>
    </row>
    <row r="5" spans="1:30">
      <c r="A5" t="str">
        <f t="shared" si="1"/>
        <v>#2025#RC-Property</v>
      </c>
      <c r="B5">
        <f>_xlfn.XLOOKUP(CF_Gen_4[[#This Row],[ICG]],ICG[ICG],ICG[Cohort])</f>
        <v>2025</v>
      </c>
      <c r="C5" t="str">
        <f>_xlfn.XLOOKUP(CF_Gen_4[[#This Row],[ICG]],ICG[ICG],ICG[Portfolio])</f>
        <v>RC-Property</v>
      </c>
      <c r="D5" t="str">
        <f>_xlfn.XLOOKUP(CF_Gen_4[[#This Row],[ICG]],ICG[ICG],ICG[Contract])</f>
        <v>RC</v>
      </c>
      <c r="E5" s="2">
        <f t="shared" si="0"/>
        <v>45930</v>
      </c>
      <c r="F5">
        <v>4</v>
      </c>
      <c r="G5" s="2">
        <f>EOMONTH(DATE(YEAR(CF_Gen_4[[#This Row],[Valuation]])-1,12,31),CF_Gen_4[[#This Row],['#Incurred]]*3)</f>
        <v>46022</v>
      </c>
      <c r="H5" s="14">
        <f>SUMIFS(Expected_CF[Expected_Premium],Expected_CF[ICG],CF_Gen_4[[#This Row],[ICG]],Expected_CF[Incurred],CF_Gen_4[[#This Row],[Incurred]])</f>
        <v>0</v>
      </c>
      <c r="I5" s="14">
        <f>SUMIFS(Expected_CF[Expected_Commission],Expected_CF[ICG],CF_Gen_4[[#This Row],[ICG]],Expected_CF[Incurred],CF_Gen_4[[#This Row],[Incurred]])</f>
        <v>0</v>
      </c>
      <c r="J5" s="14">
        <f>IF(CF_Gen_4[[#This Row],[Contract]]="IC",SUMIFS(Expected_CF[Expected_Acquisition],Expected_CF[ICG],CF_Gen_4[[#This Row],[ICG]],Expected_CF[Incurred],CF_Gen_4[[#This Row],[Incurred]]),0)</f>
        <v>0</v>
      </c>
      <c r="K5" s="14">
        <f>SUMIFS(Earned[Earned_Premium],Earned[ICG],CF_Gen_4[[#This Row],[ICG]],Earned[Incurred],CF_Gen_4[[#This Row],[Incurred]])</f>
        <v>-1052610780.0279843</v>
      </c>
      <c r="L5" s="14">
        <f>SUMIFS(Earned[Earned_Commission],Earned[ICG],CF_Gen_4[[#This Row],[ICG]],Earned[Incurred],CF_Gen_4[[#This Row],[Incurred]])</f>
        <v>342098503.50909495</v>
      </c>
      <c r="M5" s="18">
        <f>_xlfn.XLOOKUP(CF_Gen_4[[#This Row],[ICG]],Assumptions[ICG],Assumptions[Loss_Ratio])</f>
        <v>0.38</v>
      </c>
      <c r="N5" s="18">
        <f>_xlfn.XLOOKUP(CF_Gen_4[[#This Row],[ICG]],Assumptions[ICG],Assumptions[Risk_Adjustment_Ratio])</f>
        <v>0.13</v>
      </c>
      <c r="O5" s="18">
        <f>_xlfn.XLOOKUP(CF_Gen_4[[#This Row],[ICG]],Assumptions[ICG],Assumptions[PME_Ratio])</f>
        <v>0</v>
      </c>
      <c r="P5" s="18">
        <f>_xlfn.XLOOKUP(CF_Gen_4[[#This Row],[ICG]],Assumptions[ICG],Assumptions[ULAE_Ratio])</f>
        <v>0</v>
      </c>
      <c r="Q5" s="18">
        <f>_xlfn.XLOOKUP(CF_Gen_4[[#This Row],[ICG]],Assumptions[ICG],Assumptions[Cancellation_Ratio])</f>
        <v>7.0000000000000007E-2</v>
      </c>
      <c r="R5" s="18">
        <f>_xlfn.XLOOKUP(CF_Gen_4[[#This Row],[ICG]],Assumptions[ICG],Assumptions[Premium_Refund_Ratio])</f>
        <v>0.5</v>
      </c>
      <c r="S5" s="18">
        <f>IF(CF_Gen_4[[#This Row],[Contract]]="RC",_xlfn.XLOOKUP(CF_Gen_4[[#This Row],[ICG]],Assumptions[ICG],Assumptions[NPR_Ratio]),0)</f>
        <v>2.8000000000000001E-2</v>
      </c>
      <c r="T5" s="17">
        <f>T4*(1-CF_Gen_4[[#This Row],[Cancellation_Ratio]])</f>
        <v>0.80435699999999988</v>
      </c>
      <c r="U5" s="19">
        <f>IF(CF_Gen_4[[#This Row],[Incurred]]&lt;=CF_Gen_4[[#This Row],[Valuation]],CF_Gen_4[[#This Row],[Expected_Premium]],-CF_Gen_4[[#This Row],[Probability_of_Inforce]]*CF_Gen_4[[#This Row],[Premium_Refund_Ratio]]*CF_Gen_4[[#This Row],[Cancellation_Ratio]]*SUM(K5:K$105))</f>
        <v>1363146507.1974597</v>
      </c>
      <c r="V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Row],[Cancellation_Ratio]]*SUM(L5:L$105))</f>
        <v>-443022614.83917487</v>
      </c>
      <c r="W5" s="19">
        <f>CF_Gen_4[[#This Row],[Expected_Acquisition]]</f>
        <v>0</v>
      </c>
      <c r="X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" s="19">
        <f>-CF_Gen_4[[#This Row],[Probability_of_Inforce]]*CF_Gen_4[[#This Row],[Earned_Premium]]*(1-CF_Gen_4[[#This Row],[Cancellation_Ratio]])*CF_Gen_4[[#This Row],[Loss_Ratio]]</f>
        <v>299214891.70408851</v>
      </c>
      <c r="Z5" s="19">
        <f>CF_Gen_4[[#This Row],[Exp_Claim]]*CF_Gen_4[[#This Row],[Risk_Adjustment_Ratio]]</f>
        <v>38897935.921531506</v>
      </c>
      <c r="AA5" s="19">
        <f>IF(CF_Gen_4[[#This Row],[Contract]]="RC",-CF_Gen_4[[#This Row],[NPR_Ratio]]*CF_Gen_4[[#This Row],[Exp_Claim]],0)</f>
        <v>-8378016.9677144783</v>
      </c>
      <c r="AB5" s="19">
        <f>SUMIFS(Actual_CF[Actual_Premium],Actual_CF[ICG],CF_Gen_4[[#This Row],[ICG]],Actual_CF[Incurred],CF_Gen_4[[#This Row],[Incurred]])</f>
        <v>0</v>
      </c>
      <c r="AC5" s="19">
        <f>SUMIFS(Actual_CF[Actual_Commission],Actual_CF[ICG],CF_Gen_4[[#This Row],[ICG]],Actual_CF[Incurred],CF_Gen_4[[#This Row],[Incurred]])</f>
        <v>0</v>
      </c>
      <c r="AD5" s="19">
        <f>SUMIFS(Actual_CF[Actual_Acquisition],Actual_CF[ICG],CF_Gen_4[[#This Row],[ICG]],Actual_CF[Incurred],CF_Gen_4[[#This Row],[Incurred]])</f>
        <v>0</v>
      </c>
    </row>
    <row r="6" spans="1:30">
      <c r="A6" t="str">
        <f t="shared" si="1"/>
        <v>#2025#RC-Property</v>
      </c>
      <c r="B6">
        <f>_xlfn.XLOOKUP(CF_Gen_4[[#This Row],[ICG]],ICG[ICG],ICG[Cohort])</f>
        <v>2025</v>
      </c>
      <c r="C6" t="str">
        <f>_xlfn.XLOOKUP(CF_Gen_4[[#This Row],[ICG]],ICG[ICG],ICG[Portfolio])</f>
        <v>RC-Property</v>
      </c>
      <c r="D6" t="str">
        <f>_xlfn.XLOOKUP(CF_Gen_4[[#This Row],[ICG]],ICG[ICG],ICG[Contract])</f>
        <v>RC</v>
      </c>
      <c r="E6" s="2">
        <f t="shared" si="0"/>
        <v>45930</v>
      </c>
      <c r="F6">
        <v>5</v>
      </c>
      <c r="G6" s="2">
        <f>EOMONTH(DATE(YEAR(CF_Gen_4[[#This Row],[Valuation]])-1,12,31),CF_Gen_4[[#This Row],['#Incurred]]*3)</f>
        <v>46112</v>
      </c>
      <c r="H6" s="14">
        <f>SUMIFS(Expected_CF[Expected_Premium],Expected_CF[ICG],CF_Gen_4[[#This Row],[ICG]],Expected_CF[Incurred],CF_Gen_4[[#This Row],[Incurred]])</f>
        <v>0</v>
      </c>
      <c r="I6" s="14">
        <f>SUMIFS(Expected_CF[Expected_Commission],Expected_CF[ICG],CF_Gen_4[[#This Row],[ICG]],Expected_CF[Incurred],CF_Gen_4[[#This Row],[Incurred]])</f>
        <v>0</v>
      </c>
      <c r="J6" s="14">
        <f>IF(CF_Gen_4[[#This Row],[Contract]]="IC",SUMIFS(Expected_CF[Expected_Acquisition],Expected_CF[ICG],CF_Gen_4[[#This Row],[ICG]],Expected_CF[Incurred],CF_Gen_4[[#This Row],[Incurred]]),0)</f>
        <v>0</v>
      </c>
      <c r="K6" s="14">
        <f>SUMIFS(Earned[Earned_Premium],Earned[ICG],CF_Gen_4[[#This Row],[ICG]],Earned[Incurred],CF_Gen_4[[#This Row],[Incurred]])</f>
        <v>-1037355551.3319266</v>
      </c>
      <c r="L6" s="14">
        <f>SUMIFS(Earned[Earned_Commission],Earned[ICG],CF_Gen_4[[#This Row],[ICG]],Earned[Incurred],CF_Gen_4[[#This Row],[Incurred]])</f>
        <v>337140554.18287617</v>
      </c>
      <c r="M6" s="18">
        <f>_xlfn.XLOOKUP(CF_Gen_4[[#This Row],[ICG]],Assumptions[ICG],Assumptions[Loss_Ratio])</f>
        <v>0.38</v>
      </c>
      <c r="N6" s="18">
        <f>_xlfn.XLOOKUP(CF_Gen_4[[#This Row],[ICG]],Assumptions[ICG],Assumptions[Risk_Adjustment_Ratio])</f>
        <v>0.13</v>
      </c>
      <c r="O6" s="18">
        <f>_xlfn.XLOOKUP(CF_Gen_4[[#This Row],[ICG]],Assumptions[ICG],Assumptions[PME_Ratio])</f>
        <v>0</v>
      </c>
      <c r="P6" s="18">
        <f>_xlfn.XLOOKUP(CF_Gen_4[[#This Row],[ICG]],Assumptions[ICG],Assumptions[ULAE_Ratio])</f>
        <v>0</v>
      </c>
      <c r="Q6" s="18">
        <f>_xlfn.XLOOKUP(CF_Gen_4[[#This Row],[ICG]],Assumptions[ICG],Assumptions[Cancellation_Ratio])</f>
        <v>7.0000000000000007E-2</v>
      </c>
      <c r="R6" s="18">
        <f>_xlfn.XLOOKUP(CF_Gen_4[[#This Row],[ICG]],Assumptions[ICG],Assumptions[Premium_Refund_Ratio])</f>
        <v>0.5</v>
      </c>
      <c r="S6" s="18">
        <f>IF(CF_Gen_4[[#This Row],[Contract]]="RC",_xlfn.XLOOKUP(CF_Gen_4[[#This Row],[ICG]],Assumptions[ICG],Assumptions[NPR_Ratio]),0)</f>
        <v>2.8000000000000001E-2</v>
      </c>
      <c r="T6" s="17">
        <f>T5*(1-CF_Gen_4[[#This Row],[Cancellation_Ratio]])</f>
        <v>0.74805200999999988</v>
      </c>
      <c r="U6" s="19">
        <f>IF(CF_Gen_4[[#This Row],[Incurred]]&lt;=CF_Gen_4[[#This Row],[Valuation]],CF_Gen_4[[#This Row],[Expected_Premium]],-CF_Gen_4[[#This Row],[Probability_of_Inforce]]*CF_Gen_4[[#This Row],[Premium_Refund_Ratio]]*CF_Gen_4[[#This Row],[Cancellation_Ratio]]*SUM(K6:K$105))</f>
        <v>1240166985.3524716</v>
      </c>
      <c r="V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Row],[Cancellation_Ratio]]*SUM(L6:L$105))</f>
        <v>-403054270.23955369</v>
      </c>
      <c r="W6" s="19">
        <f>CF_Gen_4[[#This Row],[Expected_Acquisition]]</f>
        <v>0</v>
      </c>
      <c r="X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" s="19">
        <f>-CF_Gen_4[[#This Row],[Probability_of_Inforce]]*CF_Gen_4[[#This Row],[Earned_Premium]]*(1-CF_Gen_4[[#This Row],[Cancellation_Ratio]])*CF_Gen_4[[#This Row],[Loss_Ratio]]</f>
        <v>274236952.91835594</v>
      </c>
      <c r="Z6" s="19">
        <f>CF_Gen_4[[#This Row],[Exp_Claim]]*CF_Gen_4[[#This Row],[Risk_Adjustment_Ratio]]</f>
        <v>35650803.879386276</v>
      </c>
      <c r="AA6" s="19">
        <f>IF(CF_Gen_4[[#This Row],[Contract]]="RC",-CF_Gen_4[[#This Row],[NPR_Ratio]]*CF_Gen_4[[#This Row],[Exp_Claim]],0)</f>
        <v>-7678634.6817139667</v>
      </c>
      <c r="AB6" s="19">
        <f>SUMIFS(Actual_CF[Actual_Premium],Actual_CF[ICG],CF_Gen_4[[#This Row],[ICG]],Actual_CF[Incurred],CF_Gen_4[[#This Row],[Incurred]])</f>
        <v>0</v>
      </c>
      <c r="AC6" s="19">
        <f>SUMIFS(Actual_CF[Actual_Commission],Actual_CF[ICG],CF_Gen_4[[#This Row],[ICG]],Actual_CF[Incurred],CF_Gen_4[[#This Row],[Incurred]])</f>
        <v>0</v>
      </c>
      <c r="AD6" s="19">
        <f>SUMIFS(Actual_CF[Actual_Acquisition],Actual_CF[ICG],CF_Gen_4[[#This Row],[ICG]],Actual_CF[Incurred],CF_Gen_4[[#This Row],[Incurred]])</f>
        <v>0</v>
      </c>
    </row>
    <row r="7" spans="1:30">
      <c r="A7" t="str">
        <f t="shared" si="1"/>
        <v>#2025#RC-Property</v>
      </c>
      <c r="B7">
        <f>_xlfn.XLOOKUP(CF_Gen_4[[#This Row],[ICG]],ICG[ICG],ICG[Cohort])</f>
        <v>2025</v>
      </c>
      <c r="C7" t="str">
        <f>_xlfn.XLOOKUP(CF_Gen_4[[#This Row],[ICG]],ICG[ICG],ICG[Portfolio])</f>
        <v>RC-Property</v>
      </c>
      <c r="D7" t="str">
        <f>_xlfn.XLOOKUP(CF_Gen_4[[#This Row],[ICG]],ICG[ICG],ICG[Contract])</f>
        <v>RC</v>
      </c>
      <c r="E7" s="2">
        <f t="shared" si="0"/>
        <v>45930</v>
      </c>
      <c r="F7">
        <v>6</v>
      </c>
      <c r="G7" s="2">
        <f>EOMONTH(DATE(YEAR(CF_Gen_4[[#This Row],[Valuation]])-1,12,31),CF_Gen_4[[#This Row],['#Incurred]]*3)</f>
        <v>46203</v>
      </c>
      <c r="H7" s="14">
        <f>SUMIFS(Expected_CF[Expected_Premium],Expected_CF[ICG],CF_Gen_4[[#This Row],[ICG]],Expected_CF[Incurred],CF_Gen_4[[#This Row],[Incurred]])</f>
        <v>0</v>
      </c>
      <c r="I7" s="14">
        <f>SUMIFS(Expected_CF[Expected_Commission],Expected_CF[ICG],CF_Gen_4[[#This Row],[ICG]],Expected_CF[Incurred],CF_Gen_4[[#This Row],[Incurred]])</f>
        <v>0</v>
      </c>
      <c r="J7" s="14">
        <f>IF(CF_Gen_4[[#This Row],[Contract]]="IC",SUMIFS(Expected_CF[Expected_Acquisition],Expected_CF[ICG],CF_Gen_4[[#This Row],[ICG]],Expected_CF[Incurred],CF_Gen_4[[#This Row],[Incurred]]),0)</f>
        <v>0</v>
      </c>
      <c r="K7" s="14">
        <f>SUMIFS(Earned[Earned_Premium],Earned[ICG],CF_Gen_4[[#This Row],[ICG]],Earned[Incurred],CF_Gen_4[[#This Row],[Incurred]])</f>
        <v>-1022100322.6358687</v>
      </c>
      <c r="L7" s="14">
        <f>SUMIFS(Earned[Earned_Commission],Earned[ICG],CF_Gen_4[[#This Row],[ICG]],Earned[Incurred],CF_Gen_4[[#This Row],[Incurred]])</f>
        <v>332182604.85665739</v>
      </c>
      <c r="M7" s="18">
        <f>_xlfn.XLOOKUP(CF_Gen_4[[#This Row],[ICG]],Assumptions[ICG],Assumptions[Loss_Ratio])</f>
        <v>0.38</v>
      </c>
      <c r="N7" s="18">
        <f>_xlfn.XLOOKUP(CF_Gen_4[[#This Row],[ICG]],Assumptions[ICG],Assumptions[Risk_Adjustment_Ratio])</f>
        <v>0.13</v>
      </c>
      <c r="O7" s="18">
        <f>_xlfn.XLOOKUP(CF_Gen_4[[#This Row],[ICG]],Assumptions[ICG],Assumptions[PME_Ratio])</f>
        <v>0</v>
      </c>
      <c r="P7" s="18">
        <f>_xlfn.XLOOKUP(CF_Gen_4[[#This Row],[ICG]],Assumptions[ICG],Assumptions[ULAE_Ratio])</f>
        <v>0</v>
      </c>
      <c r="Q7" s="18">
        <f>_xlfn.XLOOKUP(CF_Gen_4[[#This Row],[ICG]],Assumptions[ICG],Assumptions[Cancellation_Ratio])</f>
        <v>7.0000000000000007E-2</v>
      </c>
      <c r="R7" s="18">
        <f>_xlfn.XLOOKUP(CF_Gen_4[[#This Row],[ICG]],Assumptions[ICG],Assumptions[Premium_Refund_Ratio])</f>
        <v>0.5</v>
      </c>
      <c r="S7" s="18">
        <f>IF(CF_Gen_4[[#This Row],[Contract]]="RC",_xlfn.XLOOKUP(CF_Gen_4[[#This Row],[ICG]],Assumptions[ICG],Assumptions[NPR_Ratio]),0)</f>
        <v>2.8000000000000001E-2</v>
      </c>
      <c r="T7" s="17">
        <f>T6*(1-CF_Gen_4[[#This Row],[Cancellation_Ratio]])</f>
        <v>0.69568836929999989</v>
      </c>
      <c r="U7" s="19">
        <f>IF(CF_Gen_4[[#This Row],[Incurred]]&lt;=CF_Gen_4[[#This Row],[Valuation]],CF_Gen_4[[#This Row],[Expected_Premium]],-CF_Gen_4[[#This Row],[Probability_of_Inforce]]*CF_Gen_4[[#This Row],[Premium_Refund_Ratio]]*CF_Gen_4[[#This Row],[Cancellation_Ratio]]*SUM(K7:K$105))</f>
        <v>1128096629.6616342</v>
      </c>
      <c r="V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Row],[Cancellation_Ratio]]*SUM(L7:L$105))</f>
        <v>-366631404.64003152</v>
      </c>
      <c r="W7" s="19">
        <f>CF_Gen_4[[#This Row],[Expected_Acquisition]]</f>
        <v>0</v>
      </c>
      <c r="X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" s="19">
        <f>-CF_Gen_4[[#This Row],[Probability_of_Inforce]]*CF_Gen_4[[#This Row],[Earned_Premium]]*(1-CF_Gen_4[[#This Row],[Cancellation_Ratio]])*CF_Gen_4[[#This Row],[Loss_Ratio]]</f>
        <v>251289772.59327582</v>
      </c>
      <c r="Z7" s="19">
        <f>CF_Gen_4[[#This Row],[Exp_Claim]]*CF_Gen_4[[#This Row],[Risk_Adjustment_Ratio]]</f>
        <v>32667670.437125858</v>
      </c>
      <c r="AA7" s="19">
        <f>IF(CF_Gen_4[[#This Row],[Contract]]="RC",-CF_Gen_4[[#This Row],[NPR_Ratio]]*CF_Gen_4[[#This Row],[Exp_Claim]],0)</f>
        <v>-7036113.6326117227</v>
      </c>
      <c r="AB7" s="19">
        <f>SUMIFS(Actual_CF[Actual_Premium],Actual_CF[ICG],CF_Gen_4[[#This Row],[ICG]],Actual_CF[Incurred],CF_Gen_4[[#This Row],[Incurred]])</f>
        <v>0</v>
      </c>
      <c r="AC7" s="19">
        <f>SUMIFS(Actual_CF[Actual_Commission],Actual_CF[ICG],CF_Gen_4[[#This Row],[ICG]],Actual_CF[Incurred],CF_Gen_4[[#This Row],[Incurred]])</f>
        <v>0</v>
      </c>
      <c r="AD7" s="19">
        <f>SUMIFS(Actual_CF[Actual_Acquisition],Actual_CF[ICG],CF_Gen_4[[#This Row],[ICG]],Actual_CF[Incurred],CF_Gen_4[[#This Row],[Incurred]])</f>
        <v>0</v>
      </c>
    </row>
    <row r="8" spans="1:30">
      <c r="A8" t="str">
        <f t="shared" si="1"/>
        <v>#2025#RC-Property</v>
      </c>
      <c r="B8">
        <f>_xlfn.XLOOKUP(CF_Gen_4[[#This Row],[ICG]],ICG[ICG],ICG[Cohort])</f>
        <v>2025</v>
      </c>
      <c r="C8" t="str">
        <f>_xlfn.XLOOKUP(CF_Gen_4[[#This Row],[ICG]],ICG[ICG],ICG[Portfolio])</f>
        <v>RC-Property</v>
      </c>
      <c r="D8" t="str">
        <f>_xlfn.XLOOKUP(CF_Gen_4[[#This Row],[ICG]],ICG[ICG],ICG[Contract])</f>
        <v>RC</v>
      </c>
      <c r="E8" s="2">
        <f t="shared" si="0"/>
        <v>45930</v>
      </c>
      <c r="F8">
        <v>7</v>
      </c>
      <c r="G8" s="2">
        <f>EOMONTH(DATE(YEAR(CF_Gen_4[[#This Row],[Valuation]])-1,12,31),CF_Gen_4[[#This Row],['#Incurred]]*3)</f>
        <v>46295</v>
      </c>
      <c r="H8" s="14">
        <f>SUMIFS(Expected_CF[Expected_Premium],Expected_CF[ICG],CF_Gen_4[[#This Row],[ICG]],Expected_CF[Incurred],CF_Gen_4[[#This Row],[Incurred]])</f>
        <v>0</v>
      </c>
      <c r="I8" s="14">
        <f>SUMIFS(Expected_CF[Expected_Commission],Expected_CF[ICG],CF_Gen_4[[#This Row],[ICG]],Expected_CF[Incurred],CF_Gen_4[[#This Row],[Incurred]])</f>
        <v>0</v>
      </c>
      <c r="J8" s="14">
        <f>IF(CF_Gen_4[[#This Row],[Contract]]="IC",SUMIFS(Expected_CF[Expected_Acquisition],Expected_CF[ICG],CF_Gen_4[[#This Row],[ICG]],Expected_CF[Incurred],CF_Gen_4[[#This Row],[Incurred]]),0)</f>
        <v>0</v>
      </c>
      <c r="K8" s="14">
        <f>SUMIFS(Earned[Earned_Premium],Earned[ICG],CF_Gen_4[[#This Row],[ICG]],Earned[Incurred],CF_Gen_4[[#This Row],[Incurred]])</f>
        <v>-1006845093.939811</v>
      </c>
      <c r="L8" s="14">
        <f>SUMIFS(Earned[Earned_Commission],Earned[ICG],CF_Gen_4[[#This Row],[ICG]],Earned[Incurred],CF_Gen_4[[#This Row],[Incurred]])</f>
        <v>327224655.53043866</v>
      </c>
      <c r="M8" s="18">
        <f>_xlfn.XLOOKUP(CF_Gen_4[[#This Row],[ICG]],Assumptions[ICG],Assumptions[Loss_Ratio])</f>
        <v>0.38</v>
      </c>
      <c r="N8" s="18">
        <f>_xlfn.XLOOKUP(CF_Gen_4[[#This Row],[ICG]],Assumptions[ICG],Assumptions[Risk_Adjustment_Ratio])</f>
        <v>0.13</v>
      </c>
      <c r="O8" s="18">
        <f>_xlfn.XLOOKUP(CF_Gen_4[[#This Row],[ICG]],Assumptions[ICG],Assumptions[PME_Ratio])</f>
        <v>0</v>
      </c>
      <c r="P8" s="18">
        <f>_xlfn.XLOOKUP(CF_Gen_4[[#This Row],[ICG]],Assumptions[ICG],Assumptions[ULAE_Ratio])</f>
        <v>0</v>
      </c>
      <c r="Q8" s="18">
        <f>_xlfn.XLOOKUP(CF_Gen_4[[#This Row],[ICG]],Assumptions[ICG],Assumptions[Cancellation_Ratio])</f>
        <v>7.0000000000000007E-2</v>
      </c>
      <c r="R8" s="18">
        <f>_xlfn.XLOOKUP(CF_Gen_4[[#This Row],[ICG]],Assumptions[ICG],Assumptions[Premium_Refund_Ratio])</f>
        <v>0.5</v>
      </c>
      <c r="S8" s="18">
        <f>IF(CF_Gen_4[[#This Row],[Contract]]="RC",_xlfn.XLOOKUP(CF_Gen_4[[#This Row],[ICG]],Assumptions[ICG],Assumptions[NPR_Ratio]),0)</f>
        <v>2.8000000000000001E-2</v>
      </c>
      <c r="T8" s="17">
        <f>T7*(1-CF_Gen_4[[#This Row],[Cancellation_Ratio]])</f>
        <v>0.64699018344899983</v>
      </c>
      <c r="U8" s="19">
        <f>IF(CF_Gen_4[[#This Row],[Incurred]]&lt;=CF_Gen_4[[#This Row],[Valuation]],CF_Gen_4[[#This Row],[Expected_Premium]],-CF_Gen_4[[#This Row],[Probability_of_Inforce]]*CF_Gen_4[[#This Row],[Premium_Refund_Ratio]]*CF_Gen_4[[#This Row],[Cancellation_Ratio]]*SUM(K8:K$105))</f>
        <v>1025984754.9517286</v>
      </c>
      <c r="V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Row],[Cancellation_Ratio]]*SUM(L8:L$105))</f>
        <v>-333445045.35931212</v>
      </c>
      <c r="W8" s="19">
        <f>CF_Gen_4[[#This Row],[Expected_Acquisition]]</f>
        <v>0</v>
      </c>
      <c r="X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" s="19">
        <f>-CF_Gen_4[[#This Row],[Probability_of_Inforce]]*CF_Gen_4[[#This Row],[Earned_Premium]]*(1-CF_Gen_4[[#This Row],[Cancellation_Ratio]])*CF_Gen_4[[#This Row],[Loss_Ratio]]</f>
        <v>230211436.44440699</v>
      </c>
      <c r="Z8" s="19">
        <f>CF_Gen_4[[#This Row],[Exp_Claim]]*CF_Gen_4[[#This Row],[Risk_Adjustment_Ratio]]</f>
        <v>29927486.737772908</v>
      </c>
      <c r="AA8" s="19">
        <f>IF(CF_Gen_4[[#This Row],[Contract]]="RC",-CF_Gen_4[[#This Row],[NPR_Ratio]]*CF_Gen_4[[#This Row],[Exp_Claim]],0)</f>
        <v>-6445920.2204433959</v>
      </c>
      <c r="AB8" s="19">
        <f>SUMIFS(Actual_CF[Actual_Premium],Actual_CF[ICG],CF_Gen_4[[#This Row],[ICG]],Actual_CF[Incurred],CF_Gen_4[[#This Row],[Incurred]])</f>
        <v>0</v>
      </c>
      <c r="AC8" s="19">
        <f>SUMIFS(Actual_CF[Actual_Commission],Actual_CF[ICG],CF_Gen_4[[#This Row],[ICG]],Actual_CF[Incurred],CF_Gen_4[[#This Row],[Incurred]])</f>
        <v>0</v>
      </c>
      <c r="AD8" s="19">
        <f>SUMIFS(Actual_CF[Actual_Acquisition],Actual_CF[ICG],CF_Gen_4[[#This Row],[ICG]],Actual_CF[Incurred],CF_Gen_4[[#This Row],[Incurred]])</f>
        <v>0</v>
      </c>
    </row>
    <row r="9" spans="1:30">
      <c r="A9" t="str">
        <f t="shared" si="1"/>
        <v>#2025#RC-Property</v>
      </c>
      <c r="B9">
        <f>_xlfn.XLOOKUP(CF_Gen_4[[#This Row],[ICG]],ICG[ICG],ICG[Cohort])</f>
        <v>2025</v>
      </c>
      <c r="C9" t="str">
        <f>_xlfn.XLOOKUP(CF_Gen_4[[#This Row],[ICG]],ICG[ICG],ICG[Portfolio])</f>
        <v>RC-Property</v>
      </c>
      <c r="D9" t="str">
        <f>_xlfn.XLOOKUP(CF_Gen_4[[#This Row],[ICG]],ICG[ICG],ICG[Contract])</f>
        <v>RC</v>
      </c>
      <c r="E9" s="2">
        <f t="shared" si="0"/>
        <v>45930</v>
      </c>
      <c r="F9">
        <v>8</v>
      </c>
      <c r="G9" s="2">
        <f>EOMONTH(DATE(YEAR(CF_Gen_4[[#This Row],[Valuation]])-1,12,31),CF_Gen_4[[#This Row],['#Incurred]]*3)</f>
        <v>46387</v>
      </c>
      <c r="H9" s="14">
        <f>SUMIFS(Expected_CF[Expected_Premium],Expected_CF[ICG],CF_Gen_4[[#This Row],[ICG]],Expected_CF[Incurred],CF_Gen_4[[#This Row],[Incurred]])</f>
        <v>0</v>
      </c>
      <c r="I9" s="14">
        <f>SUMIFS(Expected_CF[Expected_Commission],Expected_CF[ICG],CF_Gen_4[[#This Row],[ICG]],Expected_CF[Incurred],CF_Gen_4[[#This Row],[Incurred]])</f>
        <v>0</v>
      </c>
      <c r="J9" s="14">
        <f>IF(CF_Gen_4[[#This Row],[Contract]]="IC",SUMIFS(Expected_CF[Expected_Acquisition],Expected_CF[ICG],CF_Gen_4[[#This Row],[ICG]],Expected_CF[Incurred],CF_Gen_4[[#This Row],[Incurred]]),0)</f>
        <v>0</v>
      </c>
      <c r="K9" s="14">
        <f>SUMIFS(Earned[Earned_Premium],Earned[ICG],CF_Gen_4[[#This Row],[ICG]],Earned[Incurred],CF_Gen_4[[#This Row],[Incurred]])</f>
        <v>-1006845093.939811</v>
      </c>
      <c r="L9" s="14">
        <f>SUMIFS(Earned[Earned_Commission],Earned[ICG],CF_Gen_4[[#This Row],[ICG]],Earned[Incurred],CF_Gen_4[[#This Row],[Incurred]])</f>
        <v>327224655.53043866</v>
      </c>
      <c r="M9" s="18">
        <f>_xlfn.XLOOKUP(CF_Gen_4[[#This Row],[ICG]],Assumptions[ICG],Assumptions[Loss_Ratio])</f>
        <v>0.38</v>
      </c>
      <c r="N9" s="18">
        <f>_xlfn.XLOOKUP(CF_Gen_4[[#This Row],[ICG]],Assumptions[ICG],Assumptions[Risk_Adjustment_Ratio])</f>
        <v>0.13</v>
      </c>
      <c r="O9" s="18">
        <f>_xlfn.XLOOKUP(CF_Gen_4[[#This Row],[ICG]],Assumptions[ICG],Assumptions[PME_Ratio])</f>
        <v>0</v>
      </c>
      <c r="P9" s="18">
        <f>_xlfn.XLOOKUP(CF_Gen_4[[#This Row],[ICG]],Assumptions[ICG],Assumptions[ULAE_Ratio])</f>
        <v>0</v>
      </c>
      <c r="Q9" s="18">
        <f>_xlfn.XLOOKUP(CF_Gen_4[[#This Row],[ICG]],Assumptions[ICG],Assumptions[Cancellation_Ratio])</f>
        <v>7.0000000000000007E-2</v>
      </c>
      <c r="R9" s="18">
        <f>_xlfn.XLOOKUP(CF_Gen_4[[#This Row],[ICG]],Assumptions[ICG],Assumptions[Premium_Refund_Ratio])</f>
        <v>0.5</v>
      </c>
      <c r="S9" s="18">
        <f>IF(CF_Gen_4[[#This Row],[Contract]]="RC",_xlfn.XLOOKUP(CF_Gen_4[[#This Row],[ICG]],Assumptions[ICG],Assumptions[NPR_Ratio]),0)</f>
        <v>2.8000000000000001E-2</v>
      </c>
      <c r="T9" s="17">
        <f>T8*(1-CF_Gen_4[[#This Row],[Cancellation_Ratio]])</f>
        <v>0.60170087060756983</v>
      </c>
      <c r="U9" s="19">
        <f>IF(CF_Gen_4[[#This Row],[Incurred]]&lt;=CF_Gen_4[[#This Row],[Valuation]],CF_Gen_4[[#This Row],[Expected_Premium]],-CF_Gen_4[[#This Row],[Probability_of_Inforce]]*CF_Gen_4[[#This Row],[Premium_Refund_Ratio]]*CF_Gen_4[[#This Row],[Cancellation_Ratio]]*SUM(K9:K$105))</f>
        <v>932962137.16943872</v>
      </c>
      <c r="V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Row],[Cancellation_Ratio]]*SUM(L9:L$105))</f>
        <v>-303212694.58006775</v>
      </c>
      <c r="W9" s="19">
        <f>CF_Gen_4[[#This Row],[Expected_Acquisition]]</f>
        <v>0</v>
      </c>
      <c r="X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" s="19">
        <f>-CF_Gen_4[[#This Row],[Probability_of_Inforce]]*CF_Gen_4[[#This Row],[Earned_Premium]]*(1-CF_Gen_4[[#This Row],[Cancellation_Ratio]])*CF_Gen_4[[#This Row],[Loss_Ratio]]</f>
        <v>214096635.89329851</v>
      </c>
      <c r="Z9" s="19">
        <f>CF_Gen_4[[#This Row],[Exp_Claim]]*CF_Gen_4[[#This Row],[Risk_Adjustment_Ratio]]</f>
        <v>27832562.666128807</v>
      </c>
      <c r="AA9" s="19">
        <f>IF(CF_Gen_4[[#This Row],[Contract]]="RC",-CF_Gen_4[[#This Row],[NPR_Ratio]]*CF_Gen_4[[#This Row],[Exp_Claim]],0)</f>
        <v>-5994705.8050123584</v>
      </c>
      <c r="AB9" s="19">
        <f>SUMIFS(Actual_CF[Actual_Premium],Actual_CF[ICG],CF_Gen_4[[#This Row],[ICG]],Actual_CF[Incurred],CF_Gen_4[[#This Row],[Incurred]])</f>
        <v>0</v>
      </c>
      <c r="AC9" s="19">
        <f>SUMIFS(Actual_CF[Actual_Commission],Actual_CF[ICG],CF_Gen_4[[#This Row],[ICG]],Actual_CF[Incurred],CF_Gen_4[[#This Row],[Incurred]])</f>
        <v>0</v>
      </c>
      <c r="AD9" s="19">
        <f>SUMIFS(Actual_CF[Actual_Acquisition],Actual_CF[ICG],CF_Gen_4[[#This Row],[ICG]],Actual_CF[Incurred],CF_Gen_4[[#This Row],[Incurred]])</f>
        <v>0</v>
      </c>
    </row>
    <row r="10" spans="1:30">
      <c r="A10" t="str">
        <f t="shared" si="1"/>
        <v>#2025#RC-Property</v>
      </c>
      <c r="B10">
        <f>_xlfn.XLOOKUP(CF_Gen_4[[#This Row],[ICG]],ICG[ICG],ICG[Cohort])</f>
        <v>2025</v>
      </c>
      <c r="C10" t="str">
        <f>_xlfn.XLOOKUP(CF_Gen_4[[#This Row],[ICG]],ICG[ICG],ICG[Portfolio])</f>
        <v>RC-Property</v>
      </c>
      <c r="D10" t="str">
        <f>_xlfn.XLOOKUP(CF_Gen_4[[#This Row],[ICG]],ICG[ICG],ICG[Contract])</f>
        <v>RC</v>
      </c>
      <c r="E10" s="2">
        <f t="shared" si="0"/>
        <v>45930</v>
      </c>
      <c r="F10">
        <v>9</v>
      </c>
      <c r="G10" s="2">
        <f>EOMONTH(DATE(YEAR(CF_Gen_4[[#This Row],[Valuation]])-1,12,31),CF_Gen_4[[#This Row],['#Incurred]]*3)</f>
        <v>46477</v>
      </c>
      <c r="H10" s="14">
        <f>SUMIFS(Expected_CF[Expected_Premium],Expected_CF[ICG],CF_Gen_4[[#This Row],[ICG]],Expected_CF[Incurred],CF_Gen_4[[#This Row],[Incurred]])</f>
        <v>0</v>
      </c>
      <c r="I10" s="14">
        <f>SUMIFS(Expected_CF[Expected_Commission],Expected_CF[ICG],CF_Gen_4[[#This Row],[ICG]],Expected_CF[Incurred],CF_Gen_4[[#This Row],[Incurred]])</f>
        <v>0</v>
      </c>
      <c r="J10" s="14">
        <f>IF(CF_Gen_4[[#This Row],[Contract]]="IC",SUMIFS(Expected_CF[Expected_Acquisition],Expected_CF[ICG],CF_Gen_4[[#This Row],[ICG]],Expected_CF[Incurred],CF_Gen_4[[#This Row],[Incurred]]),0)</f>
        <v>0</v>
      </c>
      <c r="K10" s="14">
        <f>SUMIFS(Earned[Earned_Premium],Earned[ICG],CF_Gen_4[[#This Row],[ICG]],Earned[Incurred],CF_Gen_4[[#This Row],[Incurred]])</f>
        <v>-991589865.24375319</v>
      </c>
      <c r="L10" s="14">
        <f>SUMIFS(Earned[Earned_Commission],Earned[ICG],CF_Gen_4[[#This Row],[ICG]],Earned[Incurred],CF_Gen_4[[#This Row],[Incurred]])</f>
        <v>322266706.20421982</v>
      </c>
      <c r="M10" s="18">
        <f>_xlfn.XLOOKUP(CF_Gen_4[[#This Row],[ICG]],Assumptions[ICG],Assumptions[Loss_Ratio])</f>
        <v>0.38</v>
      </c>
      <c r="N10" s="18">
        <f>_xlfn.XLOOKUP(CF_Gen_4[[#This Row],[ICG]],Assumptions[ICG],Assumptions[Risk_Adjustment_Ratio])</f>
        <v>0.13</v>
      </c>
      <c r="O10" s="18">
        <f>_xlfn.XLOOKUP(CF_Gen_4[[#This Row],[ICG]],Assumptions[ICG],Assumptions[PME_Ratio])</f>
        <v>0</v>
      </c>
      <c r="P10" s="18">
        <f>_xlfn.XLOOKUP(CF_Gen_4[[#This Row],[ICG]],Assumptions[ICG],Assumptions[ULAE_Ratio])</f>
        <v>0</v>
      </c>
      <c r="Q10" s="18">
        <f>_xlfn.XLOOKUP(CF_Gen_4[[#This Row],[ICG]],Assumptions[ICG],Assumptions[Cancellation_Ratio])</f>
        <v>7.0000000000000007E-2</v>
      </c>
      <c r="R10" s="18">
        <f>_xlfn.XLOOKUP(CF_Gen_4[[#This Row],[ICG]],Assumptions[ICG],Assumptions[Premium_Refund_Ratio])</f>
        <v>0.5</v>
      </c>
      <c r="S10" s="18">
        <f>IF(CF_Gen_4[[#This Row],[Contract]]="RC",_xlfn.XLOOKUP(CF_Gen_4[[#This Row],[ICG]],Assumptions[ICG],Assumptions[NPR_Ratio]),0)</f>
        <v>2.8000000000000001E-2</v>
      </c>
      <c r="T10" s="17">
        <f>T9*(1-CF_Gen_4[[#This Row],[Cancellation_Ratio]])</f>
        <v>0.5595818096650399</v>
      </c>
      <c r="U10" s="19">
        <f>IF(CF_Gen_4[[#This Row],[Incurred]]&lt;=CF_Gen_4[[#This Row],[Valuation]],CF_Gen_4[[#This Row],[Expected_Premium]],-CF_Gen_4[[#This Row],[Probability_of_Inforce]]*CF_Gen_4[[#This Row],[Premium_Refund_Ratio]]*CF_Gen_4[[#This Row],[Cancellation_Ratio]]*SUM(K10:K$105))</f>
        <v>847935360.57740557</v>
      </c>
      <c r="V1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Row],[Cancellation_Ratio]]*SUM(L10:L$105))</f>
        <v>-275578992.18765706</v>
      </c>
      <c r="W10" s="19">
        <f>CF_Gen_4[[#This Row],[Expected_Acquisition]]</f>
        <v>0</v>
      </c>
      <c r="X1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0" s="19">
        <f>-CF_Gen_4[[#This Row],[Probability_of_Inforce]]*CF_Gen_4[[#This Row],[Earned_Premium]]*(1-CF_Gen_4[[#This Row],[Cancellation_Ratio]])*CF_Gen_4[[#This Row],[Loss_Ratio]]</f>
        <v>196093055.14772561</v>
      </c>
      <c r="Z10" s="19">
        <f>CF_Gen_4[[#This Row],[Exp_Claim]]*CF_Gen_4[[#This Row],[Risk_Adjustment_Ratio]]</f>
        <v>25492097.169204332</v>
      </c>
      <c r="AA10" s="19">
        <f>IF(CF_Gen_4[[#This Row],[Contract]]="RC",-CF_Gen_4[[#This Row],[NPR_Ratio]]*CF_Gen_4[[#This Row],[Exp_Claim]],0)</f>
        <v>-5490605.5441363174</v>
      </c>
      <c r="AB10" s="19">
        <f>SUMIFS(Actual_CF[Actual_Premium],Actual_CF[ICG],CF_Gen_4[[#This Row],[ICG]],Actual_CF[Incurred],CF_Gen_4[[#This Row],[Incurred]])</f>
        <v>0</v>
      </c>
      <c r="AC10" s="19">
        <f>SUMIFS(Actual_CF[Actual_Commission],Actual_CF[ICG],CF_Gen_4[[#This Row],[ICG]],Actual_CF[Incurred],CF_Gen_4[[#This Row],[Incurred]])</f>
        <v>0</v>
      </c>
      <c r="AD10" s="19">
        <f>SUMIFS(Actual_CF[Actual_Acquisition],Actual_CF[ICG],CF_Gen_4[[#This Row],[ICG]],Actual_CF[Incurred],CF_Gen_4[[#This Row],[Incurred]])</f>
        <v>0</v>
      </c>
    </row>
    <row r="11" spans="1:30">
      <c r="A11" t="str">
        <f t="shared" si="1"/>
        <v>#2025#RC-Property</v>
      </c>
      <c r="B11">
        <f>_xlfn.XLOOKUP(CF_Gen_4[[#This Row],[ICG]],ICG[ICG],ICG[Cohort])</f>
        <v>2025</v>
      </c>
      <c r="C11" t="str">
        <f>_xlfn.XLOOKUP(CF_Gen_4[[#This Row],[ICG]],ICG[ICG],ICG[Portfolio])</f>
        <v>RC-Property</v>
      </c>
      <c r="D11" t="str">
        <f>_xlfn.XLOOKUP(CF_Gen_4[[#This Row],[ICG]],ICG[ICG],ICG[Contract])</f>
        <v>RC</v>
      </c>
      <c r="E11" s="2">
        <f t="shared" si="0"/>
        <v>45930</v>
      </c>
      <c r="F11">
        <v>10</v>
      </c>
      <c r="G11" s="2">
        <f>EOMONTH(DATE(YEAR(CF_Gen_4[[#This Row],[Valuation]])-1,12,31),CF_Gen_4[[#This Row],['#Incurred]]*3)</f>
        <v>46568</v>
      </c>
      <c r="H11" s="14">
        <f>SUMIFS(Expected_CF[Expected_Premium],Expected_CF[ICG],CF_Gen_4[[#This Row],[ICG]],Expected_CF[Incurred],CF_Gen_4[[#This Row],[Incurred]])</f>
        <v>0</v>
      </c>
      <c r="I11" s="14">
        <f>SUMIFS(Expected_CF[Expected_Commission],Expected_CF[ICG],CF_Gen_4[[#This Row],[ICG]],Expected_CF[Incurred],CF_Gen_4[[#This Row],[Incurred]])</f>
        <v>0</v>
      </c>
      <c r="J11" s="14">
        <f>IF(CF_Gen_4[[#This Row],[Contract]]="IC",SUMIFS(Expected_CF[Expected_Acquisition],Expected_CF[ICG],CF_Gen_4[[#This Row],[ICG]],Expected_CF[Incurred],CF_Gen_4[[#This Row],[Incurred]]),0)</f>
        <v>0</v>
      </c>
      <c r="K11" s="14">
        <f>SUMIFS(Earned[Earned_Premium],Earned[ICG],CF_Gen_4[[#This Row],[ICG]],Earned[Incurred],CF_Gen_4[[#This Row],[Incurred]])</f>
        <v>-976334636.54769564</v>
      </c>
      <c r="L11" s="14">
        <f>SUMIFS(Earned[Earned_Commission],Earned[ICG],CF_Gen_4[[#This Row],[ICG]],Earned[Incurred],CF_Gen_4[[#This Row],[Incurred]])</f>
        <v>317308756.87800115</v>
      </c>
      <c r="M11" s="18">
        <f>_xlfn.XLOOKUP(CF_Gen_4[[#This Row],[ICG]],Assumptions[ICG],Assumptions[Loss_Ratio])</f>
        <v>0.38</v>
      </c>
      <c r="N11" s="18">
        <f>_xlfn.XLOOKUP(CF_Gen_4[[#This Row],[ICG]],Assumptions[ICG],Assumptions[Risk_Adjustment_Ratio])</f>
        <v>0.13</v>
      </c>
      <c r="O11" s="18">
        <f>_xlfn.XLOOKUP(CF_Gen_4[[#This Row],[ICG]],Assumptions[ICG],Assumptions[PME_Ratio])</f>
        <v>0</v>
      </c>
      <c r="P11" s="18">
        <f>_xlfn.XLOOKUP(CF_Gen_4[[#This Row],[ICG]],Assumptions[ICG],Assumptions[ULAE_Ratio])</f>
        <v>0</v>
      </c>
      <c r="Q11" s="18">
        <f>_xlfn.XLOOKUP(CF_Gen_4[[#This Row],[ICG]],Assumptions[ICG],Assumptions[Cancellation_Ratio])</f>
        <v>7.0000000000000007E-2</v>
      </c>
      <c r="R11" s="18">
        <f>_xlfn.XLOOKUP(CF_Gen_4[[#This Row],[ICG]],Assumptions[ICG],Assumptions[Premium_Refund_Ratio])</f>
        <v>0.5</v>
      </c>
      <c r="S11" s="18">
        <f>IF(CF_Gen_4[[#This Row],[Contract]]="RC",_xlfn.XLOOKUP(CF_Gen_4[[#This Row],[ICG]],Assumptions[ICG],Assumptions[NPR_Ratio]),0)</f>
        <v>2.8000000000000001E-2</v>
      </c>
      <c r="T11" s="17">
        <f>T10*(1-CF_Gen_4[[#This Row],[Cancellation_Ratio]])</f>
        <v>0.52041108298848704</v>
      </c>
      <c r="U11" s="19">
        <f>IF(CF_Gen_4[[#This Row],[Incurred]]&lt;=CF_Gen_4[[#This Row],[Valuation]],CF_Gen_4[[#This Row],[Expected_Premium]],-CF_Gen_4[[#This Row],[Probability_of_Inforce]]*CF_Gen_4[[#This Row],[Premium_Refund_Ratio]]*CF_Gen_4[[#This Row],[Cancellation_Ratio]]*SUM(K11:K$105))</f>
        <v>770518682.88917029</v>
      </c>
      <c r="V1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Row],[Cancellation_Ratio]]*SUM(L11:L$105))</f>
        <v>-250418571.93898055</v>
      </c>
      <c r="W11" s="19">
        <f>CF_Gen_4[[#This Row],[Expected_Acquisition]]</f>
        <v>0</v>
      </c>
      <c r="X1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1" s="19">
        <f>-CF_Gen_4[[#This Row],[Probability_of_Inforce]]*CF_Gen_4[[#This Row],[Earned_Premium]]*(1-CF_Gen_4[[#This Row],[Cancellation_Ratio]])*CF_Gen_4[[#This Row],[Loss_Ratio]]</f>
        <v>179560902.19065583</v>
      </c>
      <c r="Z11" s="19">
        <f>CF_Gen_4[[#This Row],[Exp_Claim]]*CF_Gen_4[[#This Row],[Risk_Adjustment_Ratio]]</f>
        <v>23342917.28478526</v>
      </c>
      <c r="AA11" s="19">
        <f>IF(CF_Gen_4[[#This Row],[Contract]]="RC",-CF_Gen_4[[#This Row],[NPR_Ratio]]*CF_Gen_4[[#This Row],[Exp_Claim]],0)</f>
        <v>-5027705.2613383634</v>
      </c>
      <c r="AB11" s="19">
        <f>SUMIFS(Actual_CF[Actual_Premium],Actual_CF[ICG],CF_Gen_4[[#This Row],[ICG]],Actual_CF[Incurred],CF_Gen_4[[#This Row],[Incurred]])</f>
        <v>0</v>
      </c>
      <c r="AC11" s="19">
        <f>SUMIFS(Actual_CF[Actual_Commission],Actual_CF[ICG],CF_Gen_4[[#This Row],[ICG]],Actual_CF[Incurred],CF_Gen_4[[#This Row],[Incurred]])</f>
        <v>0</v>
      </c>
      <c r="AD11" s="19">
        <f>SUMIFS(Actual_CF[Actual_Acquisition],Actual_CF[ICG],CF_Gen_4[[#This Row],[ICG]],Actual_CF[Incurred],CF_Gen_4[[#This Row],[Incurred]])</f>
        <v>0</v>
      </c>
    </row>
    <row r="12" spans="1:30">
      <c r="A12" t="str">
        <f t="shared" si="1"/>
        <v>#2025#RC-Property</v>
      </c>
      <c r="B12">
        <f>_xlfn.XLOOKUP(CF_Gen_4[[#This Row],[ICG]],ICG[ICG],ICG[Cohort])</f>
        <v>2025</v>
      </c>
      <c r="C12" t="str">
        <f>_xlfn.XLOOKUP(CF_Gen_4[[#This Row],[ICG]],ICG[ICG],ICG[Portfolio])</f>
        <v>RC-Property</v>
      </c>
      <c r="D12" t="str">
        <f>_xlfn.XLOOKUP(CF_Gen_4[[#This Row],[ICG]],ICG[ICG],ICG[Contract])</f>
        <v>RC</v>
      </c>
      <c r="E12" s="2">
        <f t="shared" si="0"/>
        <v>45930</v>
      </c>
      <c r="F12">
        <v>11</v>
      </c>
      <c r="G12" s="2">
        <f>EOMONTH(DATE(YEAR(CF_Gen_4[[#This Row],[Valuation]])-1,12,31),CF_Gen_4[[#This Row],['#Incurred]]*3)</f>
        <v>46660</v>
      </c>
      <c r="H12" s="14">
        <f>SUMIFS(Expected_CF[Expected_Premium],Expected_CF[ICG],CF_Gen_4[[#This Row],[ICG]],Expected_CF[Incurred],CF_Gen_4[[#This Row],[Incurred]])</f>
        <v>0</v>
      </c>
      <c r="I12" s="14">
        <f>SUMIFS(Expected_CF[Expected_Commission],Expected_CF[ICG],CF_Gen_4[[#This Row],[ICG]],Expected_CF[Incurred],CF_Gen_4[[#This Row],[Incurred]])</f>
        <v>0</v>
      </c>
      <c r="J12" s="14">
        <f>IF(CF_Gen_4[[#This Row],[Contract]]="IC",SUMIFS(Expected_CF[Expected_Acquisition],Expected_CF[ICG],CF_Gen_4[[#This Row],[ICG]],Expected_CF[Incurred],CF_Gen_4[[#This Row],[Incurred]]),0)</f>
        <v>0</v>
      </c>
      <c r="K12" s="14">
        <f>SUMIFS(Earned[Earned_Premium],Earned[ICG],CF_Gen_4[[#This Row],[ICG]],Earned[Incurred],CF_Gen_4[[#This Row],[Incurred]])</f>
        <v>-961079407.85163784</v>
      </c>
      <c r="L12" s="14">
        <f>SUMIFS(Earned[Earned_Commission],Earned[ICG],CF_Gen_4[[#This Row],[ICG]],Earned[Incurred],CF_Gen_4[[#This Row],[Incurred]])</f>
        <v>312350807.55178237</v>
      </c>
      <c r="M12" s="18">
        <f>_xlfn.XLOOKUP(CF_Gen_4[[#This Row],[ICG]],Assumptions[ICG],Assumptions[Loss_Ratio])</f>
        <v>0.38</v>
      </c>
      <c r="N12" s="18">
        <f>_xlfn.XLOOKUP(CF_Gen_4[[#This Row],[ICG]],Assumptions[ICG],Assumptions[Risk_Adjustment_Ratio])</f>
        <v>0.13</v>
      </c>
      <c r="O12" s="18">
        <f>_xlfn.XLOOKUP(CF_Gen_4[[#This Row],[ICG]],Assumptions[ICG],Assumptions[PME_Ratio])</f>
        <v>0</v>
      </c>
      <c r="P12" s="18">
        <f>_xlfn.XLOOKUP(CF_Gen_4[[#This Row],[ICG]],Assumptions[ICG],Assumptions[ULAE_Ratio])</f>
        <v>0</v>
      </c>
      <c r="Q12" s="18">
        <f>_xlfn.XLOOKUP(CF_Gen_4[[#This Row],[ICG]],Assumptions[ICG],Assumptions[Cancellation_Ratio])</f>
        <v>7.0000000000000007E-2</v>
      </c>
      <c r="R12" s="18">
        <f>_xlfn.XLOOKUP(CF_Gen_4[[#This Row],[ICG]],Assumptions[ICG],Assumptions[Premium_Refund_Ratio])</f>
        <v>0.5</v>
      </c>
      <c r="S12" s="18">
        <f>IF(CF_Gen_4[[#This Row],[Contract]]="RC",_xlfn.XLOOKUP(CF_Gen_4[[#This Row],[ICG]],Assumptions[ICG],Assumptions[NPR_Ratio]),0)</f>
        <v>2.8000000000000001E-2</v>
      </c>
      <c r="T12" s="17">
        <f>T11*(1-CF_Gen_4[[#This Row],[Cancellation_Ratio]])</f>
        <v>0.48398230717929291</v>
      </c>
      <c r="U12" s="19">
        <f>IF(CF_Gen_4[[#This Row],[Incurred]]&lt;=CF_Gen_4[[#This Row],[Valuation]],CF_Gen_4[[#This Row],[Expected_Premium]],-CF_Gen_4[[#This Row],[Probability_of_Inforce]]*CF_Gen_4[[#This Row],[Premium_Refund_Ratio]]*CF_Gen_4[[#This Row],[Cancellation_Ratio]]*SUM(K12:K$105))</f>
        <v>700043870.93778908</v>
      </c>
      <c r="V1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Row],[Cancellation_Ratio]]*SUM(L12:L$105))</f>
        <v>-227514258.05478162</v>
      </c>
      <c r="W12" s="19">
        <f>CF_Gen_4[[#This Row],[Expected_Acquisition]]</f>
        <v>0</v>
      </c>
      <c r="X1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2" s="19">
        <f>-CF_Gen_4[[#This Row],[Probability_of_Inforce]]*CF_Gen_4[[#This Row],[Earned_Premium]]*(1-CF_Gen_4[[#This Row],[Cancellation_Ratio]])*CF_Gen_4[[#This Row],[Loss_Ratio]]</f>
        <v>164382394.67735195</v>
      </c>
      <c r="Z12" s="19">
        <f>CF_Gen_4[[#This Row],[Exp_Claim]]*CF_Gen_4[[#This Row],[Risk_Adjustment_Ratio]]</f>
        <v>21369711.308055755</v>
      </c>
      <c r="AA12" s="19">
        <f>IF(CF_Gen_4[[#This Row],[Contract]]="RC",-CF_Gen_4[[#This Row],[NPR_Ratio]]*CF_Gen_4[[#This Row],[Exp_Claim]],0)</f>
        <v>-4602707.0509658549</v>
      </c>
      <c r="AB12" s="19">
        <f>SUMIFS(Actual_CF[Actual_Premium],Actual_CF[ICG],CF_Gen_4[[#This Row],[ICG]],Actual_CF[Incurred],CF_Gen_4[[#This Row],[Incurred]])</f>
        <v>0</v>
      </c>
      <c r="AC12" s="19">
        <f>SUMIFS(Actual_CF[Actual_Commission],Actual_CF[ICG],CF_Gen_4[[#This Row],[ICG]],Actual_CF[Incurred],CF_Gen_4[[#This Row],[Incurred]])</f>
        <v>0</v>
      </c>
      <c r="AD12" s="19">
        <f>SUMIFS(Actual_CF[Actual_Acquisition],Actual_CF[ICG],CF_Gen_4[[#This Row],[ICG]],Actual_CF[Incurred],CF_Gen_4[[#This Row],[Incurred]])</f>
        <v>0</v>
      </c>
    </row>
    <row r="13" spans="1:30">
      <c r="A13" t="str">
        <f t="shared" si="1"/>
        <v>#2025#RC-Property</v>
      </c>
      <c r="B13">
        <f>_xlfn.XLOOKUP(CF_Gen_4[[#This Row],[ICG]],ICG[ICG],ICG[Cohort])</f>
        <v>2025</v>
      </c>
      <c r="C13" t="str">
        <f>_xlfn.XLOOKUP(CF_Gen_4[[#This Row],[ICG]],ICG[ICG],ICG[Portfolio])</f>
        <v>RC-Property</v>
      </c>
      <c r="D13" t="str">
        <f>_xlfn.XLOOKUP(CF_Gen_4[[#This Row],[ICG]],ICG[ICG],ICG[Contract])</f>
        <v>RC</v>
      </c>
      <c r="E13" s="2">
        <f t="shared" si="0"/>
        <v>45930</v>
      </c>
      <c r="F13">
        <v>12</v>
      </c>
      <c r="G13" s="2">
        <f>EOMONTH(DATE(YEAR(CF_Gen_4[[#This Row],[Valuation]])-1,12,31),CF_Gen_4[[#This Row],['#Incurred]]*3)</f>
        <v>46752</v>
      </c>
      <c r="H13" s="14">
        <f>SUMIFS(Expected_CF[Expected_Premium],Expected_CF[ICG],CF_Gen_4[[#This Row],[ICG]],Expected_CF[Incurred],CF_Gen_4[[#This Row],[Incurred]])</f>
        <v>0</v>
      </c>
      <c r="I13" s="14">
        <f>SUMIFS(Expected_CF[Expected_Commission],Expected_CF[ICG],CF_Gen_4[[#This Row],[ICG]],Expected_CF[Incurred],CF_Gen_4[[#This Row],[Incurred]])</f>
        <v>0</v>
      </c>
      <c r="J13" s="14">
        <f>IF(CF_Gen_4[[#This Row],[Contract]]="IC",SUMIFS(Expected_CF[Expected_Acquisition],Expected_CF[ICG],CF_Gen_4[[#This Row],[ICG]],Expected_CF[Incurred],CF_Gen_4[[#This Row],[Incurred]]),0)</f>
        <v>0</v>
      </c>
      <c r="K13" s="14">
        <f>SUMIFS(Earned[Earned_Premium],Earned[ICG],CF_Gen_4[[#This Row],[ICG]],Earned[Incurred],CF_Gen_4[[#This Row],[Incurred]])</f>
        <v>-961079407.85163784</v>
      </c>
      <c r="L13" s="14">
        <f>SUMIFS(Earned[Earned_Commission],Earned[ICG],CF_Gen_4[[#This Row],[ICG]],Earned[Incurred],CF_Gen_4[[#This Row],[Incurred]])</f>
        <v>312350807.55178237</v>
      </c>
      <c r="M13" s="18">
        <f>_xlfn.XLOOKUP(CF_Gen_4[[#This Row],[ICG]],Assumptions[ICG],Assumptions[Loss_Ratio])</f>
        <v>0.38</v>
      </c>
      <c r="N13" s="18">
        <f>_xlfn.XLOOKUP(CF_Gen_4[[#This Row],[ICG]],Assumptions[ICG],Assumptions[Risk_Adjustment_Ratio])</f>
        <v>0.13</v>
      </c>
      <c r="O13" s="18">
        <f>_xlfn.XLOOKUP(CF_Gen_4[[#This Row],[ICG]],Assumptions[ICG],Assumptions[PME_Ratio])</f>
        <v>0</v>
      </c>
      <c r="P13" s="18">
        <f>_xlfn.XLOOKUP(CF_Gen_4[[#This Row],[ICG]],Assumptions[ICG],Assumptions[ULAE_Ratio])</f>
        <v>0</v>
      </c>
      <c r="Q13" s="18">
        <f>_xlfn.XLOOKUP(CF_Gen_4[[#This Row],[ICG]],Assumptions[ICG],Assumptions[Cancellation_Ratio])</f>
        <v>7.0000000000000007E-2</v>
      </c>
      <c r="R13" s="18">
        <f>_xlfn.XLOOKUP(CF_Gen_4[[#This Row],[ICG]],Assumptions[ICG],Assumptions[Premium_Refund_Ratio])</f>
        <v>0.5</v>
      </c>
      <c r="S13" s="18">
        <f>IF(CF_Gen_4[[#This Row],[Contract]]="RC",_xlfn.XLOOKUP(CF_Gen_4[[#This Row],[ICG]],Assumptions[ICG],Assumptions[NPR_Ratio]),0)</f>
        <v>2.8000000000000001E-2</v>
      </c>
      <c r="T13" s="17">
        <f>T12*(1-CF_Gen_4[[#This Row],[Cancellation_Ratio]])</f>
        <v>0.45010354567674238</v>
      </c>
      <c r="U13" s="19">
        <f>IF(CF_Gen_4[[#This Row],[Incurred]]&lt;=CF_Gen_4[[#This Row],[Valuation]],CF_Gen_4[[#This Row],[Expected_Premium]],-CF_Gen_4[[#This Row],[Probability_of_Inforce]]*CF_Gen_4[[#This Row],[Premium_Refund_Ratio]]*CF_Gen_4[[#This Row],[Cancellation_Ratio]]*SUM(K13:K$105))</f>
        <v>635900316.25186133</v>
      </c>
      <c r="V1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Row],[Cancellation_Ratio]]*SUM(L13:L$105))</f>
        <v>-206667602.78185508</v>
      </c>
      <c r="W13" s="19">
        <f>CF_Gen_4[[#This Row],[Expected_Acquisition]]</f>
        <v>0</v>
      </c>
      <c r="X1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3" s="19">
        <f>-CF_Gen_4[[#This Row],[Probability_of_Inforce]]*CF_Gen_4[[#This Row],[Earned_Premium]]*(1-CF_Gen_4[[#This Row],[Cancellation_Ratio]])*CF_Gen_4[[#This Row],[Loss_Ratio]]</f>
        <v>152875627.04993731</v>
      </c>
      <c r="Z13" s="19">
        <f>CF_Gen_4[[#This Row],[Exp_Claim]]*CF_Gen_4[[#This Row],[Risk_Adjustment_Ratio]]</f>
        <v>19873831.516491849</v>
      </c>
      <c r="AA13" s="19">
        <f>IF(CF_Gen_4[[#This Row],[Contract]]="RC",-CF_Gen_4[[#This Row],[NPR_Ratio]]*CF_Gen_4[[#This Row],[Exp_Claim]],0)</f>
        <v>-4280517.5573982447</v>
      </c>
      <c r="AB13" s="19">
        <f>SUMIFS(Actual_CF[Actual_Premium],Actual_CF[ICG],CF_Gen_4[[#This Row],[ICG]],Actual_CF[Incurred],CF_Gen_4[[#This Row],[Incurred]])</f>
        <v>0</v>
      </c>
      <c r="AC13" s="19">
        <f>SUMIFS(Actual_CF[Actual_Commission],Actual_CF[ICG],CF_Gen_4[[#This Row],[ICG]],Actual_CF[Incurred],CF_Gen_4[[#This Row],[Incurred]])</f>
        <v>0</v>
      </c>
      <c r="AD13" s="19">
        <f>SUMIFS(Actual_CF[Actual_Acquisition],Actual_CF[ICG],CF_Gen_4[[#This Row],[ICG]],Actual_CF[Incurred],CF_Gen_4[[#This Row],[Incurred]])</f>
        <v>0</v>
      </c>
    </row>
    <row r="14" spans="1:30">
      <c r="A14" t="str">
        <f t="shared" si="1"/>
        <v>#2025#RC-Property</v>
      </c>
      <c r="B14">
        <f>_xlfn.XLOOKUP(CF_Gen_4[[#This Row],[ICG]],ICG[ICG],ICG[Cohort])</f>
        <v>2025</v>
      </c>
      <c r="C14" t="str">
        <f>_xlfn.XLOOKUP(CF_Gen_4[[#This Row],[ICG]],ICG[ICG],ICG[Portfolio])</f>
        <v>RC-Property</v>
      </c>
      <c r="D14" t="str">
        <f>_xlfn.XLOOKUP(CF_Gen_4[[#This Row],[ICG]],ICG[ICG],ICG[Contract])</f>
        <v>RC</v>
      </c>
      <c r="E14" s="2">
        <f t="shared" si="0"/>
        <v>45930</v>
      </c>
      <c r="F14">
        <v>13</v>
      </c>
      <c r="G14" s="2">
        <f>EOMONTH(DATE(YEAR(CF_Gen_4[[#This Row],[Valuation]])-1,12,31),CF_Gen_4[[#This Row],['#Incurred]]*3)</f>
        <v>46843</v>
      </c>
      <c r="H14" s="14">
        <f>SUMIFS(Expected_CF[Expected_Premium],Expected_CF[ICG],CF_Gen_4[[#This Row],[ICG]],Expected_CF[Incurred],CF_Gen_4[[#This Row],[Incurred]])</f>
        <v>0</v>
      </c>
      <c r="I14" s="14">
        <f>SUMIFS(Expected_CF[Expected_Commission],Expected_CF[ICG],CF_Gen_4[[#This Row],[ICG]],Expected_CF[Incurred],CF_Gen_4[[#This Row],[Incurred]])</f>
        <v>0</v>
      </c>
      <c r="J14" s="14">
        <f>IF(CF_Gen_4[[#This Row],[Contract]]="IC",SUMIFS(Expected_CF[Expected_Acquisition],Expected_CF[ICG],CF_Gen_4[[#This Row],[ICG]],Expected_CF[Incurred],CF_Gen_4[[#This Row],[Incurred]]),0)</f>
        <v>0</v>
      </c>
      <c r="K14" s="14">
        <f>SUMIFS(Earned[Earned_Premium],Earned[ICG],CF_Gen_4[[#This Row],[ICG]],Earned[Incurred],CF_Gen_4[[#This Row],[Incurred]])</f>
        <v>-945824179.15558016</v>
      </c>
      <c r="L14" s="14">
        <f>SUMIFS(Earned[Earned_Commission],Earned[ICG],CF_Gen_4[[#This Row],[ICG]],Earned[Incurred],CF_Gen_4[[#This Row],[Incurred]])</f>
        <v>307392858.22556359</v>
      </c>
      <c r="M14" s="18">
        <f>_xlfn.XLOOKUP(CF_Gen_4[[#This Row],[ICG]],Assumptions[ICG],Assumptions[Loss_Ratio])</f>
        <v>0.38</v>
      </c>
      <c r="N14" s="18">
        <f>_xlfn.XLOOKUP(CF_Gen_4[[#This Row],[ICG]],Assumptions[ICG],Assumptions[Risk_Adjustment_Ratio])</f>
        <v>0.13</v>
      </c>
      <c r="O14" s="18">
        <f>_xlfn.XLOOKUP(CF_Gen_4[[#This Row],[ICG]],Assumptions[ICG],Assumptions[PME_Ratio])</f>
        <v>0</v>
      </c>
      <c r="P14" s="18">
        <f>_xlfn.XLOOKUP(CF_Gen_4[[#This Row],[ICG]],Assumptions[ICG],Assumptions[ULAE_Ratio])</f>
        <v>0</v>
      </c>
      <c r="Q14" s="18">
        <f>_xlfn.XLOOKUP(CF_Gen_4[[#This Row],[ICG]],Assumptions[ICG],Assumptions[Cancellation_Ratio])</f>
        <v>7.0000000000000007E-2</v>
      </c>
      <c r="R14" s="18">
        <f>_xlfn.XLOOKUP(CF_Gen_4[[#This Row],[ICG]],Assumptions[ICG],Assumptions[Premium_Refund_Ratio])</f>
        <v>0.5</v>
      </c>
      <c r="S14" s="18">
        <f>IF(CF_Gen_4[[#This Row],[Contract]]="RC",_xlfn.XLOOKUP(CF_Gen_4[[#This Row],[ICG]],Assumptions[ICG],Assumptions[NPR_Ratio]),0)</f>
        <v>2.8000000000000001E-2</v>
      </c>
      <c r="T14" s="17">
        <f>T13*(1-CF_Gen_4[[#This Row],[Cancellation_Ratio]])</f>
        <v>0.41859629747937038</v>
      </c>
      <c r="U14" s="19">
        <f>IF(CF_Gen_4[[#This Row],[Incurred]]&lt;=CF_Gen_4[[#This Row],[Valuation]],CF_Gen_4[[#This Row],[Expected_Premium]],-CF_Gen_4[[#This Row],[Probability_of_Inforce]]*CF_Gen_4[[#This Row],[Premium_Refund_Ratio]]*CF_Gen_4[[#This Row],[Cancellation_Ratio]]*SUM(K14:K$105))</f>
        <v>577306644.25436831</v>
      </c>
      <c r="V1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Row],[Cancellation_Ratio]]*SUM(L14:L$105))</f>
        <v>-187624659.38266984</v>
      </c>
      <c r="W14" s="19">
        <f>CF_Gen_4[[#This Row],[Expected_Acquisition]]</f>
        <v>0</v>
      </c>
      <c r="X1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4" s="19">
        <f>-CF_Gen_4[[#This Row],[Probability_of_Inforce]]*CF_Gen_4[[#This Row],[Earned_Premium]]*(1-CF_Gen_4[[#This Row],[Cancellation_Ratio]])*CF_Gen_4[[#This Row],[Loss_Ratio]]</f>
        <v>139917597.70951405</v>
      </c>
      <c r="Z14" s="19">
        <f>CF_Gen_4[[#This Row],[Exp_Claim]]*CF_Gen_4[[#This Row],[Risk_Adjustment_Ratio]]</f>
        <v>18189287.702236827</v>
      </c>
      <c r="AA14" s="19">
        <f>IF(CF_Gen_4[[#This Row],[Contract]]="RC",-CF_Gen_4[[#This Row],[NPR_Ratio]]*CF_Gen_4[[#This Row],[Exp_Claim]],0)</f>
        <v>-3917692.7358663934</v>
      </c>
      <c r="AB14" s="19">
        <f>SUMIFS(Actual_CF[Actual_Premium],Actual_CF[ICG],CF_Gen_4[[#This Row],[ICG]],Actual_CF[Incurred],CF_Gen_4[[#This Row],[Incurred]])</f>
        <v>0</v>
      </c>
      <c r="AC14" s="19">
        <f>SUMIFS(Actual_CF[Actual_Commission],Actual_CF[ICG],CF_Gen_4[[#This Row],[ICG]],Actual_CF[Incurred],CF_Gen_4[[#This Row],[Incurred]])</f>
        <v>0</v>
      </c>
      <c r="AD14" s="19">
        <f>SUMIFS(Actual_CF[Actual_Acquisition],Actual_CF[ICG],CF_Gen_4[[#This Row],[ICG]],Actual_CF[Incurred],CF_Gen_4[[#This Row],[Incurred]])</f>
        <v>0</v>
      </c>
    </row>
    <row r="15" spans="1:30">
      <c r="A15" t="str">
        <f t="shared" si="1"/>
        <v>#2025#RC-Property</v>
      </c>
      <c r="B15">
        <f>_xlfn.XLOOKUP(CF_Gen_4[[#This Row],[ICG]],ICG[ICG],ICG[Cohort])</f>
        <v>2025</v>
      </c>
      <c r="C15" t="str">
        <f>_xlfn.XLOOKUP(CF_Gen_4[[#This Row],[ICG]],ICG[ICG],ICG[Portfolio])</f>
        <v>RC-Property</v>
      </c>
      <c r="D15" t="str">
        <f>_xlfn.XLOOKUP(CF_Gen_4[[#This Row],[ICG]],ICG[ICG],ICG[Contract])</f>
        <v>RC</v>
      </c>
      <c r="E15" s="2">
        <f t="shared" si="0"/>
        <v>45930</v>
      </c>
      <c r="F15">
        <v>14</v>
      </c>
      <c r="G15" s="2">
        <f>EOMONTH(DATE(YEAR(CF_Gen_4[[#This Row],[Valuation]])-1,12,31),CF_Gen_4[[#This Row],['#Incurred]]*3)</f>
        <v>46934</v>
      </c>
      <c r="H15" s="14">
        <f>SUMIFS(Expected_CF[Expected_Premium],Expected_CF[ICG],CF_Gen_4[[#This Row],[ICG]],Expected_CF[Incurred],CF_Gen_4[[#This Row],[Incurred]])</f>
        <v>0</v>
      </c>
      <c r="I15" s="14">
        <f>SUMIFS(Expected_CF[Expected_Commission],Expected_CF[ICG],CF_Gen_4[[#This Row],[ICG]],Expected_CF[Incurred],CF_Gen_4[[#This Row],[Incurred]])</f>
        <v>0</v>
      </c>
      <c r="J15" s="14">
        <f>IF(CF_Gen_4[[#This Row],[Contract]]="IC",SUMIFS(Expected_CF[Expected_Acquisition],Expected_CF[ICG],CF_Gen_4[[#This Row],[ICG]],Expected_CF[Incurred],CF_Gen_4[[#This Row],[Incurred]]),0)</f>
        <v>0</v>
      </c>
      <c r="K15" s="14">
        <f>SUMIFS(Earned[Earned_Premium],Earned[ICG],CF_Gen_4[[#This Row],[ICG]],Earned[Incurred],CF_Gen_4[[#This Row],[Incurred]])</f>
        <v>-930568950.45952225</v>
      </c>
      <c r="L15" s="14">
        <f>SUMIFS(Earned[Earned_Commission],Earned[ICG],CF_Gen_4[[#This Row],[ICG]],Earned[Incurred],CF_Gen_4[[#This Row],[Incurred]])</f>
        <v>302434908.8993448</v>
      </c>
      <c r="M15" s="18">
        <f>_xlfn.XLOOKUP(CF_Gen_4[[#This Row],[ICG]],Assumptions[ICG],Assumptions[Loss_Ratio])</f>
        <v>0.38</v>
      </c>
      <c r="N15" s="18">
        <f>_xlfn.XLOOKUP(CF_Gen_4[[#This Row],[ICG]],Assumptions[ICG],Assumptions[Risk_Adjustment_Ratio])</f>
        <v>0.13</v>
      </c>
      <c r="O15" s="18">
        <f>_xlfn.XLOOKUP(CF_Gen_4[[#This Row],[ICG]],Assumptions[ICG],Assumptions[PME_Ratio])</f>
        <v>0</v>
      </c>
      <c r="P15" s="18">
        <f>_xlfn.XLOOKUP(CF_Gen_4[[#This Row],[ICG]],Assumptions[ICG],Assumptions[ULAE_Ratio])</f>
        <v>0</v>
      </c>
      <c r="Q15" s="18">
        <f>_xlfn.XLOOKUP(CF_Gen_4[[#This Row],[ICG]],Assumptions[ICG],Assumptions[Cancellation_Ratio])</f>
        <v>7.0000000000000007E-2</v>
      </c>
      <c r="R15" s="18">
        <f>_xlfn.XLOOKUP(CF_Gen_4[[#This Row],[ICG]],Assumptions[ICG],Assumptions[Premium_Refund_Ratio])</f>
        <v>0.5</v>
      </c>
      <c r="S15" s="18">
        <f>IF(CF_Gen_4[[#This Row],[Contract]]="RC",_xlfn.XLOOKUP(CF_Gen_4[[#This Row],[ICG]],Assumptions[ICG],Assumptions[NPR_Ratio]),0)</f>
        <v>2.8000000000000001E-2</v>
      </c>
      <c r="T15" s="17">
        <f>T14*(1-CF_Gen_4[[#This Row],[Cancellation_Ratio]])</f>
        <v>0.38929455665581442</v>
      </c>
      <c r="U15" s="19">
        <f>IF(CF_Gen_4[[#This Row],[Incurred]]&lt;=CF_Gen_4[[#This Row],[Valuation]],CF_Gen_4[[#This Row],[Expected_Premium]],-CF_Gen_4[[#This Row],[Probability_of_Inforce]]*CF_Gen_4[[#This Row],[Premium_Refund_Ratio]]*CF_Gen_4[[#This Row],[Cancellation_Ratio]]*SUM(K15:K$105))</f>
        <v>524008031.99910736</v>
      </c>
      <c r="V1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Row],[Cancellation_Ratio]]*SUM(L15:L$105))</f>
        <v>-170302610.39970997</v>
      </c>
      <c r="W15" s="19">
        <f>CF_Gen_4[[#This Row],[Expected_Acquisition]]</f>
        <v>0</v>
      </c>
      <c r="X1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5" s="19">
        <f>-CF_Gen_4[[#This Row],[Probability_of_Inforce]]*CF_Gen_4[[#This Row],[Earned_Premium]]*(1-CF_Gen_4[[#This Row],[Cancellation_Ratio]])*CF_Gen_4[[#This Row],[Loss_Ratio]]</f>
        <v>128024601.90420532</v>
      </c>
      <c r="Z15" s="19">
        <f>CF_Gen_4[[#This Row],[Exp_Claim]]*CF_Gen_4[[#This Row],[Risk_Adjustment_Ratio]]</f>
        <v>16643198.247546693</v>
      </c>
      <c r="AA15" s="19">
        <f>IF(CF_Gen_4[[#This Row],[Contract]]="RC",-CF_Gen_4[[#This Row],[NPR_Ratio]]*CF_Gen_4[[#This Row],[Exp_Claim]],0)</f>
        <v>-3584688.8533177492</v>
      </c>
      <c r="AB15" s="19">
        <f>SUMIFS(Actual_CF[Actual_Premium],Actual_CF[ICG],CF_Gen_4[[#This Row],[ICG]],Actual_CF[Incurred],CF_Gen_4[[#This Row],[Incurred]])</f>
        <v>0</v>
      </c>
      <c r="AC15" s="19">
        <f>SUMIFS(Actual_CF[Actual_Commission],Actual_CF[ICG],CF_Gen_4[[#This Row],[ICG]],Actual_CF[Incurred],CF_Gen_4[[#This Row],[Incurred]])</f>
        <v>0</v>
      </c>
      <c r="AD15" s="19">
        <f>SUMIFS(Actual_CF[Actual_Acquisition],Actual_CF[ICG],CF_Gen_4[[#This Row],[ICG]],Actual_CF[Incurred],CF_Gen_4[[#This Row],[Incurred]])</f>
        <v>0</v>
      </c>
    </row>
    <row r="16" spans="1:30">
      <c r="A16" t="str">
        <f t="shared" si="1"/>
        <v>#2025#RC-Property</v>
      </c>
      <c r="B16">
        <f>_xlfn.XLOOKUP(CF_Gen_4[[#This Row],[ICG]],ICG[ICG],ICG[Cohort])</f>
        <v>2025</v>
      </c>
      <c r="C16" t="str">
        <f>_xlfn.XLOOKUP(CF_Gen_4[[#This Row],[ICG]],ICG[ICG],ICG[Portfolio])</f>
        <v>RC-Property</v>
      </c>
      <c r="D16" t="str">
        <f>_xlfn.XLOOKUP(CF_Gen_4[[#This Row],[ICG]],ICG[ICG],ICG[Contract])</f>
        <v>RC</v>
      </c>
      <c r="E16" s="2">
        <f t="shared" si="0"/>
        <v>45930</v>
      </c>
      <c r="F16">
        <v>15</v>
      </c>
      <c r="G16" s="2">
        <f>EOMONTH(DATE(YEAR(CF_Gen_4[[#This Row],[Valuation]])-1,12,31),CF_Gen_4[[#This Row],['#Incurred]]*3)</f>
        <v>47026</v>
      </c>
      <c r="H16" s="14">
        <f>SUMIFS(Expected_CF[Expected_Premium],Expected_CF[ICG],CF_Gen_4[[#This Row],[ICG]],Expected_CF[Incurred],CF_Gen_4[[#This Row],[Incurred]])</f>
        <v>0</v>
      </c>
      <c r="I16" s="14">
        <f>SUMIFS(Expected_CF[Expected_Commission],Expected_CF[ICG],CF_Gen_4[[#This Row],[ICG]],Expected_CF[Incurred],CF_Gen_4[[#This Row],[Incurred]])</f>
        <v>0</v>
      </c>
      <c r="J16" s="14">
        <f>IF(CF_Gen_4[[#This Row],[Contract]]="IC",SUMIFS(Expected_CF[Expected_Acquisition],Expected_CF[ICG],CF_Gen_4[[#This Row],[ICG]],Expected_CF[Incurred],CF_Gen_4[[#This Row],[Incurred]]),0)</f>
        <v>0</v>
      </c>
      <c r="K16" s="14">
        <f>SUMIFS(Earned[Earned_Premium],Earned[ICG],CF_Gen_4[[#This Row],[ICG]],Earned[Incurred],CF_Gen_4[[#This Row],[Incurred]])</f>
        <v>-915313721.76346457</v>
      </c>
      <c r="L16" s="14">
        <f>SUMIFS(Earned[Earned_Commission],Earned[ICG],CF_Gen_4[[#This Row],[ICG]],Earned[Incurred],CF_Gen_4[[#This Row],[Incurred]])</f>
        <v>297476959.57312602</v>
      </c>
      <c r="M16" s="18">
        <f>_xlfn.XLOOKUP(CF_Gen_4[[#This Row],[ICG]],Assumptions[ICG],Assumptions[Loss_Ratio])</f>
        <v>0.38</v>
      </c>
      <c r="N16" s="18">
        <f>_xlfn.XLOOKUP(CF_Gen_4[[#This Row],[ICG]],Assumptions[ICG],Assumptions[Risk_Adjustment_Ratio])</f>
        <v>0.13</v>
      </c>
      <c r="O16" s="18">
        <f>_xlfn.XLOOKUP(CF_Gen_4[[#This Row],[ICG]],Assumptions[ICG],Assumptions[PME_Ratio])</f>
        <v>0</v>
      </c>
      <c r="P16" s="18">
        <f>_xlfn.XLOOKUP(CF_Gen_4[[#This Row],[ICG]],Assumptions[ICG],Assumptions[ULAE_Ratio])</f>
        <v>0</v>
      </c>
      <c r="Q16" s="18">
        <f>_xlfn.XLOOKUP(CF_Gen_4[[#This Row],[ICG]],Assumptions[ICG],Assumptions[Cancellation_Ratio])</f>
        <v>7.0000000000000007E-2</v>
      </c>
      <c r="R16" s="18">
        <f>_xlfn.XLOOKUP(CF_Gen_4[[#This Row],[ICG]],Assumptions[ICG],Assumptions[Premium_Refund_Ratio])</f>
        <v>0.5</v>
      </c>
      <c r="S16" s="18">
        <f>IF(CF_Gen_4[[#This Row],[Contract]]="RC",_xlfn.XLOOKUP(CF_Gen_4[[#This Row],[ICG]],Assumptions[ICG],Assumptions[NPR_Ratio]),0)</f>
        <v>2.8000000000000001E-2</v>
      </c>
      <c r="T16" s="17">
        <f>T15*(1-CF_Gen_4[[#This Row],[Cancellation_Ratio]])</f>
        <v>0.36204393768990739</v>
      </c>
      <c r="U16" s="19">
        <f>IF(CF_Gen_4[[#This Row],[Incurred]]&lt;=CF_Gen_4[[#This Row],[Valuation]],CF_Gen_4[[#This Row],[Expected_Premium]],-CF_Gen_4[[#This Row],[Probability_of_Inforce]]*CF_Gen_4[[#This Row],[Premium_Refund_Ratio]]*CF_Gen_4[[#This Row],[Cancellation_Ratio]]*SUM(K16:K$105))</f>
        <v>475535730.11009836</v>
      </c>
      <c r="V1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Row],[Cancellation_Ratio]]*SUM(L16:L$105))</f>
        <v>-154549112.28578204</v>
      </c>
      <c r="W16" s="19">
        <f>CF_Gen_4[[#This Row],[Expected_Acquisition]]</f>
        <v>0</v>
      </c>
      <c r="X1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6" s="19">
        <f>-CF_Gen_4[[#This Row],[Probability_of_Inforce]]*CF_Gen_4[[#This Row],[Earned_Premium]]*(1-CF_Gen_4[[#This Row],[Cancellation_Ratio]])*CF_Gen_4[[#This Row],[Loss_Ratio]]</f>
        <v>117111029.28286323</v>
      </c>
      <c r="Z16" s="19">
        <f>CF_Gen_4[[#This Row],[Exp_Claim]]*CF_Gen_4[[#This Row],[Risk_Adjustment_Ratio]]</f>
        <v>15224433.806772221</v>
      </c>
      <c r="AA16" s="19">
        <f>IF(CF_Gen_4[[#This Row],[Contract]]="RC",-CF_Gen_4[[#This Row],[NPR_Ratio]]*CF_Gen_4[[#This Row],[Exp_Claim]],0)</f>
        <v>-3279108.8199201706</v>
      </c>
      <c r="AB16" s="19">
        <f>SUMIFS(Actual_CF[Actual_Premium],Actual_CF[ICG],CF_Gen_4[[#This Row],[ICG]],Actual_CF[Incurred],CF_Gen_4[[#This Row],[Incurred]])</f>
        <v>0</v>
      </c>
      <c r="AC16" s="19">
        <f>SUMIFS(Actual_CF[Actual_Commission],Actual_CF[ICG],CF_Gen_4[[#This Row],[ICG]],Actual_CF[Incurred],CF_Gen_4[[#This Row],[Incurred]])</f>
        <v>0</v>
      </c>
      <c r="AD16" s="19">
        <f>SUMIFS(Actual_CF[Actual_Acquisition],Actual_CF[ICG],CF_Gen_4[[#This Row],[ICG]],Actual_CF[Incurred],CF_Gen_4[[#This Row],[Incurred]])</f>
        <v>0</v>
      </c>
    </row>
    <row r="17" spans="1:30">
      <c r="A17" t="str">
        <f t="shared" si="1"/>
        <v>#2025#RC-Property</v>
      </c>
      <c r="B17">
        <f>_xlfn.XLOOKUP(CF_Gen_4[[#This Row],[ICG]],ICG[ICG],ICG[Cohort])</f>
        <v>2025</v>
      </c>
      <c r="C17" t="str">
        <f>_xlfn.XLOOKUP(CF_Gen_4[[#This Row],[ICG]],ICG[ICG],ICG[Portfolio])</f>
        <v>RC-Property</v>
      </c>
      <c r="D17" t="str">
        <f>_xlfn.XLOOKUP(CF_Gen_4[[#This Row],[ICG]],ICG[ICG],ICG[Contract])</f>
        <v>RC</v>
      </c>
      <c r="E17" s="2">
        <f t="shared" si="0"/>
        <v>45930</v>
      </c>
      <c r="F17">
        <v>16</v>
      </c>
      <c r="G17" s="2">
        <f>EOMONTH(DATE(YEAR(CF_Gen_4[[#This Row],[Valuation]])-1,12,31),CF_Gen_4[[#This Row],['#Incurred]]*3)</f>
        <v>47118</v>
      </c>
      <c r="H17" s="14">
        <f>SUMIFS(Expected_CF[Expected_Premium],Expected_CF[ICG],CF_Gen_4[[#This Row],[ICG]],Expected_CF[Incurred],CF_Gen_4[[#This Row],[Incurred]])</f>
        <v>0</v>
      </c>
      <c r="I17" s="14">
        <f>SUMIFS(Expected_CF[Expected_Commission],Expected_CF[ICG],CF_Gen_4[[#This Row],[ICG]],Expected_CF[Incurred],CF_Gen_4[[#This Row],[Incurred]])</f>
        <v>0</v>
      </c>
      <c r="J17" s="14">
        <f>IF(CF_Gen_4[[#This Row],[Contract]]="IC",SUMIFS(Expected_CF[Expected_Acquisition],Expected_CF[ICG],CF_Gen_4[[#This Row],[ICG]],Expected_CF[Incurred],CF_Gen_4[[#This Row],[Incurred]]),0)</f>
        <v>0</v>
      </c>
      <c r="K17" s="14">
        <f>SUMIFS(Earned[Earned_Premium],Earned[ICG],CF_Gen_4[[#This Row],[ICG]],Earned[Incurred],CF_Gen_4[[#This Row],[Incurred]])</f>
        <v>-915313721.76346457</v>
      </c>
      <c r="L17" s="14">
        <f>SUMIFS(Earned[Earned_Commission],Earned[ICG],CF_Gen_4[[#This Row],[ICG]],Earned[Incurred],CF_Gen_4[[#This Row],[Incurred]])</f>
        <v>297476959.57312602</v>
      </c>
      <c r="M17" s="18">
        <f>_xlfn.XLOOKUP(CF_Gen_4[[#This Row],[ICG]],Assumptions[ICG],Assumptions[Loss_Ratio])</f>
        <v>0.38</v>
      </c>
      <c r="N17" s="18">
        <f>_xlfn.XLOOKUP(CF_Gen_4[[#This Row],[ICG]],Assumptions[ICG],Assumptions[Risk_Adjustment_Ratio])</f>
        <v>0.13</v>
      </c>
      <c r="O17" s="18">
        <f>_xlfn.XLOOKUP(CF_Gen_4[[#This Row],[ICG]],Assumptions[ICG],Assumptions[PME_Ratio])</f>
        <v>0</v>
      </c>
      <c r="P17" s="18">
        <f>_xlfn.XLOOKUP(CF_Gen_4[[#This Row],[ICG]],Assumptions[ICG],Assumptions[ULAE_Ratio])</f>
        <v>0</v>
      </c>
      <c r="Q17" s="18">
        <f>_xlfn.XLOOKUP(CF_Gen_4[[#This Row],[ICG]],Assumptions[ICG],Assumptions[Cancellation_Ratio])</f>
        <v>7.0000000000000007E-2</v>
      </c>
      <c r="R17" s="18">
        <f>_xlfn.XLOOKUP(CF_Gen_4[[#This Row],[ICG]],Assumptions[ICG],Assumptions[Premium_Refund_Ratio])</f>
        <v>0.5</v>
      </c>
      <c r="S17" s="18">
        <f>IF(CF_Gen_4[[#This Row],[Contract]]="RC",_xlfn.XLOOKUP(CF_Gen_4[[#This Row],[ICG]],Assumptions[ICG],Assumptions[NPR_Ratio]),0)</f>
        <v>2.8000000000000001E-2</v>
      </c>
      <c r="T17" s="17">
        <f>T16*(1-CF_Gen_4[[#This Row],[Cancellation_Ratio]])</f>
        <v>0.33670086205161387</v>
      </c>
      <c r="U17" s="19">
        <f>IF(CF_Gen_4[[#This Row],[Incurred]]&lt;=CF_Gen_4[[#This Row],[Valuation]],CF_Gen_4[[#This Row],[Expected_Premium]],-CF_Gen_4[[#This Row],[Probability_of_Inforce]]*CF_Gen_4[[#This Row],[Premium_Refund_Ratio]]*CF_Gen_4[[#This Row],[Cancellation_Ratio]]*SUM(K17:K$105))</f>
        <v>431461686.83160144</v>
      </c>
      <c r="V1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Row],[Cancellation_Ratio]]*SUM(L17:L$105))</f>
        <v>-140225048.22027057</v>
      </c>
      <c r="W17" s="19">
        <f>CF_Gen_4[[#This Row],[Expected_Acquisition]]</f>
        <v>0</v>
      </c>
      <c r="X1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7" s="19">
        <f>-CF_Gen_4[[#This Row],[Probability_of_Inforce]]*CF_Gen_4[[#This Row],[Earned_Premium]]*(1-CF_Gen_4[[#This Row],[Cancellation_Ratio]])*CF_Gen_4[[#This Row],[Loss_Ratio]]</f>
        <v>108913257.2330628</v>
      </c>
      <c r="Z17" s="19">
        <f>CF_Gen_4[[#This Row],[Exp_Claim]]*CF_Gen_4[[#This Row],[Risk_Adjustment_Ratio]]</f>
        <v>14158723.440298164</v>
      </c>
      <c r="AA17" s="19">
        <f>IF(CF_Gen_4[[#This Row],[Contract]]="RC",-CF_Gen_4[[#This Row],[NPR_Ratio]]*CF_Gen_4[[#This Row],[Exp_Claim]],0)</f>
        <v>-3049571.2025257587</v>
      </c>
      <c r="AB17" s="19">
        <f>SUMIFS(Actual_CF[Actual_Premium],Actual_CF[ICG],CF_Gen_4[[#This Row],[ICG]],Actual_CF[Incurred],CF_Gen_4[[#This Row],[Incurred]])</f>
        <v>0</v>
      </c>
      <c r="AC17" s="19">
        <f>SUMIFS(Actual_CF[Actual_Commission],Actual_CF[ICG],CF_Gen_4[[#This Row],[ICG]],Actual_CF[Incurred],CF_Gen_4[[#This Row],[Incurred]])</f>
        <v>0</v>
      </c>
      <c r="AD17" s="19">
        <f>SUMIFS(Actual_CF[Actual_Acquisition],Actual_CF[ICG],CF_Gen_4[[#This Row],[ICG]],Actual_CF[Incurred],CF_Gen_4[[#This Row],[Incurred]])</f>
        <v>0</v>
      </c>
    </row>
    <row r="18" spans="1:30">
      <c r="A18" t="str">
        <f t="shared" si="1"/>
        <v>#2025#RC-Property</v>
      </c>
      <c r="B18">
        <f>_xlfn.XLOOKUP(CF_Gen_4[[#This Row],[ICG]],ICG[ICG],ICG[Cohort])</f>
        <v>2025</v>
      </c>
      <c r="C18" t="str">
        <f>_xlfn.XLOOKUP(CF_Gen_4[[#This Row],[ICG]],ICG[ICG],ICG[Portfolio])</f>
        <v>RC-Property</v>
      </c>
      <c r="D18" t="str">
        <f>_xlfn.XLOOKUP(CF_Gen_4[[#This Row],[ICG]],ICG[ICG],ICG[Contract])</f>
        <v>RC</v>
      </c>
      <c r="E18" s="2">
        <f t="shared" si="0"/>
        <v>45930</v>
      </c>
      <c r="F18">
        <v>17</v>
      </c>
      <c r="G18" s="2">
        <f>EOMONTH(DATE(YEAR(CF_Gen_4[[#This Row],[Valuation]])-1,12,31),CF_Gen_4[[#This Row],['#Incurred]]*3)</f>
        <v>47208</v>
      </c>
      <c r="H18" s="14">
        <f>SUMIFS(Expected_CF[Expected_Premium],Expected_CF[ICG],CF_Gen_4[[#This Row],[ICG]],Expected_CF[Incurred],CF_Gen_4[[#This Row],[Incurred]])</f>
        <v>0</v>
      </c>
      <c r="I18" s="14">
        <f>SUMIFS(Expected_CF[Expected_Commission],Expected_CF[ICG],CF_Gen_4[[#This Row],[ICG]],Expected_CF[Incurred],CF_Gen_4[[#This Row],[Incurred]])</f>
        <v>0</v>
      </c>
      <c r="J18" s="14">
        <f>IF(CF_Gen_4[[#This Row],[Contract]]="IC",SUMIFS(Expected_CF[Expected_Acquisition],Expected_CF[ICG],CF_Gen_4[[#This Row],[ICG]],Expected_CF[Incurred],CF_Gen_4[[#This Row],[Incurred]]),0)</f>
        <v>0</v>
      </c>
      <c r="K18" s="14">
        <f>SUMIFS(Earned[Earned_Premium],Earned[ICG],CF_Gen_4[[#This Row],[ICG]],Earned[Incurred],CF_Gen_4[[#This Row],[Incurred]])</f>
        <v>-900058493.06740677</v>
      </c>
      <c r="L18" s="14">
        <f>SUMIFS(Earned[Earned_Commission],Earned[ICG],CF_Gen_4[[#This Row],[ICG]],Earned[Incurred],CF_Gen_4[[#This Row],[Incurred]])</f>
        <v>292519010.24690723</v>
      </c>
      <c r="M18" s="18">
        <f>_xlfn.XLOOKUP(CF_Gen_4[[#This Row],[ICG]],Assumptions[ICG],Assumptions[Loss_Ratio])</f>
        <v>0.38</v>
      </c>
      <c r="N18" s="18">
        <f>_xlfn.XLOOKUP(CF_Gen_4[[#This Row],[ICG]],Assumptions[ICG],Assumptions[Risk_Adjustment_Ratio])</f>
        <v>0.13</v>
      </c>
      <c r="O18" s="18">
        <f>_xlfn.XLOOKUP(CF_Gen_4[[#This Row],[ICG]],Assumptions[ICG],Assumptions[PME_Ratio])</f>
        <v>0</v>
      </c>
      <c r="P18" s="18">
        <f>_xlfn.XLOOKUP(CF_Gen_4[[#This Row],[ICG]],Assumptions[ICG],Assumptions[ULAE_Ratio])</f>
        <v>0</v>
      </c>
      <c r="Q18" s="18">
        <f>_xlfn.XLOOKUP(CF_Gen_4[[#This Row],[ICG]],Assumptions[ICG],Assumptions[Cancellation_Ratio])</f>
        <v>7.0000000000000007E-2</v>
      </c>
      <c r="R18" s="18">
        <f>_xlfn.XLOOKUP(CF_Gen_4[[#This Row],[ICG]],Assumptions[ICG],Assumptions[Premium_Refund_Ratio])</f>
        <v>0.5</v>
      </c>
      <c r="S18" s="18">
        <f>IF(CF_Gen_4[[#This Row],[Contract]]="RC",_xlfn.XLOOKUP(CF_Gen_4[[#This Row],[ICG]],Assumptions[ICG],Assumptions[NPR_Ratio]),0)</f>
        <v>2.8000000000000001E-2</v>
      </c>
      <c r="T18" s="17">
        <f>T17*(1-CF_Gen_4[[#This Row],[Cancellation_Ratio]])</f>
        <v>0.31313180170800087</v>
      </c>
      <c r="U18" s="19">
        <f>IF(CF_Gen_4[[#This Row],[Incurred]]&lt;=CF_Gen_4[[#This Row],[Valuation]],CF_Gen_4[[#This Row],[Expected_Premium]],-CF_Gen_4[[#This Row],[Probability_of_Inforce]]*CF_Gen_4[[#This Row],[Premium_Refund_Ratio]]*CF_Gen_4[[#This Row],[Cancellation_Ratio]]*SUM(K18:K$105))</f>
        <v>391227884.53455448</v>
      </c>
      <c r="V1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Row],[Cancellation_Ratio]]*SUM(L18:L$105))</f>
        <v>-127149062.47373031</v>
      </c>
      <c r="W18" s="19">
        <f>CF_Gen_4[[#This Row],[Expected_Acquisition]]</f>
        <v>0</v>
      </c>
      <c r="X1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8" s="19">
        <f>-CF_Gen_4[[#This Row],[Probability_of_Inforce]]*CF_Gen_4[[#This Row],[Earned_Premium]]*(1-CF_Gen_4[[#This Row],[Cancellation_Ratio]])*CF_Gen_4[[#This Row],[Loss_Ratio]]</f>
        <v>99601173.7396359</v>
      </c>
      <c r="Z18" s="19">
        <f>CF_Gen_4[[#This Row],[Exp_Claim]]*CF_Gen_4[[#This Row],[Risk_Adjustment_Ratio]]</f>
        <v>12948152.586152667</v>
      </c>
      <c r="AA18" s="19">
        <f>IF(CF_Gen_4[[#This Row],[Contract]]="RC",-CF_Gen_4[[#This Row],[NPR_Ratio]]*CF_Gen_4[[#This Row],[Exp_Claim]],0)</f>
        <v>-2788832.8647098052</v>
      </c>
      <c r="AB18" s="19">
        <f>SUMIFS(Actual_CF[Actual_Premium],Actual_CF[ICG],CF_Gen_4[[#This Row],[ICG]],Actual_CF[Incurred],CF_Gen_4[[#This Row],[Incurred]])</f>
        <v>0</v>
      </c>
      <c r="AC18" s="19">
        <f>SUMIFS(Actual_CF[Actual_Commission],Actual_CF[ICG],CF_Gen_4[[#This Row],[ICG]],Actual_CF[Incurred],CF_Gen_4[[#This Row],[Incurred]])</f>
        <v>0</v>
      </c>
      <c r="AD18" s="19">
        <f>SUMIFS(Actual_CF[Actual_Acquisition],Actual_CF[ICG],CF_Gen_4[[#This Row],[ICG]],Actual_CF[Incurred],CF_Gen_4[[#This Row],[Incurred]])</f>
        <v>0</v>
      </c>
    </row>
    <row r="19" spans="1:30">
      <c r="A19" t="str">
        <f t="shared" si="1"/>
        <v>#2025#RC-Property</v>
      </c>
      <c r="B19">
        <f>_xlfn.XLOOKUP(CF_Gen_4[[#This Row],[ICG]],ICG[ICG],ICG[Cohort])</f>
        <v>2025</v>
      </c>
      <c r="C19" t="str">
        <f>_xlfn.XLOOKUP(CF_Gen_4[[#This Row],[ICG]],ICG[ICG],ICG[Portfolio])</f>
        <v>RC-Property</v>
      </c>
      <c r="D19" t="str">
        <f>_xlfn.XLOOKUP(CF_Gen_4[[#This Row],[ICG]],ICG[ICG],ICG[Contract])</f>
        <v>RC</v>
      </c>
      <c r="E19" s="2">
        <f t="shared" si="0"/>
        <v>45930</v>
      </c>
      <c r="F19">
        <v>18</v>
      </c>
      <c r="G19" s="2">
        <f>EOMONTH(DATE(YEAR(CF_Gen_4[[#This Row],[Valuation]])-1,12,31),CF_Gen_4[[#This Row],['#Incurred]]*3)</f>
        <v>47299</v>
      </c>
      <c r="H19" s="14">
        <f>SUMIFS(Expected_CF[Expected_Premium],Expected_CF[ICG],CF_Gen_4[[#This Row],[ICG]],Expected_CF[Incurred],CF_Gen_4[[#This Row],[Incurred]])</f>
        <v>0</v>
      </c>
      <c r="I19" s="14">
        <f>SUMIFS(Expected_CF[Expected_Commission],Expected_CF[ICG],CF_Gen_4[[#This Row],[ICG]],Expected_CF[Incurred],CF_Gen_4[[#This Row],[Incurred]])</f>
        <v>0</v>
      </c>
      <c r="J19" s="14">
        <f>IF(CF_Gen_4[[#This Row],[Contract]]="IC",SUMIFS(Expected_CF[Expected_Acquisition],Expected_CF[ICG],CF_Gen_4[[#This Row],[ICG]],Expected_CF[Incurred],CF_Gen_4[[#This Row],[Incurred]]),0)</f>
        <v>0</v>
      </c>
      <c r="K19" s="14">
        <f>SUMIFS(Earned[Earned_Premium],Earned[ICG],CF_Gen_4[[#This Row],[ICG]],Earned[Incurred],CF_Gen_4[[#This Row],[Incurred]])</f>
        <v>-884803264.37134922</v>
      </c>
      <c r="L19" s="14">
        <f>SUMIFS(Earned[Earned_Commission],Earned[ICG],CF_Gen_4[[#This Row],[ICG]],Earned[Incurred],CF_Gen_4[[#This Row],[Incurred]])</f>
        <v>287561060.92068857</v>
      </c>
      <c r="M19" s="18">
        <f>_xlfn.XLOOKUP(CF_Gen_4[[#This Row],[ICG]],Assumptions[ICG],Assumptions[Loss_Ratio])</f>
        <v>0.38</v>
      </c>
      <c r="N19" s="18">
        <f>_xlfn.XLOOKUP(CF_Gen_4[[#This Row],[ICG]],Assumptions[ICG],Assumptions[Risk_Adjustment_Ratio])</f>
        <v>0.13</v>
      </c>
      <c r="O19" s="18">
        <f>_xlfn.XLOOKUP(CF_Gen_4[[#This Row],[ICG]],Assumptions[ICG],Assumptions[PME_Ratio])</f>
        <v>0</v>
      </c>
      <c r="P19" s="18">
        <f>_xlfn.XLOOKUP(CF_Gen_4[[#This Row],[ICG]],Assumptions[ICG],Assumptions[ULAE_Ratio])</f>
        <v>0</v>
      </c>
      <c r="Q19" s="18">
        <f>_xlfn.XLOOKUP(CF_Gen_4[[#This Row],[ICG]],Assumptions[ICG],Assumptions[Cancellation_Ratio])</f>
        <v>7.0000000000000007E-2</v>
      </c>
      <c r="R19" s="18">
        <f>_xlfn.XLOOKUP(CF_Gen_4[[#This Row],[ICG]],Assumptions[ICG],Assumptions[Premium_Refund_Ratio])</f>
        <v>0.5</v>
      </c>
      <c r="S19" s="18">
        <f>IF(CF_Gen_4[[#This Row],[Contract]]="RC",_xlfn.XLOOKUP(CF_Gen_4[[#This Row],[ICG]],Assumptions[ICG],Assumptions[NPR_Ratio]),0)</f>
        <v>2.8000000000000001E-2</v>
      </c>
      <c r="T19" s="17">
        <f>T18*(1-CF_Gen_4[[#This Row],[Cancellation_Ratio]])</f>
        <v>0.29121257558844077</v>
      </c>
      <c r="U19" s="19">
        <f>IF(CF_Gen_4[[#This Row],[Incurred]]&lt;=CF_Gen_4[[#This Row],[Valuation]],CF_Gen_4[[#This Row],[Expected_Premium]],-CF_Gen_4[[#This Row],[Probability_of_Inforce]]*CF_Gen_4[[#This Row],[Premium_Refund_Ratio]]*CF_Gen_4[[#This Row],[Cancellation_Ratio]]*SUM(K19:K$105))</f>
        <v>354668140.29901135</v>
      </c>
      <c r="V1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Row],[Cancellation_Ratio]]*SUM(L19:L$105))</f>
        <v>-115267145.59717874</v>
      </c>
      <c r="W19" s="19">
        <f>CF_Gen_4[[#This Row],[Expected_Acquisition]]</f>
        <v>0</v>
      </c>
      <c r="X1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9" s="19">
        <f>-CF_Gen_4[[#This Row],[Probability_of_Inforce]]*CF_Gen_4[[#This Row],[Earned_Premium]]*(1-CF_Gen_4[[#This Row],[Cancellation_Ratio]])*CF_Gen_4[[#This Row],[Loss_Ratio]]</f>
        <v>91059106.97484681</v>
      </c>
      <c r="Z19" s="19">
        <f>CF_Gen_4[[#This Row],[Exp_Claim]]*CF_Gen_4[[#This Row],[Risk_Adjustment_Ratio]]</f>
        <v>11837683.906730086</v>
      </c>
      <c r="AA19" s="19">
        <f>IF(CF_Gen_4[[#This Row],[Contract]]="RC",-CF_Gen_4[[#This Row],[NPR_Ratio]]*CF_Gen_4[[#This Row],[Exp_Claim]],0)</f>
        <v>-2549654.9952957109</v>
      </c>
      <c r="AB19" s="19">
        <f>SUMIFS(Actual_CF[Actual_Premium],Actual_CF[ICG],CF_Gen_4[[#This Row],[ICG]],Actual_CF[Incurred],CF_Gen_4[[#This Row],[Incurred]])</f>
        <v>0</v>
      </c>
      <c r="AC19" s="19">
        <f>SUMIFS(Actual_CF[Actual_Commission],Actual_CF[ICG],CF_Gen_4[[#This Row],[ICG]],Actual_CF[Incurred],CF_Gen_4[[#This Row],[Incurred]])</f>
        <v>0</v>
      </c>
      <c r="AD19" s="19">
        <f>SUMIFS(Actual_CF[Actual_Acquisition],Actual_CF[ICG],CF_Gen_4[[#This Row],[ICG]],Actual_CF[Incurred],CF_Gen_4[[#This Row],[Incurred]])</f>
        <v>0</v>
      </c>
    </row>
    <row r="20" spans="1:30">
      <c r="A20" t="str">
        <f t="shared" si="1"/>
        <v>#2025#RC-Property</v>
      </c>
      <c r="B20">
        <f>_xlfn.XLOOKUP(CF_Gen_4[[#This Row],[ICG]],ICG[ICG],ICG[Cohort])</f>
        <v>2025</v>
      </c>
      <c r="C20" t="str">
        <f>_xlfn.XLOOKUP(CF_Gen_4[[#This Row],[ICG]],ICG[ICG],ICG[Portfolio])</f>
        <v>RC-Property</v>
      </c>
      <c r="D20" t="str">
        <f>_xlfn.XLOOKUP(CF_Gen_4[[#This Row],[ICG]],ICG[ICG],ICG[Contract])</f>
        <v>RC</v>
      </c>
      <c r="E20" s="2">
        <f t="shared" si="0"/>
        <v>45930</v>
      </c>
      <c r="F20">
        <v>19</v>
      </c>
      <c r="G20" s="2">
        <f>EOMONTH(DATE(YEAR(CF_Gen_4[[#This Row],[Valuation]])-1,12,31),CF_Gen_4[[#This Row],['#Incurred]]*3)</f>
        <v>47391</v>
      </c>
      <c r="H20" s="14">
        <f>SUMIFS(Expected_CF[Expected_Premium],Expected_CF[ICG],CF_Gen_4[[#This Row],[ICG]],Expected_CF[Incurred],CF_Gen_4[[#This Row],[Incurred]])</f>
        <v>0</v>
      </c>
      <c r="I20" s="14">
        <f>SUMIFS(Expected_CF[Expected_Commission],Expected_CF[ICG],CF_Gen_4[[#This Row],[ICG]],Expected_CF[Incurred],CF_Gen_4[[#This Row],[Incurred]])</f>
        <v>0</v>
      </c>
      <c r="J20" s="14">
        <f>IF(CF_Gen_4[[#This Row],[Contract]]="IC",SUMIFS(Expected_CF[Expected_Acquisition],Expected_CF[ICG],CF_Gen_4[[#This Row],[ICG]],Expected_CF[Incurred],CF_Gen_4[[#This Row],[Incurred]]),0)</f>
        <v>0</v>
      </c>
      <c r="K20" s="14">
        <f>SUMIFS(Earned[Earned_Premium],Earned[ICG],CF_Gen_4[[#This Row],[ICG]],Earned[Incurred],CF_Gen_4[[#This Row],[Incurred]])</f>
        <v>-869548035.67529142</v>
      </c>
      <c r="L20" s="14">
        <f>SUMIFS(Earned[Earned_Commission],Earned[ICG],CF_Gen_4[[#This Row],[ICG]],Earned[Incurred],CF_Gen_4[[#This Row],[Incurred]])</f>
        <v>282603111.59446973</v>
      </c>
      <c r="M20" s="18">
        <f>_xlfn.XLOOKUP(CF_Gen_4[[#This Row],[ICG]],Assumptions[ICG],Assumptions[Loss_Ratio])</f>
        <v>0.38</v>
      </c>
      <c r="N20" s="18">
        <f>_xlfn.XLOOKUP(CF_Gen_4[[#This Row],[ICG]],Assumptions[ICG],Assumptions[Risk_Adjustment_Ratio])</f>
        <v>0.13</v>
      </c>
      <c r="O20" s="18">
        <f>_xlfn.XLOOKUP(CF_Gen_4[[#This Row],[ICG]],Assumptions[ICG],Assumptions[PME_Ratio])</f>
        <v>0</v>
      </c>
      <c r="P20" s="18">
        <f>_xlfn.XLOOKUP(CF_Gen_4[[#This Row],[ICG]],Assumptions[ICG],Assumptions[ULAE_Ratio])</f>
        <v>0</v>
      </c>
      <c r="Q20" s="18">
        <f>_xlfn.XLOOKUP(CF_Gen_4[[#This Row],[ICG]],Assumptions[ICG],Assumptions[Cancellation_Ratio])</f>
        <v>7.0000000000000007E-2</v>
      </c>
      <c r="R20" s="18">
        <f>_xlfn.XLOOKUP(CF_Gen_4[[#This Row],[ICG]],Assumptions[ICG],Assumptions[Premium_Refund_Ratio])</f>
        <v>0.5</v>
      </c>
      <c r="S20" s="18">
        <f>IF(CF_Gen_4[[#This Row],[Contract]]="RC",_xlfn.XLOOKUP(CF_Gen_4[[#This Row],[ICG]],Assumptions[ICG],Assumptions[NPR_Ratio]),0)</f>
        <v>2.8000000000000001E-2</v>
      </c>
      <c r="T20" s="17">
        <f>T19*(1-CF_Gen_4[[#This Row],[Cancellation_Ratio]])</f>
        <v>0.27082769529724987</v>
      </c>
      <c r="U20" s="19">
        <f>IF(CF_Gen_4[[#This Row],[Incurred]]&lt;=CF_Gen_4[[#This Row],[Valuation]],CF_Gen_4[[#This Row],[Expected_Premium]],-CF_Gen_4[[#This Row],[Probability_of_Inforce]]*CF_Gen_4[[#This Row],[Premium_Refund_Ratio]]*CF_Gen_4[[#This Row],[Cancellation_Ratio]]*SUM(K20:K$105))</f>
        <v>321454347.46723932</v>
      </c>
      <c r="V2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Row],[Cancellation_Ratio]]*SUM(L20:L$105))</f>
        <v>-104472662.92685284</v>
      </c>
      <c r="W20" s="19">
        <f>CF_Gen_4[[#This Row],[Expected_Acquisition]]</f>
        <v>0</v>
      </c>
      <c r="X2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0" s="19">
        <f>-CF_Gen_4[[#This Row],[Probability_of_Inforce]]*CF_Gen_4[[#This Row],[Earned_Premium]]*(1-CF_Gen_4[[#This Row],[Cancellation_Ratio]])*CF_Gen_4[[#This Row],[Loss_Ratio]]</f>
        <v>83224883.805803925</v>
      </c>
      <c r="Z20" s="19">
        <f>CF_Gen_4[[#This Row],[Exp_Claim]]*CF_Gen_4[[#This Row],[Risk_Adjustment_Ratio]]</f>
        <v>10819234.89475451</v>
      </c>
      <c r="AA20" s="19">
        <f>IF(CF_Gen_4[[#This Row],[Contract]]="RC",-CF_Gen_4[[#This Row],[NPR_Ratio]]*CF_Gen_4[[#This Row],[Exp_Claim]],0)</f>
        <v>-2330296.7465625098</v>
      </c>
      <c r="AB20" s="19">
        <f>SUMIFS(Actual_CF[Actual_Premium],Actual_CF[ICG],CF_Gen_4[[#This Row],[ICG]],Actual_CF[Incurred],CF_Gen_4[[#This Row],[Incurred]])</f>
        <v>0</v>
      </c>
      <c r="AC20" s="19">
        <f>SUMIFS(Actual_CF[Actual_Commission],Actual_CF[ICG],CF_Gen_4[[#This Row],[ICG]],Actual_CF[Incurred],CF_Gen_4[[#This Row],[Incurred]])</f>
        <v>0</v>
      </c>
      <c r="AD20" s="19">
        <f>SUMIFS(Actual_CF[Actual_Acquisition],Actual_CF[ICG],CF_Gen_4[[#This Row],[ICG]],Actual_CF[Incurred],CF_Gen_4[[#This Row],[Incurred]])</f>
        <v>0</v>
      </c>
    </row>
    <row r="21" spans="1:30">
      <c r="A21" t="str">
        <f t="shared" si="1"/>
        <v>#2025#RC-Property</v>
      </c>
      <c r="B21">
        <f>_xlfn.XLOOKUP(CF_Gen_4[[#This Row],[ICG]],ICG[ICG],ICG[Cohort])</f>
        <v>2025</v>
      </c>
      <c r="C21" t="str">
        <f>_xlfn.XLOOKUP(CF_Gen_4[[#This Row],[ICG]],ICG[ICG],ICG[Portfolio])</f>
        <v>RC-Property</v>
      </c>
      <c r="D21" t="str">
        <f>_xlfn.XLOOKUP(CF_Gen_4[[#This Row],[ICG]],ICG[ICG],ICG[Contract])</f>
        <v>RC</v>
      </c>
      <c r="E21" s="2">
        <f t="shared" si="0"/>
        <v>45930</v>
      </c>
      <c r="F21">
        <v>20</v>
      </c>
      <c r="G21" s="2">
        <f>EOMONTH(DATE(YEAR(CF_Gen_4[[#This Row],[Valuation]])-1,12,31),CF_Gen_4[[#This Row],['#Incurred]]*3)</f>
        <v>47483</v>
      </c>
      <c r="H21" s="14">
        <f>SUMIFS(Expected_CF[Expected_Premium],Expected_CF[ICG],CF_Gen_4[[#This Row],[ICG]],Expected_CF[Incurred],CF_Gen_4[[#This Row],[Incurred]])</f>
        <v>0</v>
      </c>
      <c r="I21" s="14">
        <f>SUMIFS(Expected_CF[Expected_Commission],Expected_CF[ICG],CF_Gen_4[[#This Row],[ICG]],Expected_CF[Incurred],CF_Gen_4[[#This Row],[Incurred]])</f>
        <v>0</v>
      </c>
      <c r="J21" s="14">
        <f>IF(CF_Gen_4[[#This Row],[Contract]]="IC",SUMIFS(Expected_CF[Expected_Acquisition],Expected_CF[ICG],CF_Gen_4[[#This Row],[ICG]],Expected_CF[Incurred],CF_Gen_4[[#This Row],[Incurred]]),0)</f>
        <v>0</v>
      </c>
      <c r="K21" s="14">
        <f>SUMIFS(Earned[Earned_Premium],Earned[ICG],CF_Gen_4[[#This Row],[ICG]],Earned[Incurred],CF_Gen_4[[#This Row],[Incurred]])</f>
        <v>-869548035.67529142</v>
      </c>
      <c r="L21" s="14">
        <f>SUMIFS(Earned[Earned_Commission],Earned[ICG],CF_Gen_4[[#This Row],[ICG]],Earned[Incurred],CF_Gen_4[[#This Row],[Incurred]])</f>
        <v>282603111.59446973</v>
      </c>
      <c r="M21" s="18">
        <f>_xlfn.XLOOKUP(CF_Gen_4[[#This Row],[ICG]],Assumptions[ICG],Assumptions[Loss_Ratio])</f>
        <v>0.38</v>
      </c>
      <c r="N21" s="18">
        <f>_xlfn.XLOOKUP(CF_Gen_4[[#This Row],[ICG]],Assumptions[ICG],Assumptions[Risk_Adjustment_Ratio])</f>
        <v>0.13</v>
      </c>
      <c r="O21" s="18">
        <f>_xlfn.XLOOKUP(CF_Gen_4[[#This Row],[ICG]],Assumptions[ICG],Assumptions[PME_Ratio])</f>
        <v>0</v>
      </c>
      <c r="P21" s="18">
        <f>_xlfn.XLOOKUP(CF_Gen_4[[#This Row],[ICG]],Assumptions[ICG],Assumptions[ULAE_Ratio])</f>
        <v>0</v>
      </c>
      <c r="Q21" s="18">
        <f>_xlfn.XLOOKUP(CF_Gen_4[[#This Row],[ICG]],Assumptions[ICG],Assumptions[Cancellation_Ratio])</f>
        <v>7.0000000000000007E-2</v>
      </c>
      <c r="R21" s="18">
        <f>_xlfn.XLOOKUP(CF_Gen_4[[#This Row],[ICG]],Assumptions[ICG],Assumptions[Premium_Refund_Ratio])</f>
        <v>0.5</v>
      </c>
      <c r="S21" s="18">
        <f>IF(CF_Gen_4[[#This Row],[Contract]]="RC",_xlfn.XLOOKUP(CF_Gen_4[[#This Row],[ICG]],Assumptions[ICG],Assumptions[NPR_Ratio]),0)</f>
        <v>2.8000000000000001E-2</v>
      </c>
      <c r="T21" s="17">
        <f>T20*(1-CF_Gen_4[[#This Row],[Cancellation_Ratio]])</f>
        <v>0.25186975662644234</v>
      </c>
      <c r="U21" s="19">
        <f>IF(CF_Gen_4[[#This Row],[Incurred]]&lt;=CF_Gen_4[[#This Row],[Valuation]],CF_Gen_4[[#This Row],[Expected_Premium]],-CF_Gen_4[[#This Row],[Probability_of_Inforce]]*CF_Gen_4[[#This Row],[Premium_Refund_Ratio]]*CF_Gen_4[[#This Row],[Cancellation_Ratio]]*SUM(K21:K$105))</f>
        <v>291287093.32031375</v>
      </c>
      <c r="V2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Row],[Cancellation_Ratio]]*SUM(L21:L$105))</f>
        <v>-94668305.32910201</v>
      </c>
      <c r="W21" s="19">
        <f>CF_Gen_4[[#This Row],[Expected_Acquisition]]</f>
        <v>0</v>
      </c>
      <c r="X2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1" s="19">
        <f>-CF_Gen_4[[#This Row],[Probability_of_Inforce]]*CF_Gen_4[[#This Row],[Earned_Premium]]*(1-CF_Gen_4[[#This Row],[Cancellation_Ratio]])*CF_Gen_4[[#This Row],[Loss_Ratio]]</f>
        <v>77399141.939397648</v>
      </c>
      <c r="Z21" s="19">
        <f>CF_Gen_4[[#This Row],[Exp_Claim]]*CF_Gen_4[[#This Row],[Risk_Adjustment_Ratio]]</f>
        <v>10061888.452121696</v>
      </c>
      <c r="AA21" s="19">
        <f>IF(CF_Gen_4[[#This Row],[Contract]]="RC",-CF_Gen_4[[#This Row],[NPR_Ratio]]*CF_Gen_4[[#This Row],[Exp_Claim]],0)</f>
        <v>-2167175.9743031343</v>
      </c>
      <c r="AB21" s="19">
        <f>SUMIFS(Actual_CF[Actual_Premium],Actual_CF[ICG],CF_Gen_4[[#This Row],[ICG]],Actual_CF[Incurred],CF_Gen_4[[#This Row],[Incurred]])</f>
        <v>0</v>
      </c>
      <c r="AC21" s="19">
        <f>SUMIFS(Actual_CF[Actual_Commission],Actual_CF[ICG],CF_Gen_4[[#This Row],[ICG]],Actual_CF[Incurred],CF_Gen_4[[#This Row],[Incurred]])</f>
        <v>0</v>
      </c>
      <c r="AD21" s="19">
        <f>SUMIFS(Actual_CF[Actual_Acquisition],Actual_CF[ICG],CF_Gen_4[[#This Row],[ICG]],Actual_CF[Incurred],CF_Gen_4[[#This Row],[Incurred]])</f>
        <v>0</v>
      </c>
    </row>
    <row r="22" spans="1:30">
      <c r="A22" t="str">
        <f t="shared" si="1"/>
        <v>#2025#RC-Property</v>
      </c>
      <c r="B22">
        <f>_xlfn.XLOOKUP(CF_Gen_4[[#This Row],[ICG]],ICG[ICG],ICG[Cohort])</f>
        <v>2025</v>
      </c>
      <c r="C22" t="str">
        <f>_xlfn.XLOOKUP(CF_Gen_4[[#This Row],[ICG]],ICG[ICG],ICG[Portfolio])</f>
        <v>RC-Property</v>
      </c>
      <c r="D22" t="str">
        <f>_xlfn.XLOOKUP(CF_Gen_4[[#This Row],[ICG]],ICG[ICG],ICG[Contract])</f>
        <v>RC</v>
      </c>
      <c r="E22" s="2">
        <f t="shared" si="0"/>
        <v>45930</v>
      </c>
      <c r="F22">
        <v>21</v>
      </c>
      <c r="G22" s="2">
        <f>EOMONTH(DATE(YEAR(CF_Gen_4[[#This Row],[Valuation]])-1,12,31),CF_Gen_4[[#This Row],['#Incurred]]*3)</f>
        <v>47573</v>
      </c>
      <c r="H22" s="14">
        <f>SUMIFS(Expected_CF[Expected_Premium],Expected_CF[ICG],CF_Gen_4[[#This Row],[ICG]],Expected_CF[Incurred],CF_Gen_4[[#This Row],[Incurred]])</f>
        <v>0</v>
      </c>
      <c r="I22" s="14">
        <f>SUMIFS(Expected_CF[Expected_Commission],Expected_CF[ICG],CF_Gen_4[[#This Row],[ICG]],Expected_CF[Incurred],CF_Gen_4[[#This Row],[Incurred]])</f>
        <v>0</v>
      </c>
      <c r="J22" s="14">
        <f>IF(CF_Gen_4[[#This Row],[Contract]]="IC",SUMIFS(Expected_CF[Expected_Acquisition],Expected_CF[ICG],CF_Gen_4[[#This Row],[ICG]],Expected_CF[Incurred],CF_Gen_4[[#This Row],[Incurred]]),0)</f>
        <v>0</v>
      </c>
      <c r="K22" s="14">
        <f>SUMIFS(Earned[Earned_Premium],Earned[ICG],CF_Gen_4[[#This Row],[ICG]],Earned[Incurred],CF_Gen_4[[#This Row],[Incurred]])</f>
        <v>-854292806.97923374</v>
      </c>
      <c r="L22" s="14">
        <f>SUMIFS(Earned[Earned_Commission],Earned[ICG],CF_Gen_4[[#This Row],[ICG]],Earned[Incurred],CF_Gen_4[[#This Row],[Incurred]])</f>
        <v>277645162.268251</v>
      </c>
      <c r="M22" s="18">
        <f>_xlfn.XLOOKUP(CF_Gen_4[[#This Row],[ICG]],Assumptions[ICG],Assumptions[Loss_Ratio])</f>
        <v>0.38</v>
      </c>
      <c r="N22" s="18">
        <f>_xlfn.XLOOKUP(CF_Gen_4[[#This Row],[ICG]],Assumptions[ICG],Assumptions[Risk_Adjustment_Ratio])</f>
        <v>0.13</v>
      </c>
      <c r="O22" s="18">
        <f>_xlfn.XLOOKUP(CF_Gen_4[[#This Row],[ICG]],Assumptions[ICG],Assumptions[PME_Ratio])</f>
        <v>0</v>
      </c>
      <c r="P22" s="18">
        <f>_xlfn.XLOOKUP(CF_Gen_4[[#This Row],[ICG]],Assumptions[ICG],Assumptions[ULAE_Ratio])</f>
        <v>0</v>
      </c>
      <c r="Q22" s="18">
        <f>_xlfn.XLOOKUP(CF_Gen_4[[#This Row],[ICG]],Assumptions[ICG],Assumptions[Cancellation_Ratio])</f>
        <v>7.0000000000000007E-2</v>
      </c>
      <c r="R22" s="18">
        <f>_xlfn.XLOOKUP(CF_Gen_4[[#This Row],[ICG]],Assumptions[ICG],Assumptions[Premium_Refund_Ratio])</f>
        <v>0.5</v>
      </c>
      <c r="S22" s="18">
        <f>IF(CF_Gen_4[[#This Row],[Contract]]="RC",_xlfn.XLOOKUP(CF_Gen_4[[#This Row],[ICG]],Assumptions[ICG],Assumptions[NPR_Ratio]),0)</f>
        <v>2.8000000000000001E-2</v>
      </c>
      <c r="T22" s="17">
        <f>T21*(1-CF_Gen_4[[#This Row],[Cancellation_Ratio]])</f>
        <v>0.23423887366259136</v>
      </c>
      <c r="U22" s="19">
        <f>IF(CF_Gen_4[[#This Row],[Incurred]]&lt;=CF_Gen_4[[#This Row],[Valuation]],CF_Gen_4[[#This Row],[Expected_Premium]],-CF_Gen_4[[#This Row],[Probability_of_Inforce]]*CF_Gen_4[[#This Row],[Premium_Refund_Ratio]]*CF_Gen_4[[#This Row],[Cancellation_Ratio]]*SUM(K22:K$105))</f>
        <v>263768128.4513683</v>
      </c>
      <c r="V2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Row],[Cancellation_Ratio]]*SUM(L22:L$105))</f>
        <v>-85724641.746694729</v>
      </c>
      <c r="W22" s="19">
        <f>CF_Gen_4[[#This Row],[Expected_Acquisition]]</f>
        <v>0</v>
      </c>
      <c r="X2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2" s="19">
        <f>-CF_Gen_4[[#This Row],[Probability_of_Inforce]]*CF_Gen_4[[#This Row],[Earned_Premium]]*(1-CF_Gen_4[[#This Row],[Cancellation_Ratio]])*CF_Gen_4[[#This Row],[Loss_Ratio]]</f>
        <v>70718373.898312792</v>
      </c>
      <c r="Z22" s="19">
        <f>CF_Gen_4[[#This Row],[Exp_Claim]]*CF_Gen_4[[#This Row],[Risk_Adjustment_Ratio]]</f>
        <v>9193388.6067806631</v>
      </c>
      <c r="AA22" s="19">
        <f>IF(CF_Gen_4[[#This Row],[Contract]]="RC",-CF_Gen_4[[#This Row],[NPR_Ratio]]*CF_Gen_4[[#This Row],[Exp_Claim]],0)</f>
        <v>-1980114.4691527581</v>
      </c>
      <c r="AB22" s="19">
        <f>SUMIFS(Actual_CF[Actual_Premium],Actual_CF[ICG],CF_Gen_4[[#This Row],[ICG]],Actual_CF[Incurred],CF_Gen_4[[#This Row],[Incurred]])</f>
        <v>0</v>
      </c>
      <c r="AC22" s="19">
        <f>SUMIFS(Actual_CF[Actual_Commission],Actual_CF[ICG],CF_Gen_4[[#This Row],[ICG]],Actual_CF[Incurred],CF_Gen_4[[#This Row],[Incurred]])</f>
        <v>0</v>
      </c>
      <c r="AD22" s="19">
        <f>SUMIFS(Actual_CF[Actual_Acquisition],Actual_CF[ICG],CF_Gen_4[[#This Row],[ICG]],Actual_CF[Incurred],CF_Gen_4[[#This Row],[Incurred]])</f>
        <v>0</v>
      </c>
    </row>
    <row r="23" spans="1:30">
      <c r="A23" t="str">
        <f t="shared" si="1"/>
        <v>#2025#RC-Property</v>
      </c>
      <c r="B23">
        <f>_xlfn.XLOOKUP(CF_Gen_4[[#This Row],[ICG]],ICG[ICG],ICG[Cohort])</f>
        <v>2025</v>
      </c>
      <c r="C23" t="str">
        <f>_xlfn.XLOOKUP(CF_Gen_4[[#This Row],[ICG]],ICG[ICG],ICG[Portfolio])</f>
        <v>RC-Property</v>
      </c>
      <c r="D23" t="str">
        <f>_xlfn.XLOOKUP(CF_Gen_4[[#This Row],[ICG]],ICG[ICG],ICG[Contract])</f>
        <v>RC</v>
      </c>
      <c r="E23" s="2">
        <f t="shared" si="0"/>
        <v>45930</v>
      </c>
      <c r="F23">
        <v>22</v>
      </c>
      <c r="G23" s="2">
        <f>EOMONTH(DATE(YEAR(CF_Gen_4[[#This Row],[Valuation]])-1,12,31),CF_Gen_4[[#This Row],['#Incurred]]*3)</f>
        <v>47664</v>
      </c>
      <c r="H23" s="14">
        <f>SUMIFS(Expected_CF[Expected_Premium],Expected_CF[ICG],CF_Gen_4[[#This Row],[ICG]],Expected_CF[Incurred],CF_Gen_4[[#This Row],[Incurred]])</f>
        <v>0</v>
      </c>
      <c r="I23" s="14">
        <f>SUMIFS(Expected_CF[Expected_Commission],Expected_CF[ICG],CF_Gen_4[[#This Row],[ICG]],Expected_CF[Incurred],CF_Gen_4[[#This Row],[Incurred]])</f>
        <v>0</v>
      </c>
      <c r="J23" s="14">
        <f>IF(CF_Gen_4[[#This Row],[Contract]]="IC",SUMIFS(Expected_CF[Expected_Acquisition],Expected_CF[ICG],CF_Gen_4[[#This Row],[ICG]],Expected_CF[Incurred],CF_Gen_4[[#This Row],[Incurred]]),0)</f>
        <v>0</v>
      </c>
      <c r="K23" s="14">
        <f>SUMIFS(Earned[Earned_Premium],Earned[ICG],CF_Gen_4[[#This Row],[ICG]],Earned[Incurred],CF_Gen_4[[#This Row],[Incurred]])</f>
        <v>-839037578.28317583</v>
      </c>
      <c r="L23" s="14">
        <f>SUMIFS(Earned[Earned_Commission],Earned[ICG],CF_Gen_4[[#This Row],[ICG]],Earned[Incurred],CF_Gen_4[[#This Row],[Incurred]])</f>
        <v>272687212.94203222</v>
      </c>
      <c r="M23" s="18">
        <f>_xlfn.XLOOKUP(CF_Gen_4[[#This Row],[ICG]],Assumptions[ICG],Assumptions[Loss_Ratio])</f>
        <v>0.38</v>
      </c>
      <c r="N23" s="18">
        <f>_xlfn.XLOOKUP(CF_Gen_4[[#This Row],[ICG]],Assumptions[ICG],Assumptions[Risk_Adjustment_Ratio])</f>
        <v>0.13</v>
      </c>
      <c r="O23" s="18">
        <f>_xlfn.XLOOKUP(CF_Gen_4[[#This Row],[ICG]],Assumptions[ICG],Assumptions[PME_Ratio])</f>
        <v>0</v>
      </c>
      <c r="P23" s="18">
        <f>_xlfn.XLOOKUP(CF_Gen_4[[#This Row],[ICG]],Assumptions[ICG],Assumptions[ULAE_Ratio])</f>
        <v>0</v>
      </c>
      <c r="Q23" s="18">
        <f>_xlfn.XLOOKUP(CF_Gen_4[[#This Row],[ICG]],Assumptions[ICG],Assumptions[Cancellation_Ratio])</f>
        <v>7.0000000000000007E-2</v>
      </c>
      <c r="R23" s="18">
        <f>_xlfn.XLOOKUP(CF_Gen_4[[#This Row],[ICG]],Assumptions[ICG],Assumptions[Premium_Refund_Ratio])</f>
        <v>0.5</v>
      </c>
      <c r="S23" s="18">
        <f>IF(CF_Gen_4[[#This Row],[Contract]]="RC",_xlfn.XLOOKUP(CF_Gen_4[[#This Row],[ICG]],Assumptions[ICG],Assumptions[NPR_Ratio]),0)</f>
        <v>2.8000000000000001E-2</v>
      </c>
      <c r="T23" s="17">
        <f>T22*(1-CF_Gen_4[[#This Row],[Cancellation_Ratio]])</f>
        <v>0.21784215250620995</v>
      </c>
      <c r="U23" s="19">
        <f>IF(CF_Gen_4[[#This Row],[Incurred]]&lt;=CF_Gen_4[[#This Row],[Valuation]],CF_Gen_4[[#This Row],[Expected_Premium]],-CF_Gen_4[[#This Row],[Probability_of_Inforce]]*CF_Gen_4[[#This Row],[Premium_Refund_Ratio]]*CF_Gen_4[[#This Row],[Cancellation_Ratio]]*SUM(K23:K$105))</f>
        <v>238790825.02177</v>
      </c>
      <c r="V2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Row],[Cancellation_Ratio]]*SUM(L23:L$105))</f>
        <v>-77607018.132075295</v>
      </c>
      <c r="W23" s="19">
        <f>CF_Gen_4[[#This Row],[Expected_Acquisition]]</f>
        <v>0</v>
      </c>
      <c r="X2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3" s="19">
        <f>-CF_Gen_4[[#This Row],[Probability_of_Inforce]]*CF_Gen_4[[#This Row],[Earned_Premium]]*(1-CF_Gen_4[[#This Row],[Cancellation_Ratio]])*CF_Gen_4[[#This Row],[Loss_Ratio]]</f>
        <v>64593657.58747676</v>
      </c>
      <c r="Z23" s="19">
        <f>CF_Gen_4[[#This Row],[Exp_Claim]]*CF_Gen_4[[#This Row],[Risk_Adjustment_Ratio]]</f>
        <v>8397175.4863719791</v>
      </c>
      <c r="AA23" s="19">
        <f>IF(CF_Gen_4[[#This Row],[Contract]]="RC",-CF_Gen_4[[#This Row],[NPR_Ratio]]*CF_Gen_4[[#This Row],[Exp_Claim]],0)</f>
        <v>-1808622.4124493494</v>
      </c>
      <c r="AB23" s="19">
        <f>SUMIFS(Actual_CF[Actual_Premium],Actual_CF[ICG],CF_Gen_4[[#This Row],[ICG]],Actual_CF[Incurred],CF_Gen_4[[#This Row],[Incurred]])</f>
        <v>0</v>
      </c>
      <c r="AC23" s="19">
        <f>SUMIFS(Actual_CF[Actual_Commission],Actual_CF[ICG],CF_Gen_4[[#This Row],[ICG]],Actual_CF[Incurred],CF_Gen_4[[#This Row],[Incurred]])</f>
        <v>0</v>
      </c>
      <c r="AD23" s="19">
        <f>SUMIFS(Actual_CF[Actual_Acquisition],Actual_CF[ICG],CF_Gen_4[[#This Row],[ICG]],Actual_CF[Incurred],CF_Gen_4[[#This Row],[Incurred]])</f>
        <v>0</v>
      </c>
    </row>
    <row r="24" spans="1:30">
      <c r="A24" t="str">
        <f t="shared" si="1"/>
        <v>#2025#RC-Property</v>
      </c>
      <c r="B24">
        <f>_xlfn.XLOOKUP(CF_Gen_4[[#This Row],[ICG]],ICG[ICG],ICG[Cohort])</f>
        <v>2025</v>
      </c>
      <c r="C24" t="str">
        <f>_xlfn.XLOOKUP(CF_Gen_4[[#This Row],[ICG]],ICG[ICG],ICG[Portfolio])</f>
        <v>RC-Property</v>
      </c>
      <c r="D24" t="str">
        <f>_xlfn.XLOOKUP(CF_Gen_4[[#This Row],[ICG]],ICG[ICG],ICG[Contract])</f>
        <v>RC</v>
      </c>
      <c r="E24" s="2">
        <f t="shared" si="0"/>
        <v>45930</v>
      </c>
      <c r="F24">
        <v>23</v>
      </c>
      <c r="G24" s="2">
        <f>EOMONTH(DATE(YEAR(CF_Gen_4[[#This Row],[Valuation]])-1,12,31),CF_Gen_4[[#This Row],['#Incurred]]*3)</f>
        <v>47756</v>
      </c>
      <c r="H24" s="14">
        <f>SUMIFS(Expected_CF[Expected_Premium],Expected_CF[ICG],CF_Gen_4[[#This Row],[ICG]],Expected_CF[Incurred],CF_Gen_4[[#This Row],[Incurred]])</f>
        <v>0</v>
      </c>
      <c r="I24" s="14">
        <f>SUMIFS(Expected_CF[Expected_Commission],Expected_CF[ICG],CF_Gen_4[[#This Row],[ICG]],Expected_CF[Incurred],CF_Gen_4[[#This Row],[Incurred]])</f>
        <v>0</v>
      </c>
      <c r="J24" s="14">
        <f>IF(CF_Gen_4[[#This Row],[Contract]]="IC",SUMIFS(Expected_CF[Expected_Acquisition],Expected_CF[ICG],CF_Gen_4[[#This Row],[ICG]],Expected_CF[Incurred],CF_Gen_4[[#This Row],[Incurred]]),0)</f>
        <v>0</v>
      </c>
      <c r="K24" s="14">
        <f>SUMIFS(Earned[Earned_Premium],Earned[ICG],CF_Gen_4[[#This Row],[ICG]],Earned[Incurred],CF_Gen_4[[#This Row],[Incurred]])</f>
        <v>-823782349.58711815</v>
      </c>
      <c r="L24" s="14">
        <f>SUMIFS(Earned[Earned_Commission],Earned[ICG],CF_Gen_4[[#This Row],[ICG]],Earned[Incurred],CF_Gen_4[[#This Row],[Incurred]])</f>
        <v>267729263.61581343</v>
      </c>
      <c r="M24" s="18">
        <f>_xlfn.XLOOKUP(CF_Gen_4[[#This Row],[ICG]],Assumptions[ICG],Assumptions[Loss_Ratio])</f>
        <v>0.38</v>
      </c>
      <c r="N24" s="18">
        <f>_xlfn.XLOOKUP(CF_Gen_4[[#This Row],[ICG]],Assumptions[ICG],Assumptions[Risk_Adjustment_Ratio])</f>
        <v>0.13</v>
      </c>
      <c r="O24" s="18">
        <f>_xlfn.XLOOKUP(CF_Gen_4[[#This Row],[ICG]],Assumptions[ICG],Assumptions[PME_Ratio])</f>
        <v>0</v>
      </c>
      <c r="P24" s="18">
        <f>_xlfn.XLOOKUP(CF_Gen_4[[#This Row],[ICG]],Assumptions[ICG],Assumptions[ULAE_Ratio])</f>
        <v>0</v>
      </c>
      <c r="Q24" s="18">
        <f>_xlfn.XLOOKUP(CF_Gen_4[[#This Row],[ICG]],Assumptions[ICG],Assumptions[Cancellation_Ratio])</f>
        <v>7.0000000000000007E-2</v>
      </c>
      <c r="R24" s="18">
        <f>_xlfn.XLOOKUP(CF_Gen_4[[#This Row],[ICG]],Assumptions[ICG],Assumptions[Premium_Refund_Ratio])</f>
        <v>0.5</v>
      </c>
      <c r="S24" s="18">
        <f>IF(CF_Gen_4[[#This Row],[Contract]]="RC",_xlfn.XLOOKUP(CF_Gen_4[[#This Row],[ICG]],Assumptions[ICG],Assumptions[NPR_Ratio]),0)</f>
        <v>2.8000000000000001E-2</v>
      </c>
      <c r="T24" s="17">
        <f>T23*(1-CF_Gen_4[[#This Row],[Cancellation_Ratio]])</f>
        <v>0.20259320183077523</v>
      </c>
      <c r="U24" s="19">
        <f>IF(CF_Gen_4[[#This Row],[Incurred]]&lt;=CF_Gen_4[[#This Row],[Valuation]],CF_Gen_4[[#This Row],[Expected_Premium]],-CF_Gen_4[[#This Row],[Probability_of_Inforce]]*CF_Gen_4[[#This Row],[Premium_Refund_Ratio]]*CF_Gen_4[[#This Row],[Cancellation_Ratio]]*SUM(K24:K$105))</f>
        <v>216126051.43982056</v>
      </c>
      <c r="V2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Row],[Cancellation_Ratio]]*SUM(L24:L$105))</f>
        <v>-70240966.717941731</v>
      </c>
      <c r="W24" s="19">
        <f>CF_Gen_4[[#This Row],[Expected_Acquisition]]</f>
        <v>0</v>
      </c>
      <c r="X2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4" s="19">
        <f>-CF_Gen_4[[#This Row],[Probability_of_Inforce]]*CF_Gen_4[[#This Row],[Earned_Premium]]*(1-CF_Gen_4[[#This Row],[Cancellation_Ratio]])*CF_Gen_4[[#This Row],[Loss_Ratio]]</f>
        <v>58979881.528056055</v>
      </c>
      <c r="Z24" s="19">
        <f>CF_Gen_4[[#This Row],[Exp_Claim]]*CF_Gen_4[[#This Row],[Risk_Adjustment_Ratio]]</f>
        <v>7667384.5986472871</v>
      </c>
      <c r="AA24" s="19">
        <f>IF(CF_Gen_4[[#This Row],[Contract]]="RC",-CF_Gen_4[[#This Row],[NPR_Ratio]]*CF_Gen_4[[#This Row],[Exp_Claim]],0)</f>
        <v>-1651436.6827855697</v>
      </c>
      <c r="AB24" s="19">
        <f>SUMIFS(Actual_CF[Actual_Premium],Actual_CF[ICG],CF_Gen_4[[#This Row],[ICG]],Actual_CF[Incurred],CF_Gen_4[[#This Row],[Incurred]])</f>
        <v>0</v>
      </c>
      <c r="AC24" s="19">
        <f>SUMIFS(Actual_CF[Actual_Commission],Actual_CF[ICG],CF_Gen_4[[#This Row],[ICG]],Actual_CF[Incurred],CF_Gen_4[[#This Row],[Incurred]])</f>
        <v>0</v>
      </c>
      <c r="AD24" s="19">
        <f>SUMIFS(Actual_CF[Actual_Acquisition],Actual_CF[ICG],CF_Gen_4[[#This Row],[ICG]],Actual_CF[Incurred],CF_Gen_4[[#This Row],[Incurred]])</f>
        <v>0</v>
      </c>
    </row>
    <row r="25" spans="1:30">
      <c r="A25" t="str">
        <f t="shared" si="1"/>
        <v>#2025#RC-Property</v>
      </c>
      <c r="B25">
        <f>_xlfn.XLOOKUP(CF_Gen_4[[#This Row],[ICG]],ICG[ICG],ICG[Cohort])</f>
        <v>2025</v>
      </c>
      <c r="C25" t="str">
        <f>_xlfn.XLOOKUP(CF_Gen_4[[#This Row],[ICG]],ICG[ICG],ICG[Portfolio])</f>
        <v>RC-Property</v>
      </c>
      <c r="D25" t="str">
        <f>_xlfn.XLOOKUP(CF_Gen_4[[#This Row],[ICG]],ICG[ICG],ICG[Contract])</f>
        <v>RC</v>
      </c>
      <c r="E25" s="2">
        <f t="shared" si="0"/>
        <v>45930</v>
      </c>
      <c r="F25">
        <v>24</v>
      </c>
      <c r="G25" s="2">
        <f>EOMONTH(DATE(YEAR(CF_Gen_4[[#This Row],[Valuation]])-1,12,31),CF_Gen_4[[#This Row],['#Incurred]]*3)</f>
        <v>47848</v>
      </c>
      <c r="H25" s="14">
        <f>SUMIFS(Expected_CF[Expected_Premium],Expected_CF[ICG],CF_Gen_4[[#This Row],[ICG]],Expected_CF[Incurred],CF_Gen_4[[#This Row],[Incurred]])</f>
        <v>0</v>
      </c>
      <c r="I25" s="14">
        <f>SUMIFS(Expected_CF[Expected_Commission],Expected_CF[ICG],CF_Gen_4[[#This Row],[ICG]],Expected_CF[Incurred],CF_Gen_4[[#This Row],[Incurred]])</f>
        <v>0</v>
      </c>
      <c r="J25" s="14">
        <f>IF(CF_Gen_4[[#This Row],[Contract]]="IC",SUMIFS(Expected_CF[Expected_Acquisition],Expected_CF[ICG],CF_Gen_4[[#This Row],[ICG]],Expected_CF[Incurred],CF_Gen_4[[#This Row],[Incurred]]),0)</f>
        <v>0</v>
      </c>
      <c r="K25" s="14">
        <f>SUMIFS(Earned[Earned_Premium],Earned[ICG],CF_Gen_4[[#This Row],[ICG]],Earned[Incurred],CF_Gen_4[[#This Row],[Incurred]])</f>
        <v>-823782349.58711815</v>
      </c>
      <c r="L25" s="14">
        <f>SUMIFS(Earned[Earned_Commission],Earned[ICG],CF_Gen_4[[#This Row],[ICG]],Earned[Incurred],CF_Gen_4[[#This Row],[Incurred]])</f>
        <v>267729263.61581343</v>
      </c>
      <c r="M25" s="18">
        <f>_xlfn.XLOOKUP(CF_Gen_4[[#This Row],[ICG]],Assumptions[ICG],Assumptions[Loss_Ratio])</f>
        <v>0.38</v>
      </c>
      <c r="N25" s="18">
        <f>_xlfn.XLOOKUP(CF_Gen_4[[#This Row],[ICG]],Assumptions[ICG],Assumptions[Risk_Adjustment_Ratio])</f>
        <v>0.13</v>
      </c>
      <c r="O25" s="18">
        <f>_xlfn.XLOOKUP(CF_Gen_4[[#This Row],[ICG]],Assumptions[ICG],Assumptions[PME_Ratio])</f>
        <v>0</v>
      </c>
      <c r="P25" s="18">
        <f>_xlfn.XLOOKUP(CF_Gen_4[[#This Row],[ICG]],Assumptions[ICG],Assumptions[ULAE_Ratio])</f>
        <v>0</v>
      </c>
      <c r="Q25" s="18">
        <f>_xlfn.XLOOKUP(CF_Gen_4[[#This Row],[ICG]],Assumptions[ICG],Assumptions[Cancellation_Ratio])</f>
        <v>7.0000000000000007E-2</v>
      </c>
      <c r="R25" s="18">
        <f>_xlfn.XLOOKUP(CF_Gen_4[[#This Row],[ICG]],Assumptions[ICG],Assumptions[Premium_Refund_Ratio])</f>
        <v>0.5</v>
      </c>
      <c r="S25" s="18">
        <f>IF(CF_Gen_4[[#This Row],[Contract]]="RC",_xlfn.XLOOKUP(CF_Gen_4[[#This Row],[ICG]],Assumptions[ICG],Assumptions[NPR_Ratio]),0)</f>
        <v>2.8000000000000001E-2</v>
      </c>
      <c r="T25" s="17">
        <f>T24*(1-CF_Gen_4[[#This Row],[Cancellation_Ratio]])</f>
        <v>0.18841167770262096</v>
      </c>
      <c r="U25" s="19">
        <f>IF(CF_Gen_4[[#This Row],[Incurred]]&lt;=CF_Gen_4[[#This Row],[Valuation]],CF_Gen_4[[#This Row],[Expected_Premium]],-CF_Gen_4[[#This Row],[Probability_of_Inforce]]*CF_Gen_4[[#This Row],[Premium_Refund_Ratio]]*CF_Gen_4[[#This Row],[Cancellation_Ratio]]*SUM(K25:K$105))</f>
        <v>195564870.32987005</v>
      </c>
      <c r="V2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Row],[Cancellation_Ratio]]*SUM(L25:L$105))</f>
        <v>-63558582.857207812</v>
      </c>
      <c r="W25" s="19">
        <f>CF_Gen_4[[#This Row],[Expected_Acquisition]]</f>
        <v>0</v>
      </c>
      <c r="X2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5" s="19">
        <f>-CF_Gen_4[[#This Row],[Probability_of_Inforce]]*CF_Gen_4[[#This Row],[Earned_Premium]]*(1-CF_Gen_4[[#This Row],[Cancellation_Ratio]])*CF_Gen_4[[#This Row],[Loss_Ratio]]</f>
        <v>54851289.821092121</v>
      </c>
      <c r="Z25" s="19">
        <f>CF_Gen_4[[#This Row],[Exp_Claim]]*CF_Gen_4[[#This Row],[Risk_Adjustment_Ratio]]</f>
        <v>7130667.6767419763</v>
      </c>
      <c r="AA25" s="19">
        <f>IF(CF_Gen_4[[#This Row],[Contract]]="RC",-CF_Gen_4[[#This Row],[NPR_Ratio]]*CF_Gen_4[[#This Row],[Exp_Claim]],0)</f>
        <v>-1535836.1149905794</v>
      </c>
      <c r="AB25" s="19">
        <f>SUMIFS(Actual_CF[Actual_Premium],Actual_CF[ICG],CF_Gen_4[[#This Row],[ICG]],Actual_CF[Incurred],CF_Gen_4[[#This Row],[Incurred]])</f>
        <v>0</v>
      </c>
      <c r="AC25" s="19">
        <f>SUMIFS(Actual_CF[Actual_Commission],Actual_CF[ICG],CF_Gen_4[[#This Row],[ICG]],Actual_CF[Incurred],CF_Gen_4[[#This Row],[Incurred]])</f>
        <v>0</v>
      </c>
      <c r="AD25" s="19">
        <f>SUMIFS(Actual_CF[Actual_Acquisition],Actual_CF[ICG],CF_Gen_4[[#This Row],[ICG]],Actual_CF[Incurred],CF_Gen_4[[#This Row],[Incurred]])</f>
        <v>0</v>
      </c>
    </row>
    <row r="26" spans="1:30">
      <c r="A26" t="str">
        <f t="shared" si="1"/>
        <v>#2025#RC-Property</v>
      </c>
      <c r="B26">
        <f>_xlfn.XLOOKUP(CF_Gen_4[[#This Row],[ICG]],ICG[ICG],ICG[Cohort])</f>
        <v>2025</v>
      </c>
      <c r="C26" t="str">
        <f>_xlfn.XLOOKUP(CF_Gen_4[[#This Row],[ICG]],ICG[ICG],ICG[Portfolio])</f>
        <v>RC-Property</v>
      </c>
      <c r="D26" t="str">
        <f>_xlfn.XLOOKUP(CF_Gen_4[[#This Row],[ICG]],ICG[ICG],ICG[Contract])</f>
        <v>RC</v>
      </c>
      <c r="E26" s="2">
        <f t="shared" si="0"/>
        <v>45930</v>
      </c>
      <c r="F26">
        <v>25</v>
      </c>
      <c r="G26" s="2">
        <f>EOMONTH(DATE(YEAR(CF_Gen_4[[#This Row],[Valuation]])-1,12,31),CF_Gen_4[[#This Row],['#Incurred]]*3)</f>
        <v>47938</v>
      </c>
      <c r="H26" s="14">
        <f>SUMIFS(Expected_CF[Expected_Premium],Expected_CF[ICG],CF_Gen_4[[#This Row],[ICG]],Expected_CF[Incurred],CF_Gen_4[[#This Row],[Incurred]])</f>
        <v>0</v>
      </c>
      <c r="I26" s="14">
        <f>SUMIFS(Expected_CF[Expected_Commission],Expected_CF[ICG],CF_Gen_4[[#This Row],[ICG]],Expected_CF[Incurred],CF_Gen_4[[#This Row],[Incurred]])</f>
        <v>0</v>
      </c>
      <c r="J26" s="14">
        <f>IF(CF_Gen_4[[#This Row],[Contract]]="IC",SUMIFS(Expected_CF[Expected_Acquisition],Expected_CF[ICG],CF_Gen_4[[#This Row],[ICG]],Expected_CF[Incurred],CF_Gen_4[[#This Row],[Incurred]]),0)</f>
        <v>0</v>
      </c>
      <c r="K26" s="14">
        <f>SUMIFS(Earned[Earned_Premium],Earned[ICG],CF_Gen_4[[#This Row],[ICG]],Earned[Incurred],CF_Gen_4[[#This Row],[Incurred]])</f>
        <v>-808527120.89106035</v>
      </c>
      <c r="L26" s="14">
        <f>SUMIFS(Earned[Earned_Commission],Earned[ICG],CF_Gen_4[[#This Row],[ICG]],Earned[Incurred],CF_Gen_4[[#This Row],[Incurred]])</f>
        <v>262771314.28959465</v>
      </c>
      <c r="M26" s="18">
        <f>_xlfn.XLOOKUP(CF_Gen_4[[#This Row],[ICG]],Assumptions[ICG],Assumptions[Loss_Ratio])</f>
        <v>0.38</v>
      </c>
      <c r="N26" s="18">
        <f>_xlfn.XLOOKUP(CF_Gen_4[[#This Row],[ICG]],Assumptions[ICG],Assumptions[Risk_Adjustment_Ratio])</f>
        <v>0.13</v>
      </c>
      <c r="O26" s="18">
        <f>_xlfn.XLOOKUP(CF_Gen_4[[#This Row],[ICG]],Assumptions[ICG],Assumptions[PME_Ratio])</f>
        <v>0</v>
      </c>
      <c r="P26" s="18">
        <f>_xlfn.XLOOKUP(CF_Gen_4[[#This Row],[ICG]],Assumptions[ICG],Assumptions[ULAE_Ratio])</f>
        <v>0</v>
      </c>
      <c r="Q26" s="18">
        <f>_xlfn.XLOOKUP(CF_Gen_4[[#This Row],[ICG]],Assumptions[ICG],Assumptions[Cancellation_Ratio])</f>
        <v>7.0000000000000007E-2</v>
      </c>
      <c r="R26" s="18">
        <f>_xlfn.XLOOKUP(CF_Gen_4[[#This Row],[ICG]],Assumptions[ICG],Assumptions[Premium_Refund_Ratio])</f>
        <v>0.5</v>
      </c>
      <c r="S26" s="18">
        <f>IF(CF_Gen_4[[#This Row],[Contract]]="RC",_xlfn.XLOOKUP(CF_Gen_4[[#This Row],[ICG]],Assumptions[ICG],Assumptions[NPR_Ratio]),0)</f>
        <v>2.8000000000000001E-2</v>
      </c>
      <c r="T26" s="17">
        <f>T25*(1-CF_Gen_4[[#This Row],[Cancellation_Ratio]])</f>
        <v>0.17522286026343747</v>
      </c>
      <c r="U26" s="19">
        <f>IF(CF_Gen_4[[#This Row],[Incurred]]&lt;=CF_Gen_4[[#This Row],[Valuation]],CF_Gen_4[[#This Row],[Expected_Premium]],-CF_Gen_4[[#This Row],[Probability_of_Inforce]]*CF_Gen_4[[#This Row],[Premium_Refund_Ratio]]*CF_Gen_4[[#This Row],[Cancellation_Ratio]]*SUM(K26:K$105))</f>
        <v>176823236.92325753</v>
      </c>
      <c r="V2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Row],[Cancellation_Ratio]]*SUM(L26:L$105))</f>
        <v>-57467552.000058718</v>
      </c>
      <c r="W26" s="19">
        <f>CF_Gen_4[[#This Row],[Expected_Acquisition]]</f>
        <v>0</v>
      </c>
      <c r="X2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6" s="19">
        <f>-CF_Gen_4[[#This Row],[Probability_of_Inforce]]*CF_Gen_4[[#This Row],[Earned_Premium]]*(1-CF_Gen_4[[#This Row],[Cancellation_Ratio]])*CF_Gen_4[[#This Row],[Loss_Ratio]]</f>
        <v>50067038.431141302</v>
      </c>
      <c r="Z26" s="19">
        <f>CF_Gen_4[[#This Row],[Exp_Claim]]*CF_Gen_4[[#This Row],[Risk_Adjustment_Ratio]]</f>
        <v>6508714.9960483694</v>
      </c>
      <c r="AA26" s="19">
        <f>IF(CF_Gen_4[[#This Row],[Contract]]="RC",-CF_Gen_4[[#This Row],[NPR_Ratio]]*CF_Gen_4[[#This Row],[Exp_Claim]],0)</f>
        <v>-1401877.0760719564</v>
      </c>
      <c r="AB26" s="19">
        <f>SUMIFS(Actual_CF[Actual_Premium],Actual_CF[ICG],CF_Gen_4[[#This Row],[ICG]],Actual_CF[Incurred],CF_Gen_4[[#This Row],[Incurred]])</f>
        <v>0</v>
      </c>
      <c r="AC26" s="19">
        <f>SUMIFS(Actual_CF[Actual_Commission],Actual_CF[ICG],CF_Gen_4[[#This Row],[ICG]],Actual_CF[Incurred],CF_Gen_4[[#This Row],[Incurred]])</f>
        <v>0</v>
      </c>
      <c r="AD26" s="19">
        <f>SUMIFS(Actual_CF[Actual_Acquisition],Actual_CF[ICG],CF_Gen_4[[#This Row],[ICG]],Actual_CF[Incurred],CF_Gen_4[[#This Row],[Incurred]])</f>
        <v>0</v>
      </c>
    </row>
    <row r="27" spans="1:30">
      <c r="A27" t="str">
        <f t="shared" si="1"/>
        <v>#2025#RC-Property</v>
      </c>
      <c r="B27">
        <f>_xlfn.XLOOKUP(CF_Gen_4[[#This Row],[ICG]],ICG[ICG],ICG[Cohort])</f>
        <v>2025</v>
      </c>
      <c r="C27" t="str">
        <f>_xlfn.XLOOKUP(CF_Gen_4[[#This Row],[ICG]],ICG[ICG],ICG[Portfolio])</f>
        <v>RC-Property</v>
      </c>
      <c r="D27" t="str">
        <f>_xlfn.XLOOKUP(CF_Gen_4[[#This Row],[ICG]],ICG[ICG],ICG[Contract])</f>
        <v>RC</v>
      </c>
      <c r="E27" s="2">
        <f t="shared" si="0"/>
        <v>45930</v>
      </c>
      <c r="F27">
        <v>26</v>
      </c>
      <c r="G27" s="2">
        <f>EOMONTH(DATE(YEAR(CF_Gen_4[[#This Row],[Valuation]])-1,12,31),CF_Gen_4[[#This Row],['#Incurred]]*3)</f>
        <v>48029</v>
      </c>
      <c r="H27" s="14">
        <f>SUMIFS(Expected_CF[Expected_Premium],Expected_CF[ICG],CF_Gen_4[[#This Row],[ICG]],Expected_CF[Incurred],CF_Gen_4[[#This Row],[Incurred]])</f>
        <v>0</v>
      </c>
      <c r="I27" s="14">
        <f>SUMIFS(Expected_CF[Expected_Commission],Expected_CF[ICG],CF_Gen_4[[#This Row],[ICG]],Expected_CF[Incurred],CF_Gen_4[[#This Row],[Incurred]])</f>
        <v>0</v>
      </c>
      <c r="J27" s="14">
        <f>IF(CF_Gen_4[[#This Row],[Contract]]="IC",SUMIFS(Expected_CF[Expected_Acquisition],Expected_CF[ICG],CF_Gen_4[[#This Row],[ICG]],Expected_CF[Incurred],CF_Gen_4[[#This Row],[Incurred]]),0)</f>
        <v>0</v>
      </c>
      <c r="K27" s="14">
        <f>SUMIFS(Earned[Earned_Premium],Earned[ICG],CF_Gen_4[[#This Row],[ICG]],Earned[Incurred],CF_Gen_4[[#This Row],[Incurred]])</f>
        <v>-793271892.19500268</v>
      </c>
      <c r="L27" s="14">
        <f>SUMIFS(Earned[Earned_Commission],Earned[ICG],CF_Gen_4[[#This Row],[ICG]],Earned[Incurred],CF_Gen_4[[#This Row],[Incurred]])</f>
        <v>257813364.9633759</v>
      </c>
      <c r="M27" s="18">
        <f>_xlfn.XLOOKUP(CF_Gen_4[[#This Row],[ICG]],Assumptions[ICG],Assumptions[Loss_Ratio])</f>
        <v>0.38</v>
      </c>
      <c r="N27" s="18">
        <f>_xlfn.XLOOKUP(CF_Gen_4[[#This Row],[ICG]],Assumptions[ICG],Assumptions[Risk_Adjustment_Ratio])</f>
        <v>0.13</v>
      </c>
      <c r="O27" s="18">
        <f>_xlfn.XLOOKUP(CF_Gen_4[[#This Row],[ICG]],Assumptions[ICG],Assumptions[PME_Ratio])</f>
        <v>0</v>
      </c>
      <c r="P27" s="18">
        <f>_xlfn.XLOOKUP(CF_Gen_4[[#This Row],[ICG]],Assumptions[ICG],Assumptions[ULAE_Ratio])</f>
        <v>0</v>
      </c>
      <c r="Q27" s="18">
        <f>_xlfn.XLOOKUP(CF_Gen_4[[#This Row],[ICG]],Assumptions[ICG],Assumptions[Cancellation_Ratio])</f>
        <v>7.0000000000000007E-2</v>
      </c>
      <c r="R27" s="18">
        <f>_xlfn.XLOOKUP(CF_Gen_4[[#This Row],[ICG]],Assumptions[ICG],Assumptions[Premium_Refund_Ratio])</f>
        <v>0.5</v>
      </c>
      <c r="S27" s="18">
        <f>IF(CF_Gen_4[[#This Row],[Contract]]="RC",_xlfn.XLOOKUP(CF_Gen_4[[#This Row],[ICG]],Assumptions[ICG],Assumptions[NPR_Ratio]),0)</f>
        <v>2.8000000000000001E-2</v>
      </c>
      <c r="T27" s="17">
        <f>T26*(1-CF_Gen_4[[#This Row],[Cancellation_Ratio]])</f>
        <v>0.16295726004499683</v>
      </c>
      <c r="U27" s="19">
        <f>IF(CF_Gen_4[[#This Row],[Incurred]]&lt;=CF_Gen_4[[#This Row],[Valuation]],CF_Gen_4[[#This Row],[Expected_Premium]],-CF_Gen_4[[#This Row],[Probability_of_Inforce]]*CF_Gen_4[[#This Row],[Premium_Refund_Ratio]]*CF_Gen_4[[#This Row],[Cancellation_Ratio]]*SUM(K27:K$105))</f>
        <v>159834172.58839276</v>
      </c>
      <c r="V2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Row],[Cancellation_Ratio]]*SUM(L27:L$105))</f>
        <v>-51946106.091227673</v>
      </c>
      <c r="W27" s="19">
        <f>CF_Gen_4[[#This Row],[Expected_Acquisition]]</f>
        <v>0</v>
      </c>
      <c r="X2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7" s="19">
        <f>-CF_Gen_4[[#This Row],[Probability_of_Inforce]]*CF_Gen_4[[#This Row],[Earned_Premium]]*(1-CF_Gen_4[[#This Row],[Cancellation_Ratio]])*CF_Gen_4[[#This Row],[Loss_Ratio]]</f>
        <v>45683810.915660255</v>
      </c>
      <c r="Z27" s="19">
        <f>CF_Gen_4[[#This Row],[Exp_Claim]]*CF_Gen_4[[#This Row],[Risk_Adjustment_Ratio]]</f>
        <v>5938895.4190358333</v>
      </c>
      <c r="AA27" s="19">
        <f>IF(CF_Gen_4[[#This Row],[Contract]]="RC",-CF_Gen_4[[#This Row],[NPR_Ratio]]*CF_Gen_4[[#This Row],[Exp_Claim]],0)</f>
        <v>-1279146.7056384871</v>
      </c>
      <c r="AB27" s="19">
        <f>SUMIFS(Actual_CF[Actual_Premium],Actual_CF[ICG],CF_Gen_4[[#This Row],[ICG]],Actual_CF[Incurred],CF_Gen_4[[#This Row],[Incurred]])</f>
        <v>0</v>
      </c>
      <c r="AC27" s="19">
        <f>SUMIFS(Actual_CF[Actual_Commission],Actual_CF[ICG],CF_Gen_4[[#This Row],[ICG]],Actual_CF[Incurred],CF_Gen_4[[#This Row],[Incurred]])</f>
        <v>0</v>
      </c>
      <c r="AD27" s="19">
        <f>SUMIFS(Actual_CF[Actual_Acquisition],Actual_CF[ICG],CF_Gen_4[[#This Row],[ICG]],Actual_CF[Incurred],CF_Gen_4[[#This Row],[Incurred]])</f>
        <v>0</v>
      </c>
    </row>
    <row r="28" spans="1:30">
      <c r="A28" t="str">
        <f t="shared" si="1"/>
        <v>#2025#RC-Property</v>
      </c>
      <c r="B28">
        <f>_xlfn.XLOOKUP(CF_Gen_4[[#This Row],[ICG]],ICG[ICG],ICG[Cohort])</f>
        <v>2025</v>
      </c>
      <c r="C28" t="str">
        <f>_xlfn.XLOOKUP(CF_Gen_4[[#This Row],[ICG]],ICG[ICG],ICG[Portfolio])</f>
        <v>RC-Property</v>
      </c>
      <c r="D28" t="str">
        <f>_xlfn.XLOOKUP(CF_Gen_4[[#This Row],[ICG]],ICG[ICG],ICG[Contract])</f>
        <v>RC</v>
      </c>
      <c r="E28" s="2">
        <f t="shared" si="0"/>
        <v>45930</v>
      </c>
      <c r="F28">
        <v>27</v>
      </c>
      <c r="G28" s="2">
        <f>EOMONTH(DATE(YEAR(CF_Gen_4[[#This Row],[Valuation]])-1,12,31),CF_Gen_4[[#This Row],['#Incurred]]*3)</f>
        <v>48121</v>
      </c>
      <c r="H28" s="14">
        <f>SUMIFS(Expected_CF[Expected_Premium],Expected_CF[ICG],CF_Gen_4[[#This Row],[ICG]],Expected_CF[Incurred],CF_Gen_4[[#This Row],[Incurred]])</f>
        <v>0</v>
      </c>
      <c r="I28" s="14">
        <f>SUMIFS(Expected_CF[Expected_Commission],Expected_CF[ICG],CF_Gen_4[[#This Row],[ICG]],Expected_CF[Incurred],CF_Gen_4[[#This Row],[Incurred]])</f>
        <v>0</v>
      </c>
      <c r="J28" s="14">
        <f>IF(CF_Gen_4[[#This Row],[Contract]]="IC",SUMIFS(Expected_CF[Expected_Acquisition],Expected_CF[ICG],CF_Gen_4[[#This Row],[ICG]],Expected_CF[Incurred],CF_Gen_4[[#This Row],[Incurred]]),0)</f>
        <v>0</v>
      </c>
      <c r="K28" s="14">
        <f>SUMIFS(Earned[Earned_Premium],Earned[ICG],CF_Gen_4[[#This Row],[ICG]],Earned[Incurred],CF_Gen_4[[#This Row],[Incurred]])</f>
        <v>-778016663.49894488</v>
      </c>
      <c r="L28" s="14">
        <f>SUMIFS(Earned[Earned_Commission],Earned[ICG],CF_Gen_4[[#This Row],[ICG]],Earned[Incurred],CF_Gen_4[[#This Row],[Incurred]])</f>
        <v>252855415.63715711</v>
      </c>
      <c r="M28" s="18">
        <f>_xlfn.XLOOKUP(CF_Gen_4[[#This Row],[ICG]],Assumptions[ICG],Assumptions[Loss_Ratio])</f>
        <v>0.38</v>
      </c>
      <c r="N28" s="18">
        <f>_xlfn.XLOOKUP(CF_Gen_4[[#This Row],[ICG]],Assumptions[ICG],Assumptions[Risk_Adjustment_Ratio])</f>
        <v>0.13</v>
      </c>
      <c r="O28" s="18">
        <f>_xlfn.XLOOKUP(CF_Gen_4[[#This Row],[ICG]],Assumptions[ICG],Assumptions[PME_Ratio])</f>
        <v>0</v>
      </c>
      <c r="P28" s="18">
        <f>_xlfn.XLOOKUP(CF_Gen_4[[#This Row],[ICG]],Assumptions[ICG],Assumptions[ULAE_Ratio])</f>
        <v>0</v>
      </c>
      <c r="Q28" s="18">
        <f>_xlfn.XLOOKUP(CF_Gen_4[[#This Row],[ICG]],Assumptions[ICG],Assumptions[Cancellation_Ratio])</f>
        <v>7.0000000000000007E-2</v>
      </c>
      <c r="R28" s="18">
        <f>_xlfn.XLOOKUP(CF_Gen_4[[#This Row],[ICG]],Assumptions[ICG],Assumptions[Premium_Refund_Ratio])</f>
        <v>0.5</v>
      </c>
      <c r="S28" s="18">
        <f>IF(CF_Gen_4[[#This Row],[Contract]]="RC",_xlfn.XLOOKUP(CF_Gen_4[[#This Row],[ICG]],Assumptions[ICG],Assumptions[NPR_Ratio]),0)</f>
        <v>2.8000000000000001E-2</v>
      </c>
      <c r="T28" s="17">
        <f>T27*(1-CF_Gen_4[[#This Row],[Cancellation_Ratio]])</f>
        <v>0.15155025184184703</v>
      </c>
      <c r="U28" s="19">
        <f>IF(CF_Gen_4[[#This Row],[Incurred]]&lt;=CF_Gen_4[[#This Row],[Valuation]],CF_Gen_4[[#This Row],[Expected_Premium]],-CF_Gen_4[[#This Row],[Probability_of_Inforce]]*CF_Gen_4[[#This Row],[Premium_Refund_Ratio]]*CF_Gen_4[[#This Row],[Cancellation_Ratio]]*SUM(K28:K$105))</f>
        <v>144438061.08076283</v>
      </c>
      <c r="V2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Row],[Cancellation_Ratio]]*SUM(L28:L$105))</f>
        <v>-46942369.851247966</v>
      </c>
      <c r="W28" s="19">
        <f>CF_Gen_4[[#This Row],[Expected_Acquisition]]</f>
        <v>0</v>
      </c>
      <c r="X2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8" s="19">
        <f>-CF_Gen_4[[#This Row],[Probability_of_Inforce]]*CF_Gen_4[[#This Row],[Earned_Premium]]*(1-CF_Gen_4[[#This Row],[Cancellation_Ratio]])*CF_Gen_4[[#This Row],[Loss_Ratio]]</f>
        <v>41668906.764033951</v>
      </c>
      <c r="Z28" s="19">
        <f>CF_Gen_4[[#This Row],[Exp_Claim]]*CF_Gen_4[[#This Row],[Risk_Adjustment_Ratio]]</f>
        <v>5416957.8793244138</v>
      </c>
      <c r="AA28" s="19">
        <f>IF(CF_Gen_4[[#This Row],[Contract]]="RC",-CF_Gen_4[[#This Row],[NPR_Ratio]]*CF_Gen_4[[#This Row],[Exp_Claim]],0)</f>
        <v>-1166729.3893929506</v>
      </c>
      <c r="AB28" s="19">
        <f>SUMIFS(Actual_CF[Actual_Premium],Actual_CF[ICG],CF_Gen_4[[#This Row],[ICG]],Actual_CF[Incurred],CF_Gen_4[[#This Row],[Incurred]])</f>
        <v>0</v>
      </c>
      <c r="AC28" s="19">
        <f>SUMIFS(Actual_CF[Actual_Commission],Actual_CF[ICG],CF_Gen_4[[#This Row],[ICG]],Actual_CF[Incurred],CF_Gen_4[[#This Row],[Incurred]])</f>
        <v>0</v>
      </c>
      <c r="AD28" s="19">
        <f>SUMIFS(Actual_CF[Actual_Acquisition],Actual_CF[ICG],CF_Gen_4[[#This Row],[ICG]],Actual_CF[Incurred],CF_Gen_4[[#This Row],[Incurred]])</f>
        <v>0</v>
      </c>
    </row>
    <row r="29" spans="1:30">
      <c r="A29" t="str">
        <f t="shared" si="1"/>
        <v>#2025#RC-Property</v>
      </c>
      <c r="B29">
        <f>_xlfn.XLOOKUP(CF_Gen_4[[#This Row],[ICG]],ICG[ICG],ICG[Cohort])</f>
        <v>2025</v>
      </c>
      <c r="C29" t="str">
        <f>_xlfn.XLOOKUP(CF_Gen_4[[#This Row],[ICG]],ICG[ICG],ICG[Portfolio])</f>
        <v>RC-Property</v>
      </c>
      <c r="D29" t="str">
        <f>_xlfn.XLOOKUP(CF_Gen_4[[#This Row],[ICG]],ICG[ICG],ICG[Contract])</f>
        <v>RC</v>
      </c>
      <c r="E29" s="2">
        <f t="shared" si="0"/>
        <v>45930</v>
      </c>
      <c r="F29">
        <v>28</v>
      </c>
      <c r="G29" s="2">
        <f>EOMONTH(DATE(YEAR(CF_Gen_4[[#This Row],[Valuation]])-1,12,31),CF_Gen_4[[#This Row],['#Incurred]]*3)</f>
        <v>48213</v>
      </c>
      <c r="H29" s="14">
        <f>SUMIFS(Expected_CF[Expected_Premium],Expected_CF[ICG],CF_Gen_4[[#This Row],[ICG]],Expected_CF[Incurred],CF_Gen_4[[#This Row],[Incurred]])</f>
        <v>0</v>
      </c>
      <c r="I29" s="14">
        <f>SUMIFS(Expected_CF[Expected_Commission],Expected_CF[ICG],CF_Gen_4[[#This Row],[ICG]],Expected_CF[Incurred],CF_Gen_4[[#This Row],[Incurred]])</f>
        <v>0</v>
      </c>
      <c r="J29" s="14">
        <f>IF(CF_Gen_4[[#This Row],[Contract]]="IC",SUMIFS(Expected_CF[Expected_Acquisition],Expected_CF[ICG],CF_Gen_4[[#This Row],[ICG]],Expected_CF[Incurred],CF_Gen_4[[#This Row],[Incurred]]),0)</f>
        <v>0</v>
      </c>
      <c r="K29" s="14">
        <f>SUMIFS(Earned[Earned_Premium],Earned[ICG],CF_Gen_4[[#This Row],[ICG]],Earned[Incurred],CF_Gen_4[[#This Row],[Incurred]])</f>
        <v>-778016663.49894488</v>
      </c>
      <c r="L29" s="14">
        <f>SUMIFS(Earned[Earned_Commission],Earned[ICG],CF_Gen_4[[#This Row],[ICG]],Earned[Incurred],CF_Gen_4[[#This Row],[Incurred]])</f>
        <v>252855415.63715711</v>
      </c>
      <c r="M29" s="18">
        <f>_xlfn.XLOOKUP(CF_Gen_4[[#This Row],[ICG]],Assumptions[ICG],Assumptions[Loss_Ratio])</f>
        <v>0.38</v>
      </c>
      <c r="N29" s="18">
        <f>_xlfn.XLOOKUP(CF_Gen_4[[#This Row],[ICG]],Assumptions[ICG],Assumptions[Risk_Adjustment_Ratio])</f>
        <v>0.13</v>
      </c>
      <c r="O29" s="18">
        <f>_xlfn.XLOOKUP(CF_Gen_4[[#This Row],[ICG]],Assumptions[ICG],Assumptions[PME_Ratio])</f>
        <v>0</v>
      </c>
      <c r="P29" s="18">
        <f>_xlfn.XLOOKUP(CF_Gen_4[[#This Row],[ICG]],Assumptions[ICG],Assumptions[ULAE_Ratio])</f>
        <v>0</v>
      </c>
      <c r="Q29" s="18">
        <f>_xlfn.XLOOKUP(CF_Gen_4[[#This Row],[ICG]],Assumptions[ICG],Assumptions[Cancellation_Ratio])</f>
        <v>7.0000000000000007E-2</v>
      </c>
      <c r="R29" s="18">
        <f>_xlfn.XLOOKUP(CF_Gen_4[[#This Row],[ICG]],Assumptions[ICG],Assumptions[Premium_Refund_Ratio])</f>
        <v>0.5</v>
      </c>
      <c r="S29" s="18">
        <f>IF(CF_Gen_4[[#This Row],[Contract]]="RC",_xlfn.XLOOKUP(CF_Gen_4[[#This Row],[ICG]],Assumptions[ICG],Assumptions[NPR_Ratio]),0)</f>
        <v>2.8000000000000001E-2</v>
      </c>
      <c r="T29" s="17">
        <f>T28*(1-CF_Gen_4[[#This Row],[Cancellation_Ratio]])</f>
        <v>0.14094173421291772</v>
      </c>
      <c r="U29" s="19">
        <f>IF(CF_Gen_4[[#This Row],[Incurred]]&lt;=CF_Gen_4[[#This Row],[Valuation]],CF_Gen_4[[#This Row],[Expected_Premium]],-CF_Gen_4[[#This Row],[Probability_of_Inforce]]*CF_Gen_4[[#This Row],[Premium_Refund_Ratio]]*CF_Gen_4[[#This Row],[Cancellation_Ratio]]*SUM(K29:K$105))</f>
        <v>130489471.18210629</v>
      </c>
      <c r="V2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Row],[Cancellation_Ratio]]*SUM(L29:L$105))</f>
        <v>-42409078.134184584</v>
      </c>
      <c r="W29" s="19">
        <f>CF_Gen_4[[#This Row],[Expected_Acquisition]]</f>
        <v>0</v>
      </c>
      <c r="X2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29" s="19">
        <f>-CF_Gen_4[[#This Row],[Probability_of_Inforce]]*CF_Gen_4[[#This Row],[Earned_Premium]]*(1-CF_Gen_4[[#This Row],[Cancellation_Ratio]])*CF_Gen_4[[#This Row],[Loss_Ratio]]</f>
        <v>38752083.290551566</v>
      </c>
      <c r="Z29" s="19">
        <f>CF_Gen_4[[#This Row],[Exp_Claim]]*CF_Gen_4[[#This Row],[Risk_Adjustment_Ratio]]</f>
        <v>5037770.8277717037</v>
      </c>
      <c r="AA29" s="19">
        <f>IF(CF_Gen_4[[#This Row],[Contract]]="RC",-CF_Gen_4[[#This Row],[NPR_Ratio]]*CF_Gen_4[[#This Row],[Exp_Claim]],0)</f>
        <v>-1085058.3321354438</v>
      </c>
      <c r="AB29" s="19">
        <f>SUMIFS(Actual_CF[Actual_Premium],Actual_CF[ICG],CF_Gen_4[[#This Row],[ICG]],Actual_CF[Incurred],CF_Gen_4[[#This Row],[Incurred]])</f>
        <v>0</v>
      </c>
      <c r="AC29" s="19">
        <f>SUMIFS(Actual_CF[Actual_Commission],Actual_CF[ICG],CF_Gen_4[[#This Row],[ICG]],Actual_CF[Incurred],CF_Gen_4[[#This Row],[Incurred]])</f>
        <v>0</v>
      </c>
      <c r="AD29" s="19">
        <f>SUMIFS(Actual_CF[Actual_Acquisition],Actual_CF[ICG],CF_Gen_4[[#This Row],[ICG]],Actual_CF[Incurred],CF_Gen_4[[#This Row],[Incurred]])</f>
        <v>0</v>
      </c>
    </row>
    <row r="30" spans="1:30">
      <c r="A30" t="str">
        <f t="shared" si="1"/>
        <v>#2025#RC-Property</v>
      </c>
      <c r="B30">
        <f>_xlfn.XLOOKUP(CF_Gen_4[[#This Row],[ICG]],ICG[ICG],ICG[Cohort])</f>
        <v>2025</v>
      </c>
      <c r="C30" t="str">
        <f>_xlfn.XLOOKUP(CF_Gen_4[[#This Row],[ICG]],ICG[ICG],ICG[Portfolio])</f>
        <v>RC-Property</v>
      </c>
      <c r="D30" t="str">
        <f>_xlfn.XLOOKUP(CF_Gen_4[[#This Row],[ICG]],ICG[ICG],ICG[Contract])</f>
        <v>RC</v>
      </c>
      <c r="E30" s="2">
        <f t="shared" si="0"/>
        <v>45930</v>
      </c>
      <c r="F30">
        <v>29</v>
      </c>
      <c r="G30" s="2">
        <f>EOMONTH(DATE(YEAR(CF_Gen_4[[#This Row],[Valuation]])-1,12,31),CF_Gen_4[[#This Row],['#Incurred]]*3)</f>
        <v>48304</v>
      </c>
      <c r="H30" s="14">
        <f>SUMIFS(Expected_CF[Expected_Premium],Expected_CF[ICG],CF_Gen_4[[#This Row],[ICG]],Expected_CF[Incurred],CF_Gen_4[[#This Row],[Incurred]])</f>
        <v>0</v>
      </c>
      <c r="I30" s="14">
        <f>SUMIFS(Expected_CF[Expected_Commission],Expected_CF[ICG],CF_Gen_4[[#This Row],[ICG]],Expected_CF[Incurred],CF_Gen_4[[#This Row],[Incurred]])</f>
        <v>0</v>
      </c>
      <c r="J30" s="14">
        <f>IF(CF_Gen_4[[#This Row],[Contract]]="IC",SUMIFS(Expected_CF[Expected_Acquisition],Expected_CF[ICG],CF_Gen_4[[#This Row],[ICG]],Expected_CF[Incurred],CF_Gen_4[[#This Row],[Incurred]]),0)</f>
        <v>0</v>
      </c>
      <c r="K30" s="14">
        <f>SUMIFS(Earned[Earned_Premium],Earned[ICG],CF_Gen_4[[#This Row],[ICG]],Earned[Incurred],CF_Gen_4[[#This Row],[Incurred]])</f>
        <v>-762761434.8028872</v>
      </c>
      <c r="L30" s="14">
        <f>SUMIFS(Earned[Earned_Commission],Earned[ICG],CF_Gen_4[[#This Row],[ICG]],Earned[Incurred],CF_Gen_4[[#This Row],[Incurred]])</f>
        <v>247897466.31093836</v>
      </c>
      <c r="M30" s="18">
        <f>_xlfn.XLOOKUP(CF_Gen_4[[#This Row],[ICG]],Assumptions[ICG],Assumptions[Loss_Ratio])</f>
        <v>0.38</v>
      </c>
      <c r="N30" s="18">
        <f>_xlfn.XLOOKUP(CF_Gen_4[[#This Row],[ICG]],Assumptions[ICG],Assumptions[Risk_Adjustment_Ratio])</f>
        <v>0.13</v>
      </c>
      <c r="O30" s="18">
        <f>_xlfn.XLOOKUP(CF_Gen_4[[#This Row],[ICG]],Assumptions[ICG],Assumptions[PME_Ratio])</f>
        <v>0</v>
      </c>
      <c r="P30" s="18">
        <f>_xlfn.XLOOKUP(CF_Gen_4[[#This Row],[ICG]],Assumptions[ICG],Assumptions[ULAE_Ratio])</f>
        <v>0</v>
      </c>
      <c r="Q30" s="18">
        <f>_xlfn.XLOOKUP(CF_Gen_4[[#This Row],[ICG]],Assumptions[ICG],Assumptions[Cancellation_Ratio])</f>
        <v>7.0000000000000007E-2</v>
      </c>
      <c r="R30" s="18">
        <f>_xlfn.XLOOKUP(CF_Gen_4[[#This Row],[ICG]],Assumptions[ICG],Assumptions[Premium_Refund_Ratio])</f>
        <v>0.5</v>
      </c>
      <c r="S30" s="18">
        <f>IF(CF_Gen_4[[#This Row],[Contract]]="RC",_xlfn.XLOOKUP(CF_Gen_4[[#This Row],[ICG]],Assumptions[ICG],Assumptions[NPR_Ratio]),0)</f>
        <v>2.8000000000000001E-2</v>
      </c>
      <c r="T30" s="17">
        <f>T29*(1-CF_Gen_4[[#This Row],[Cancellation_Ratio]])</f>
        <v>0.13107581281801348</v>
      </c>
      <c r="U30" s="19">
        <f>IF(CF_Gen_4[[#This Row],[Incurred]]&lt;=CF_Gen_4[[#This Row],[Valuation]],CF_Gen_4[[#This Row],[Expected_Premium]],-CF_Gen_4[[#This Row],[Probability_of_Inforce]]*CF_Gen_4[[#This Row],[Premium_Refund_Ratio]]*CF_Gen_4[[#This Row],[Cancellation_Ratio]]*SUM(K30:K$105))</f>
        <v>117785937.36996596</v>
      </c>
      <c r="V3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Row],[Cancellation_Ratio]]*SUM(L30:L$105))</f>
        <v>-38280429.645238958</v>
      </c>
      <c r="W30" s="19">
        <f>CF_Gen_4[[#This Row],[Expected_Acquisition]]</f>
        <v>0</v>
      </c>
      <c r="X3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0" s="19">
        <f>-CF_Gen_4[[#This Row],[Probability_of_Inforce]]*CF_Gen_4[[#This Row],[Earned_Premium]]*(1-CF_Gen_4[[#This Row],[Cancellation_Ratio]])*CF_Gen_4[[#This Row],[Loss_Ratio]]</f>
        <v>35332781.823738195</v>
      </c>
      <c r="Z30" s="19">
        <f>CF_Gen_4[[#This Row],[Exp_Claim]]*CF_Gen_4[[#This Row],[Risk_Adjustment_Ratio]]</f>
        <v>4593261.6370859658</v>
      </c>
      <c r="AA30" s="19">
        <f>IF(CF_Gen_4[[#This Row],[Contract]]="RC",-CF_Gen_4[[#This Row],[NPR_Ratio]]*CF_Gen_4[[#This Row],[Exp_Claim]],0)</f>
        <v>-989317.89106466947</v>
      </c>
      <c r="AB30" s="19">
        <f>SUMIFS(Actual_CF[Actual_Premium],Actual_CF[ICG],CF_Gen_4[[#This Row],[ICG]],Actual_CF[Incurred],CF_Gen_4[[#This Row],[Incurred]])</f>
        <v>0</v>
      </c>
      <c r="AC30" s="19">
        <f>SUMIFS(Actual_CF[Actual_Commission],Actual_CF[ICG],CF_Gen_4[[#This Row],[ICG]],Actual_CF[Incurred],CF_Gen_4[[#This Row],[Incurred]])</f>
        <v>0</v>
      </c>
      <c r="AD30" s="19">
        <f>SUMIFS(Actual_CF[Actual_Acquisition],Actual_CF[ICG],CF_Gen_4[[#This Row],[ICG]],Actual_CF[Incurred],CF_Gen_4[[#This Row],[Incurred]])</f>
        <v>0</v>
      </c>
    </row>
    <row r="31" spans="1:30">
      <c r="A31" t="str">
        <f t="shared" si="1"/>
        <v>#2025#RC-Property</v>
      </c>
      <c r="B31">
        <f>_xlfn.XLOOKUP(CF_Gen_4[[#This Row],[ICG]],ICG[ICG],ICG[Cohort])</f>
        <v>2025</v>
      </c>
      <c r="C31" t="str">
        <f>_xlfn.XLOOKUP(CF_Gen_4[[#This Row],[ICG]],ICG[ICG],ICG[Portfolio])</f>
        <v>RC-Property</v>
      </c>
      <c r="D31" t="str">
        <f>_xlfn.XLOOKUP(CF_Gen_4[[#This Row],[ICG]],ICG[ICG],ICG[Contract])</f>
        <v>RC</v>
      </c>
      <c r="E31" s="2">
        <f t="shared" si="0"/>
        <v>45930</v>
      </c>
      <c r="F31">
        <v>30</v>
      </c>
      <c r="G31" s="2">
        <f>EOMONTH(DATE(YEAR(CF_Gen_4[[#This Row],[Valuation]])-1,12,31),CF_Gen_4[[#This Row],['#Incurred]]*3)</f>
        <v>48395</v>
      </c>
      <c r="H31" s="14">
        <f>SUMIFS(Expected_CF[Expected_Premium],Expected_CF[ICG],CF_Gen_4[[#This Row],[ICG]],Expected_CF[Incurred],CF_Gen_4[[#This Row],[Incurred]])</f>
        <v>0</v>
      </c>
      <c r="I31" s="14">
        <f>SUMIFS(Expected_CF[Expected_Commission],Expected_CF[ICG],CF_Gen_4[[#This Row],[ICG]],Expected_CF[Incurred],CF_Gen_4[[#This Row],[Incurred]])</f>
        <v>0</v>
      </c>
      <c r="J31" s="14">
        <f>IF(CF_Gen_4[[#This Row],[Contract]]="IC",SUMIFS(Expected_CF[Expected_Acquisition],Expected_CF[ICG],CF_Gen_4[[#This Row],[ICG]],Expected_CF[Incurred],CF_Gen_4[[#This Row],[Incurred]]),0)</f>
        <v>0</v>
      </c>
      <c r="K31" s="14">
        <f>SUMIFS(Earned[Earned_Premium],Earned[ICG],CF_Gen_4[[#This Row],[ICG]],Earned[Incurred],CF_Gen_4[[#This Row],[Incurred]])</f>
        <v>-747506206.1068294</v>
      </c>
      <c r="L31" s="14">
        <f>SUMIFS(Earned[Earned_Commission],Earned[ICG],CF_Gen_4[[#This Row],[ICG]],Earned[Incurred],CF_Gen_4[[#This Row],[Incurred]])</f>
        <v>242939516.9847196</v>
      </c>
      <c r="M31" s="18">
        <f>_xlfn.XLOOKUP(CF_Gen_4[[#This Row],[ICG]],Assumptions[ICG],Assumptions[Loss_Ratio])</f>
        <v>0.38</v>
      </c>
      <c r="N31" s="18">
        <f>_xlfn.XLOOKUP(CF_Gen_4[[#This Row],[ICG]],Assumptions[ICG],Assumptions[Risk_Adjustment_Ratio])</f>
        <v>0.13</v>
      </c>
      <c r="O31" s="18">
        <f>_xlfn.XLOOKUP(CF_Gen_4[[#This Row],[ICG]],Assumptions[ICG],Assumptions[PME_Ratio])</f>
        <v>0</v>
      </c>
      <c r="P31" s="18">
        <f>_xlfn.XLOOKUP(CF_Gen_4[[#This Row],[ICG]],Assumptions[ICG],Assumptions[ULAE_Ratio])</f>
        <v>0</v>
      </c>
      <c r="Q31" s="18">
        <f>_xlfn.XLOOKUP(CF_Gen_4[[#This Row],[ICG]],Assumptions[ICG],Assumptions[Cancellation_Ratio])</f>
        <v>7.0000000000000007E-2</v>
      </c>
      <c r="R31" s="18">
        <f>_xlfn.XLOOKUP(CF_Gen_4[[#This Row],[ICG]],Assumptions[ICG],Assumptions[Premium_Refund_Ratio])</f>
        <v>0.5</v>
      </c>
      <c r="S31" s="18">
        <f>IF(CF_Gen_4[[#This Row],[Contract]]="RC",_xlfn.XLOOKUP(CF_Gen_4[[#This Row],[ICG]],Assumptions[ICG],Assumptions[NPR_Ratio]),0)</f>
        <v>2.8000000000000001E-2</v>
      </c>
      <c r="T31" s="17">
        <f>T30*(1-CF_Gen_4[[#This Row],[Cancellation_Ratio]])</f>
        <v>0.12190050592075252</v>
      </c>
      <c r="U31" s="19">
        <f>IF(CF_Gen_4[[#This Row],[Incurred]]&lt;=CF_Gen_4[[#This Row],[Valuation]],CF_Gen_4[[#This Row],[Expected_Premium]],-CF_Gen_4[[#This Row],[Probability_of_Inforce]]*CF_Gen_4[[#This Row],[Premium_Refund_Ratio]]*CF_Gen_4[[#This Row],[Cancellation_Ratio]]*SUM(K31:K$105))</f>
        <v>106286586.58609244</v>
      </c>
      <c r="V3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Row],[Cancellation_Ratio]]*SUM(L31:L$105))</f>
        <v>-34543140.640480064</v>
      </c>
      <c r="W31" s="19">
        <f>CF_Gen_4[[#This Row],[Expected_Acquisition]]</f>
        <v>0</v>
      </c>
      <c r="X3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1" s="19">
        <f>-CF_Gen_4[[#This Row],[Probability_of_Inforce]]*CF_Gen_4[[#This Row],[Earned_Premium]]*(1-CF_Gen_4[[#This Row],[Cancellation_Ratio]])*CF_Gen_4[[#This Row],[Loss_Ratio]]</f>
        <v>32202297.354154985</v>
      </c>
      <c r="Z31" s="19">
        <f>CF_Gen_4[[#This Row],[Exp_Claim]]*CF_Gen_4[[#This Row],[Risk_Adjustment_Ratio]]</f>
        <v>4186298.6560401483</v>
      </c>
      <c r="AA31" s="19">
        <f>IF(CF_Gen_4[[#This Row],[Contract]]="RC",-CF_Gen_4[[#This Row],[NPR_Ratio]]*CF_Gen_4[[#This Row],[Exp_Claim]],0)</f>
        <v>-901664.32591633964</v>
      </c>
      <c r="AB31" s="19">
        <f>SUMIFS(Actual_CF[Actual_Premium],Actual_CF[ICG],CF_Gen_4[[#This Row],[ICG]],Actual_CF[Incurred],CF_Gen_4[[#This Row],[Incurred]])</f>
        <v>0</v>
      </c>
      <c r="AC31" s="19">
        <f>SUMIFS(Actual_CF[Actual_Commission],Actual_CF[ICG],CF_Gen_4[[#This Row],[ICG]],Actual_CF[Incurred],CF_Gen_4[[#This Row],[Incurred]])</f>
        <v>0</v>
      </c>
      <c r="AD31" s="19">
        <f>SUMIFS(Actual_CF[Actual_Acquisition],Actual_CF[ICG],CF_Gen_4[[#This Row],[ICG]],Actual_CF[Incurred],CF_Gen_4[[#This Row],[Incurred]])</f>
        <v>0</v>
      </c>
    </row>
    <row r="32" spans="1:30">
      <c r="A32" t="str">
        <f t="shared" si="1"/>
        <v>#2025#RC-Property</v>
      </c>
      <c r="B32">
        <f>_xlfn.XLOOKUP(CF_Gen_4[[#This Row],[ICG]],ICG[ICG],ICG[Cohort])</f>
        <v>2025</v>
      </c>
      <c r="C32" t="str">
        <f>_xlfn.XLOOKUP(CF_Gen_4[[#This Row],[ICG]],ICG[ICG],ICG[Portfolio])</f>
        <v>RC-Property</v>
      </c>
      <c r="D32" t="str">
        <f>_xlfn.XLOOKUP(CF_Gen_4[[#This Row],[ICG]],ICG[ICG],ICG[Contract])</f>
        <v>RC</v>
      </c>
      <c r="E32" s="2">
        <f t="shared" si="0"/>
        <v>45930</v>
      </c>
      <c r="F32">
        <v>31</v>
      </c>
      <c r="G32" s="2">
        <f>EOMONTH(DATE(YEAR(CF_Gen_4[[#This Row],[Valuation]])-1,12,31),CF_Gen_4[[#This Row],['#Incurred]]*3)</f>
        <v>48487</v>
      </c>
      <c r="H32" s="14">
        <f>SUMIFS(Expected_CF[Expected_Premium],Expected_CF[ICG],CF_Gen_4[[#This Row],[ICG]],Expected_CF[Incurred],CF_Gen_4[[#This Row],[Incurred]])</f>
        <v>0</v>
      </c>
      <c r="I32" s="14">
        <f>SUMIFS(Expected_CF[Expected_Commission],Expected_CF[ICG],CF_Gen_4[[#This Row],[ICG]],Expected_CF[Incurred],CF_Gen_4[[#This Row],[Incurred]])</f>
        <v>0</v>
      </c>
      <c r="J32" s="14">
        <f>IF(CF_Gen_4[[#This Row],[Contract]]="IC",SUMIFS(Expected_CF[Expected_Acquisition],Expected_CF[ICG],CF_Gen_4[[#This Row],[ICG]],Expected_CF[Incurred],CF_Gen_4[[#This Row],[Incurred]]),0)</f>
        <v>0</v>
      </c>
      <c r="K32" s="14">
        <f>SUMIFS(Earned[Earned_Premium],Earned[ICG],CF_Gen_4[[#This Row],[ICG]],Earned[Incurred],CF_Gen_4[[#This Row],[Incurred]])</f>
        <v>-732250977.41077161</v>
      </c>
      <c r="L32" s="14">
        <f>SUMIFS(Earned[Earned_Commission],Earned[ICG],CF_Gen_4[[#This Row],[ICG]],Earned[Incurred],CF_Gen_4[[#This Row],[Incurred]])</f>
        <v>237981567.65850082</v>
      </c>
      <c r="M32" s="18">
        <f>_xlfn.XLOOKUP(CF_Gen_4[[#This Row],[ICG]],Assumptions[ICG],Assumptions[Loss_Ratio])</f>
        <v>0.38</v>
      </c>
      <c r="N32" s="18">
        <f>_xlfn.XLOOKUP(CF_Gen_4[[#This Row],[ICG]],Assumptions[ICG],Assumptions[Risk_Adjustment_Ratio])</f>
        <v>0.13</v>
      </c>
      <c r="O32" s="18">
        <f>_xlfn.XLOOKUP(CF_Gen_4[[#This Row],[ICG]],Assumptions[ICG],Assumptions[PME_Ratio])</f>
        <v>0</v>
      </c>
      <c r="P32" s="18">
        <f>_xlfn.XLOOKUP(CF_Gen_4[[#This Row],[ICG]],Assumptions[ICG],Assumptions[ULAE_Ratio])</f>
        <v>0</v>
      </c>
      <c r="Q32" s="18">
        <f>_xlfn.XLOOKUP(CF_Gen_4[[#This Row],[ICG]],Assumptions[ICG],Assumptions[Cancellation_Ratio])</f>
        <v>7.0000000000000007E-2</v>
      </c>
      <c r="R32" s="18">
        <f>_xlfn.XLOOKUP(CF_Gen_4[[#This Row],[ICG]],Assumptions[ICG],Assumptions[Premium_Refund_Ratio])</f>
        <v>0.5</v>
      </c>
      <c r="S32" s="18">
        <f>IF(CF_Gen_4[[#This Row],[Contract]]="RC",_xlfn.XLOOKUP(CF_Gen_4[[#This Row],[ICG]],Assumptions[ICG],Assumptions[NPR_Ratio]),0)</f>
        <v>2.8000000000000001E-2</v>
      </c>
      <c r="T32" s="17">
        <f>T31*(1-CF_Gen_4[[#This Row],[Cancellation_Ratio]])</f>
        <v>0.11336747050629983</v>
      </c>
      <c r="U32" s="19">
        <f>IF(CF_Gen_4[[#This Row],[Incurred]]&lt;=CF_Gen_4[[#This Row],[Valuation]],CF_Gen_4[[#This Row],[Expected_Premium]],-CF_Gen_4[[#This Row],[Probability_of_Inforce]]*CF_Gen_4[[#This Row],[Premium_Refund_Ratio]]*CF_Gen_4[[#This Row],[Cancellation_Ratio]]*SUM(K32:K$105))</f>
        <v>95880524.452972755</v>
      </c>
      <c r="V3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Row],[Cancellation_Ratio]]*SUM(L32:L$105))</f>
        <v>-31161170.447216161</v>
      </c>
      <c r="W32" s="19">
        <f>CF_Gen_4[[#This Row],[Expected_Acquisition]]</f>
        <v>0</v>
      </c>
      <c r="X3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2" s="19">
        <f>-CF_Gen_4[[#This Row],[Probability_of_Inforce]]*CF_Gen_4[[#This Row],[Earned_Premium]]*(1-CF_Gen_4[[#This Row],[Cancellation_Ratio]])*CF_Gen_4[[#This Row],[Loss_Ratio]]</f>
        <v>29336950.079377111</v>
      </c>
      <c r="Z32" s="19">
        <f>CF_Gen_4[[#This Row],[Exp_Claim]]*CF_Gen_4[[#This Row],[Risk_Adjustment_Ratio]]</f>
        <v>3813803.5103190248</v>
      </c>
      <c r="AA32" s="19">
        <f>IF(CF_Gen_4[[#This Row],[Contract]]="RC",-CF_Gen_4[[#This Row],[NPR_Ratio]]*CF_Gen_4[[#This Row],[Exp_Claim]],0)</f>
        <v>-821434.60222255916</v>
      </c>
      <c r="AB32" s="19">
        <f>SUMIFS(Actual_CF[Actual_Premium],Actual_CF[ICG],CF_Gen_4[[#This Row],[ICG]],Actual_CF[Incurred],CF_Gen_4[[#This Row],[Incurred]])</f>
        <v>0</v>
      </c>
      <c r="AC32" s="19">
        <f>SUMIFS(Actual_CF[Actual_Commission],Actual_CF[ICG],CF_Gen_4[[#This Row],[ICG]],Actual_CF[Incurred],CF_Gen_4[[#This Row],[Incurred]])</f>
        <v>0</v>
      </c>
      <c r="AD32" s="19">
        <f>SUMIFS(Actual_CF[Actual_Acquisition],Actual_CF[ICG],CF_Gen_4[[#This Row],[ICG]],Actual_CF[Incurred],CF_Gen_4[[#This Row],[Incurred]])</f>
        <v>0</v>
      </c>
    </row>
    <row r="33" spans="1:30">
      <c r="A33" t="str">
        <f t="shared" si="1"/>
        <v>#2025#RC-Property</v>
      </c>
      <c r="B33">
        <f>_xlfn.XLOOKUP(CF_Gen_4[[#This Row],[ICG]],ICG[ICG],ICG[Cohort])</f>
        <v>2025</v>
      </c>
      <c r="C33" t="str">
        <f>_xlfn.XLOOKUP(CF_Gen_4[[#This Row],[ICG]],ICG[ICG],ICG[Portfolio])</f>
        <v>RC-Property</v>
      </c>
      <c r="D33" t="str">
        <f>_xlfn.XLOOKUP(CF_Gen_4[[#This Row],[ICG]],ICG[ICG],ICG[Contract])</f>
        <v>RC</v>
      </c>
      <c r="E33" s="2">
        <f t="shared" si="0"/>
        <v>45930</v>
      </c>
      <c r="F33">
        <v>32</v>
      </c>
      <c r="G33" s="2">
        <f>EOMONTH(DATE(YEAR(CF_Gen_4[[#This Row],[Valuation]])-1,12,31),CF_Gen_4[[#This Row],['#Incurred]]*3)</f>
        <v>48579</v>
      </c>
      <c r="H33" s="14">
        <f>SUMIFS(Expected_CF[Expected_Premium],Expected_CF[ICG],CF_Gen_4[[#This Row],[ICG]],Expected_CF[Incurred],CF_Gen_4[[#This Row],[Incurred]])</f>
        <v>0</v>
      </c>
      <c r="I33" s="14">
        <f>SUMIFS(Expected_CF[Expected_Commission],Expected_CF[ICG],CF_Gen_4[[#This Row],[ICG]],Expected_CF[Incurred],CF_Gen_4[[#This Row],[Incurred]])</f>
        <v>0</v>
      </c>
      <c r="J33" s="14">
        <f>IF(CF_Gen_4[[#This Row],[Contract]]="IC",SUMIFS(Expected_CF[Expected_Acquisition],Expected_CF[ICG],CF_Gen_4[[#This Row],[ICG]],Expected_CF[Incurred],CF_Gen_4[[#This Row],[Incurred]]),0)</f>
        <v>0</v>
      </c>
      <c r="K33" s="14">
        <f>SUMIFS(Earned[Earned_Premium],Earned[ICG],CF_Gen_4[[#This Row],[ICG]],Earned[Incurred],CF_Gen_4[[#This Row],[Incurred]])</f>
        <v>-732250977.41077161</v>
      </c>
      <c r="L33" s="14">
        <f>SUMIFS(Earned[Earned_Commission],Earned[ICG],CF_Gen_4[[#This Row],[ICG]],Earned[Incurred],CF_Gen_4[[#This Row],[Incurred]])</f>
        <v>237981567.65850082</v>
      </c>
      <c r="M33" s="18">
        <f>_xlfn.XLOOKUP(CF_Gen_4[[#This Row],[ICG]],Assumptions[ICG],Assumptions[Loss_Ratio])</f>
        <v>0.38</v>
      </c>
      <c r="N33" s="18">
        <f>_xlfn.XLOOKUP(CF_Gen_4[[#This Row],[ICG]],Assumptions[ICG],Assumptions[Risk_Adjustment_Ratio])</f>
        <v>0.13</v>
      </c>
      <c r="O33" s="18">
        <f>_xlfn.XLOOKUP(CF_Gen_4[[#This Row],[ICG]],Assumptions[ICG],Assumptions[PME_Ratio])</f>
        <v>0</v>
      </c>
      <c r="P33" s="18">
        <f>_xlfn.XLOOKUP(CF_Gen_4[[#This Row],[ICG]],Assumptions[ICG],Assumptions[ULAE_Ratio])</f>
        <v>0</v>
      </c>
      <c r="Q33" s="18">
        <f>_xlfn.XLOOKUP(CF_Gen_4[[#This Row],[ICG]],Assumptions[ICG],Assumptions[Cancellation_Ratio])</f>
        <v>7.0000000000000007E-2</v>
      </c>
      <c r="R33" s="18">
        <f>_xlfn.XLOOKUP(CF_Gen_4[[#This Row],[ICG]],Assumptions[ICG],Assumptions[Premium_Refund_Ratio])</f>
        <v>0.5</v>
      </c>
      <c r="S33" s="18">
        <f>IF(CF_Gen_4[[#This Row],[Contract]]="RC",_xlfn.XLOOKUP(CF_Gen_4[[#This Row],[ICG]],Assumptions[ICG],Assumptions[NPR_Ratio]),0)</f>
        <v>2.8000000000000001E-2</v>
      </c>
      <c r="T33" s="17">
        <f>T32*(1-CF_Gen_4[[#This Row],[Cancellation_Ratio]])</f>
        <v>0.10543174757085884</v>
      </c>
      <c r="U33" s="19">
        <f>IF(CF_Gen_4[[#This Row],[Incurred]]&lt;=CF_Gen_4[[#This Row],[Valuation]],CF_Gen_4[[#This Row],[Expected_Premium]],-CF_Gen_4[[#This Row],[Probability_of_Inforce]]*CF_Gen_4[[#This Row],[Premium_Refund_Ratio]]*CF_Gen_4[[#This Row],[Cancellation_Ratio]]*SUM(K33:K$105))</f>
        <v>86466800.233953595</v>
      </c>
      <c r="V3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Row],[Cancellation_Ratio]]*SUM(L33:L$105))</f>
        <v>-28101710.076034933</v>
      </c>
      <c r="W33" s="19">
        <f>CF_Gen_4[[#This Row],[Expected_Acquisition]]</f>
        <v>0</v>
      </c>
      <c r="X3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3" s="19">
        <f>-CF_Gen_4[[#This Row],[Probability_of_Inforce]]*CF_Gen_4[[#This Row],[Earned_Premium]]*(1-CF_Gen_4[[#This Row],[Cancellation_Ratio]])*CF_Gen_4[[#This Row],[Loss_Ratio]]</f>
        <v>27283363.57382071</v>
      </c>
      <c r="Z33" s="19">
        <f>CF_Gen_4[[#This Row],[Exp_Claim]]*CF_Gen_4[[#This Row],[Risk_Adjustment_Ratio]]</f>
        <v>3546837.2645966923</v>
      </c>
      <c r="AA33" s="19">
        <f>IF(CF_Gen_4[[#This Row],[Contract]]="RC",-CF_Gen_4[[#This Row],[NPR_Ratio]]*CF_Gen_4[[#This Row],[Exp_Claim]],0)</f>
        <v>-763934.18006697996</v>
      </c>
      <c r="AB33" s="19">
        <f>SUMIFS(Actual_CF[Actual_Premium],Actual_CF[ICG],CF_Gen_4[[#This Row],[ICG]],Actual_CF[Incurred],CF_Gen_4[[#This Row],[Incurred]])</f>
        <v>0</v>
      </c>
      <c r="AC33" s="19">
        <f>SUMIFS(Actual_CF[Actual_Commission],Actual_CF[ICG],CF_Gen_4[[#This Row],[ICG]],Actual_CF[Incurred],CF_Gen_4[[#This Row],[Incurred]])</f>
        <v>0</v>
      </c>
      <c r="AD33" s="19">
        <f>SUMIFS(Actual_CF[Actual_Acquisition],Actual_CF[ICG],CF_Gen_4[[#This Row],[ICG]],Actual_CF[Incurred],CF_Gen_4[[#This Row],[Incurred]])</f>
        <v>0</v>
      </c>
    </row>
    <row r="34" spans="1:30">
      <c r="A34" t="str">
        <f t="shared" si="1"/>
        <v>#2025#RC-Property</v>
      </c>
      <c r="B34">
        <f>_xlfn.XLOOKUP(CF_Gen_4[[#This Row],[ICG]],ICG[ICG],ICG[Cohort])</f>
        <v>2025</v>
      </c>
      <c r="C34" t="str">
        <f>_xlfn.XLOOKUP(CF_Gen_4[[#This Row],[ICG]],ICG[ICG],ICG[Portfolio])</f>
        <v>RC-Property</v>
      </c>
      <c r="D34" t="str">
        <f>_xlfn.XLOOKUP(CF_Gen_4[[#This Row],[ICG]],ICG[ICG],ICG[Contract])</f>
        <v>RC</v>
      </c>
      <c r="E34" s="2">
        <f t="shared" si="0"/>
        <v>45930</v>
      </c>
      <c r="F34">
        <v>33</v>
      </c>
      <c r="G34" s="2">
        <f>EOMONTH(DATE(YEAR(CF_Gen_4[[#This Row],[Valuation]])-1,12,31),CF_Gen_4[[#This Row],['#Incurred]]*3)</f>
        <v>48669</v>
      </c>
      <c r="H34" s="14">
        <f>SUMIFS(Expected_CF[Expected_Premium],Expected_CF[ICG],CF_Gen_4[[#This Row],[ICG]],Expected_CF[Incurred],CF_Gen_4[[#This Row],[Incurred]])</f>
        <v>0</v>
      </c>
      <c r="I34" s="14">
        <f>SUMIFS(Expected_CF[Expected_Commission],Expected_CF[ICG],CF_Gen_4[[#This Row],[ICG]],Expected_CF[Incurred],CF_Gen_4[[#This Row],[Incurred]])</f>
        <v>0</v>
      </c>
      <c r="J34" s="14">
        <f>IF(CF_Gen_4[[#This Row],[Contract]]="IC",SUMIFS(Expected_CF[Expected_Acquisition],Expected_CF[ICG],CF_Gen_4[[#This Row],[ICG]],Expected_CF[Incurred],CF_Gen_4[[#This Row],[Incurred]]),0)</f>
        <v>0</v>
      </c>
      <c r="K34" s="14">
        <f>SUMIFS(Earned[Earned_Premium],Earned[ICG],CF_Gen_4[[#This Row],[ICG]],Earned[Incurred],CF_Gen_4[[#This Row],[Incurred]])</f>
        <v>-716995748.71471393</v>
      </c>
      <c r="L34" s="14">
        <f>SUMIFS(Earned[Earned_Commission],Earned[ICG],CF_Gen_4[[#This Row],[ICG]],Earned[Incurred],CF_Gen_4[[#This Row],[Incurred]])</f>
        <v>233023618.33228207</v>
      </c>
      <c r="M34" s="18">
        <f>_xlfn.XLOOKUP(CF_Gen_4[[#This Row],[ICG]],Assumptions[ICG],Assumptions[Loss_Ratio])</f>
        <v>0.38</v>
      </c>
      <c r="N34" s="18">
        <f>_xlfn.XLOOKUP(CF_Gen_4[[#This Row],[ICG]],Assumptions[ICG],Assumptions[Risk_Adjustment_Ratio])</f>
        <v>0.13</v>
      </c>
      <c r="O34" s="18">
        <f>_xlfn.XLOOKUP(CF_Gen_4[[#This Row],[ICG]],Assumptions[ICG],Assumptions[PME_Ratio])</f>
        <v>0</v>
      </c>
      <c r="P34" s="18">
        <f>_xlfn.XLOOKUP(CF_Gen_4[[#This Row],[ICG]],Assumptions[ICG],Assumptions[ULAE_Ratio])</f>
        <v>0</v>
      </c>
      <c r="Q34" s="18">
        <f>_xlfn.XLOOKUP(CF_Gen_4[[#This Row],[ICG]],Assumptions[ICG],Assumptions[Cancellation_Ratio])</f>
        <v>7.0000000000000007E-2</v>
      </c>
      <c r="R34" s="18">
        <f>_xlfn.XLOOKUP(CF_Gen_4[[#This Row],[ICG]],Assumptions[ICG],Assumptions[Premium_Refund_Ratio])</f>
        <v>0.5</v>
      </c>
      <c r="S34" s="18">
        <f>IF(CF_Gen_4[[#This Row],[Contract]]="RC",_xlfn.XLOOKUP(CF_Gen_4[[#This Row],[ICG]],Assumptions[ICG],Assumptions[NPR_Ratio]),0)</f>
        <v>2.8000000000000001E-2</v>
      </c>
      <c r="T34" s="17">
        <f>T33*(1-CF_Gen_4[[#This Row],[Cancellation_Ratio]])</f>
        <v>9.8051525240898718E-2</v>
      </c>
      <c r="U34" s="19">
        <f>IF(CF_Gen_4[[#This Row],[Incurred]]&lt;=CF_Gen_4[[#This Row],[Valuation]],CF_Gen_4[[#This Row],[Expected_Premium]],-CF_Gen_4[[#This Row],[Probability_of_Inforce]]*CF_Gen_4[[#This Row],[Premium_Refund_Ratio]]*CF_Gen_4[[#This Row],[Cancellation_Ratio]]*SUM(K34:K$105))</f>
        <v>77901182.835777566</v>
      </c>
      <c r="V3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Row],[Cancellation_Ratio]]*SUM(L34:L$105))</f>
        <v>-25317884.421627726</v>
      </c>
      <c r="W34" s="19">
        <f>CF_Gen_4[[#This Row],[Expected_Acquisition]]</f>
        <v>0</v>
      </c>
      <c r="X3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4" s="19">
        <f>-CF_Gen_4[[#This Row],[Probability_of_Inforce]]*CF_Gen_4[[#This Row],[Earned_Premium]]*(1-CF_Gen_4[[#This Row],[Cancellation_Ratio]])*CF_Gen_4[[#This Row],[Loss_Ratio]]</f>
        <v>24844912.95441049</v>
      </c>
      <c r="Z34" s="19">
        <f>CF_Gen_4[[#This Row],[Exp_Claim]]*CF_Gen_4[[#This Row],[Risk_Adjustment_Ratio]]</f>
        <v>3229838.6840733639</v>
      </c>
      <c r="AA34" s="19">
        <f>IF(CF_Gen_4[[#This Row],[Contract]]="RC",-CF_Gen_4[[#This Row],[NPR_Ratio]]*CF_Gen_4[[#This Row],[Exp_Claim]],0)</f>
        <v>-695657.56272349367</v>
      </c>
      <c r="AB34" s="19">
        <f>SUMIFS(Actual_CF[Actual_Premium],Actual_CF[ICG],CF_Gen_4[[#This Row],[ICG]],Actual_CF[Incurred],CF_Gen_4[[#This Row],[Incurred]])</f>
        <v>0</v>
      </c>
      <c r="AC34" s="19">
        <f>SUMIFS(Actual_CF[Actual_Commission],Actual_CF[ICG],CF_Gen_4[[#This Row],[ICG]],Actual_CF[Incurred],CF_Gen_4[[#This Row],[Incurred]])</f>
        <v>0</v>
      </c>
      <c r="AD34" s="19">
        <f>SUMIFS(Actual_CF[Actual_Acquisition],Actual_CF[ICG],CF_Gen_4[[#This Row],[ICG]],Actual_CF[Incurred],CF_Gen_4[[#This Row],[Incurred]])</f>
        <v>0</v>
      </c>
    </row>
    <row r="35" spans="1:30">
      <c r="A35" t="str">
        <f t="shared" si="1"/>
        <v>#2025#RC-Property</v>
      </c>
      <c r="B35">
        <f>_xlfn.XLOOKUP(CF_Gen_4[[#This Row],[ICG]],ICG[ICG],ICG[Cohort])</f>
        <v>2025</v>
      </c>
      <c r="C35" t="str">
        <f>_xlfn.XLOOKUP(CF_Gen_4[[#This Row],[ICG]],ICG[ICG],ICG[Portfolio])</f>
        <v>RC-Property</v>
      </c>
      <c r="D35" t="str">
        <f>_xlfn.XLOOKUP(CF_Gen_4[[#This Row],[ICG]],ICG[ICG],ICG[Contract])</f>
        <v>RC</v>
      </c>
      <c r="E35" s="2">
        <f t="shared" si="0"/>
        <v>45930</v>
      </c>
      <c r="F35">
        <v>34</v>
      </c>
      <c r="G35" s="2">
        <f>EOMONTH(DATE(YEAR(CF_Gen_4[[#This Row],[Valuation]])-1,12,31),CF_Gen_4[[#This Row],['#Incurred]]*3)</f>
        <v>48760</v>
      </c>
      <c r="H35" s="14">
        <f>SUMIFS(Expected_CF[Expected_Premium],Expected_CF[ICG],CF_Gen_4[[#This Row],[ICG]],Expected_CF[Incurred],CF_Gen_4[[#This Row],[Incurred]])</f>
        <v>0</v>
      </c>
      <c r="I35" s="14">
        <f>SUMIFS(Expected_CF[Expected_Commission],Expected_CF[ICG],CF_Gen_4[[#This Row],[ICG]],Expected_CF[Incurred],CF_Gen_4[[#This Row],[Incurred]])</f>
        <v>0</v>
      </c>
      <c r="J35" s="14">
        <f>IF(CF_Gen_4[[#This Row],[Contract]]="IC",SUMIFS(Expected_CF[Expected_Acquisition],Expected_CF[ICG],CF_Gen_4[[#This Row],[ICG]],Expected_CF[Incurred],CF_Gen_4[[#This Row],[Incurred]]),0)</f>
        <v>0</v>
      </c>
      <c r="K35" s="14">
        <f>SUMIFS(Earned[Earned_Premium],Earned[ICG],CF_Gen_4[[#This Row],[ICG]],Earned[Incurred],CF_Gen_4[[#This Row],[Incurred]])</f>
        <v>-701740520.01865613</v>
      </c>
      <c r="L35" s="14">
        <f>SUMIFS(Earned[Earned_Commission],Earned[ICG],CF_Gen_4[[#This Row],[ICG]],Earned[Incurred],CF_Gen_4[[#This Row],[Incurred]])</f>
        <v>228065669.00606328</v>
      </c>
      <c r="M35" s="18">
        <f>_xlfn.XLOOKUP(CF_Gen_4[[#This Row],[ICG]],Assumptions[ICG],Assumptions[Loss_Ratio])</f>
        <v>0.38</v>
      </c>
      <c r="N35" s="18">
        <f>_xlfn.XLOOKUP(CF_Gen_4[[#This Row],[ICG]],Assumptions[ICG],Assumptions[Risk_Adjustment_Ratio])</f>
        <v>0.13</v>
      </c>
      <c r="O35" s="18">
        <f>_xlfn.XLOOKUP(CF_Gen_4[[#This Row],[ICG]],Assumptions[ICG],Assumptions[PME_Ratio])</f>
        <v>0</v>
      </c>
      <c r="P35" s="18">
        <f>_xlfn.XLOOKUP(CF_Gen_4[[#This Row],[ICG]],Assumptions[ICG],Assumptions[ULAE_Ratio])</f>
        <v>0</v>
      </c>
      <c r="Q35" s="18">
        <f>_xlfn.XLOOKUP(CF_Gen_4[[#This Row],[ICG]],Assumptions[ICG],Assumptions[Cancellation_Ratio])</f>
        <v>7.0000000000000007E-2</v>
      </c>
      <c r="R35" s="18">
        <f>_xlfn.XLOOKUP(CF_Gen_4[[#This Row],[ICG]],Assumptions[ICG],Assumptions[Premium_Refund_Ratio])</f>
        <v>0.5</v>
      </c>
      <c r="S35" s="18">
        <f>IF(CF_Gen_4[[#This Row],[Contract]]="RC",_xlfn.XLOOKUP(CF_Gen_4[[#This Row],[ICG]],Assumptions[ICG],Assumptions[NPR_Ratio]),0)</f>
        <v>2.8000000000000001E-2</v>
      </c>
      <c r="T35" s="17">
        <f>T34*(1-CF_Gen_4[[#This Row],[Cancellation_Ratio]])</f>
        <v>9.1187918474035803E-2</v>
      </c>
      <c r="U35" s="19">
        <f>IF(CF_Gen_4[[#This Row],[Incurred]]&lt;=CF_Gen_4[[#This Row],[Valuation]],CF_Gen_4[[#This Row],[Expected_Premium]],-CF_Gen_4[[#This Row],[Probability_of_Inforce]]*CF_Gen_4[[#This Row],[Premium_Refund_Ratio]]*CF_Gen_4[[#This Row],[Cancellation_Ratio]]*SUM(K35:K$105))</f>
        <v>70159752.791472167</v>
      </c>
      <c r="V3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Row],[Cancellation_Ratio]]*SUM(L35:L$105))</f>
        <v>-22801919.65722847</v>
      </c>
      <c r="W35" s="19">
        <f>CF_Gen_4[[#This Row],[Expected_Acquisition]]</f>
        <v>0</v>
      </c>
      <c r="X3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5" s="19">
        <f>-CF_Gen_4[[#This Row],[Probability_of_Inforce]]*CF_Gen_4[[#This Row],[Earned_Premium]]*(1-CF_Gen_4[[#This Row],[Cancellation_Ratio]])*CF_Gen_4[[#This Row],[Loss_Ratio]]</f>
        <v>22614156.940205965</v>
      </c>
      <c r="Z35" s="19">
        <f>CF_Gen_4[[#This Row],[Exp_Claim]]*CF_Gen_4[[#This Row],[Risk_Adjustment_Ratio]]</f>
        <v>2939840.4022267754</v>
      </c>
      <c r="AA35" s="19">
        <f>IF(CF_Gen_4[[#This Row],[Contract]]="RC",-CF_Gen_4[[#This Row],[NPR_Ratio]]*CF_Gen_4[[#This Row],[Exp_Claim]],0)</f>
        <v>-633196.39432576706</v>
      </c>
      <c r="AB35" s="19">
        <f>SUMIFS(Actual_CF[Actual_Premium],Actual_CF[ICG],CF_Gen_4[[#This Row],[ICG]],Actual_CF[Incurred],CF_Gen_4[[#This Row],[Incurred]])</f>
        <v>0</v>
      </c>
      <c r="AC35" s="19">
        <f>SUMIFS(Actual_CF[Actual_Commission],Actual_CF[ICG],CF_Gen_4[[#This Row],[ICG]],Actual_CF[Incurred],CF_Gen_4[[#This Row],[Incurred]])</f>
        <v>0</v>
      </c>
      <c r="AD35" s="19">
        <f>SUMIFS(Actual_CF[Actual_Acquisition],Actual_CF[ICG],CF_Gen_4[[#This Row],[ICG]],Actual_CF[Incurred],CF_Gen_4[[#This Row],[Incurred]])</f>
        <v>0</v>
      </c>
    </row>
    <row r="36" spans="1:30">
      <c r="A36" t="str">
        <f t="shared" si="1"/>
        <v>#2025#RC-Property</v>
      </c>
      <c r="B36">
        <f>_xlfn.XLOOKUP(CF_Gen_4[[#This Row],[ICG]],ICG[ICG],ICG[Cohort])</f>
        <v>2025</v>
      </c>
      <c r="C36" t="str">
        <f>_xlfn.XLOOKUP(CF_Gen_4[[#This Row],[ICG]],ICG[ICG],ICG[Portfolio])</f>
        <v>RC-Property</v>
      </c>
      <c r="D36" t="str">
        <f>_xlfn.XLOOKUP(CF_Gen_4[[#This Row],[ICG]],ICG[ICG],ICG[Contract])</f>
        <v>RC</v>
      </c>
      <c r="E36" s="2">
        <f t="shared" si="0"/>
        <v>45930</v>
      </c>
      <c r="F36">
        <v>35</v>
      </c>
      <c r="G36" s="2">
        <f>EOMONTH(DATE(YEAR(CF_Gen_4[[#This Row],[Valuation]])-1,12,31),CF_Gen_4[[#This Row],['#Incurred]]*3)</f>
        <v>48852</v>
      </c>
      <c r="H36" s="14">
        <f>SUMIFS(Expected_CF[Expected_Premium],Expected_CF[ICG],CF_Gen_4[[#This Row],[ICG]],Expected_CF[Incurred],CF_Gen_4[[#This Row],[Incurred]])</f>
        <v>0</v>
      </c>
      <c r="I36" s="14">
        <f>SUMIFS(Expected_CF[Expected_Commission],Expected_CF[ICG],CF_Gen_4[[#This Row],[ICG]],Expected_CF[Incurred],CF_Gen_4[[#This Row],[Incurred]])</f>
        <v>0</v>
      </c>
      <c r="J36" s="14">
        <f>IF(CF_Gen_4[[#This Row],[Contract]]="IC",SUMIFS(Expected_CF[Expected_Acquisition],Expected_CF[ICG],CF_Gen_4[[#This Row],[ICG]],Expected_CF[Incurred],CF_Gen_4[[#This Row],[Incurred]]),0)</f>
        <v>0</v>
      </c>
      <c r="K36" s="14">
        <f>SUMIFS(Earned[Earned_Premium],Earned[ICG],CF_Gen_4[[#This Row],[ICG]],Earned[Incurred],CF_Gen_4[[#This Row],[Incurred]])</f>
        <v>-686485291.32259846</v>
      </c>
      <c r="L36" s="14">
        <f>SUMIFS(Earned[Earned_Commission],Earned[ICG],CF_Gen_4[[#This Row],[ICG]],Earned[Incurred],CF_Gen_4[[#This Row],[Incurred]])</f>
        <v>223107719.67984453</v>
      </c>
      <c r="M36" s="18">
        <f>_xlfn.XLOOKUP(CF_Gen_4[[#This Row],[ICG]],Assumptions[ICG],Assumptions[Loss_Ratio])</f>
        <v>0.38</v>
      </c>
      <c r="N36" s="18">
        <f>_xlfn.XLOOKUP(CF_Gen_4[[#This Row],[ICG]],Assumptions[ICG],Assumptions[Risk_Adjustment_Ratio])</f>
        <v>0.13</v>
      </c>
      <c r="O36" s="18">
        <f>_xlfn.XLOOKUP(CF_Gen_4[[#This Row],[ICG]],Assumptions[ICG],Assumptions[PME_Ratio])</f>
        <v>0</v>
      </c>
      <c r="P36" s="18">
        <f>_xlfn.XLOOKUP(CF_Gen_4[[#This Row],[ICG]],Assumptions[ICG],Assumptions[ULAE_Ratio])</f>
        <v>0</v>
      </c>
      <c r="Q36" s="18">
        <f>_xlfn.XLOOKUP(CF_Gen_4[[#This Row],[ICG]],Assumptions[ICG],Assumptions[Cancellation_Ratio])</f>
        <v>7.0000000000000007E-2</v>
      </c>
      <c r="R36" s="18">
        <f>_xlfn.XLOOKUP(CF_Gen_4[[#This Row],[ICG]],Assumptions[ICG],Assumptions[Premium_Refund_Ratio])</f>
        <v>0.5</v>
      </c>
      <c r="S36" s="18">
        <f>IF(CF_Gen_4[[#This Row],[Contract]]="RC",_xlfn.XLOOKUP(CF_Gen_4[[#This Row],[ICG]],Assumptions[ICG],Assumptions[NPR_Ratio]),0)</f>
        <v>2.8000000000000001E-2</v>
      </c>
      <c r="T36" s="17">
        <f>T35*(1-CF_Gen_4[[#This Row],[Cancellation_Ratio]])</f>
        <v>8.4804764180853295E-2</v>
      </c>
      <c r="U36" s="19">
        <f>IF(CF_Gen_4[[#This Row],[Incurred]]&lt;=CF_Gen_4[[#This Row],[Valuation]],CF_Gen_4[[#This Row],[Expected_Premium]],-CF_Gen_4[[#This Row],[Probability_of_Inforce]]*CF_Gen_4[[#This Row],[Premium_Refund_Ratio]]*CF_Gen_4[[#This Row],[Cancellation_Ratio]]*SUM(K36:K$105))</f>
        <v>63165687.219997481</v>
      </c>
      <c r="V3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Row],[Cancellation_Ratio]]*SUM(L36:L$105))</f>
        <v>-20528848.346499201</v>
      </c>
      <c r="W36" s="19">
        <f>CF_Gen_4[[#This Row],[Expected_Acquisition]]</f>
        <v>0</v>
      </c>
      <c r="X3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6" s="19">
        <f>-CF_Gen_4[[#This Row],[Probability_of_Inforce]]*CF_Gen_4[[#This Row],[Earned_Premium]]*(1-CF_Gen_4[[#This Row],[Cancellation_Ratio]])*CF_Gen_4[[#This Row],[Loss_Ratio]]</f>
        <v>20573966.694513474</v>
      </c>
      <c r="Z36" s="19">
        <f>CF_Gen_4[[#This Row],[Exp_Claim]]*CF_Gen_4[[#This Row],[Risk_Adjustment_Ratio]]</f>
        <v>2674615.6702867518</v>
      </c>
      <c r="AA36" s="19">
        <f>IF(CF_Gen_4[[#This Row],[Contract]]="RC",-CF_Gen_4[[#This Row],[NPR_Ratio]]*CF_Gen_4[[#This Row],[Exp_Claim]],0)</f>
        <v>-576071.06744637724</v>
      </c>
      <c r="AB36" s="19">
        <f>SUMIFS(Actual_CF[Actual_Premium],Actual_CF[ICG],CF_Gen_4[[#This Row],[ICG]],Actual_CF[Incurred],CF_Gen_4[[#This Row],[Incurred]])</f>
        <v>0</v>
      </c>
      <c r="AC36" s="19">
        <f>SUMIFS(Actual_CF[Actual_Commission],Actual_CF[ICG],CF_Gen_4[[#This Row],[ICG]],Actual_CF[Incurred],CF_Gen_4[[#This Row],[Incurred]])</f>
        <v>0</v>
      </c>
      <c r="AD36" s="19">
        <f>SUMIFS(Actual_CF[Actual_Acquisition],Actual_CF[ICG],CF_Gen_4[[#This Row],[ICG]],Actual_CF[Incurred],CF_Gen_4[[#This Row],[Incurred]])</f>
        <v>0</v>
      </c>
    </row>
    <row r="37" spans="1:30">
      <c r="A37" t="str">
        <f t="shared" si="1"/>
        <v>#2025#RC-Property</v>
      </c>
      <c r="B37">
        <f>_xlfn.XLOOKUP(CF_Gen_4[[#This Row],[ICG]],ICG[ICG],ICG[Cohort])</f>
        <v>2025</v>
      </c>
      <c r="C37" t="str">
        <f>_xlfn.XLOOKUP(CF_Gen_4[[#This Row],[ICG]],ICG[ICG],ICG[Portfolio])</f>
        <v>RC-Property</v>
      </c>
      <c r="D37" t="str">
        <f>_xlfn.XLOOKUP(CF_Gen_4[[#This Row],[ICG]],ICG[ICG],ICG[Contract])</f>
        <v>RC</v>
      </c>
      <c r="E37" s="2">
        <f t="shared" si="0"/>
        <v>45930</v>
      </c>
      <c r="F37">
        <v>36</v>
      </c>
      <c r="G37" s="2">
        <f>EOMONTH(DATE(YEAR(CF_Gen_4[[#This Row],[Valuation]])-1,12,31),CF_Gen_4[[#This Row],['#Incurred]]*3)</f>
        <v>48944</v>
      </c>
      <c r="H37" s="14">
        <f>SUMIFS(Expected_CF[Expected_Premium],Expected_CF[ICG],CF_Gen_4[[#This Row],[ICG]],Expected_CF[Incurred],CF_Gen_4[[#This Row],[Incurred]])</f>
        <v>0</v>
      </c>
      <c r="I37" s="14">
        <f>SUMIFS(Expected_CF[Expected_Commission],Expected_CF[ICG],CF_Gen_4[[#This Row],[ICG]],Expected_CF[Incurred],CF_Gen_4[[#This Row],[Incurred]])</f>
        <v>0</v>
      </c>
      <c r="J37" s="14">
        <f>IF(CF_Gen_4[[#This Row],[Contract]]="IC",SUMIFS(Expected_CF[Expected_Acquisition],Expected_CF[ICG],CF_Gen_4[[#This Row],[ICG]],Expected_CF[Incurred],CF_Gen_4[[#This Row],[Incurred]]),0)</f>
        <v>0</v>
      </c>
      <c r="K37" s="14">
        <f>SUMIFS(Earned[Earned_Premium],Earned[ICG],CF_Gen_4[[#This Row],[ICG]],Earned[Incurred],CF_Gen_4[[#This Row],[Incurred]])</f>
        <v>-686485291.32259846</v>
      </c>
      <c r="L37" s="14">
        <f>SUMIFS(Earned[Earned_Commission],Earned[ICG],CF_Gen_4[[#This Row],[ICG]],Earned[Incurred],CF_Gen_4[[#This Row],[Incurred]])</f>
        <v>223107719.67984453</v>
      </c>
      <c r="M37" s="18">
        <f>_xlfn.XLOOKUP(CF_Gen_4[[#This Row],[ICG]],Assumptions[ICG],Assumptions[Loss_Ratio])</f>
        <v>0.38</v>
      </c>
      <c r="N37" s="18">
        <f>_xlfn.XLOOKUP(CF_Gen_4[[#This Row],[ICG]],Assumptions[ICG],Assumptions[Risk_Adjustment_Ratio])</f>
        <v>0.13</v>
      </c>
      <c r="O37" s="18">
        <f>_xlfn.XLOOKUP(CF_Gen_4[[#This Row],[ICG]],Assumptions[ICG],Assumptions[PME_Ratio])</f>
        <v>0</v>
      </c>
      <c r="P37" s="18">
        <f>_xlfn.XLOOKUP(CF_Gen_4[[#This Row],[ICG]],Assumptions[ICG],Assumptions[ULAE_Ratio])</f>
        <v>0</v>
      </c>
      <c r="Q37" s="18">
        <f>_xlfn.XLOOKUP(CF_Gen_4[[#This Row],[ICG]],Assumptions[ICG],Assumptions[Cancellation_Ratio])</f>
        <v>7.0000000000000007E-2</v>
      </c>
      <c r="R37" s="18">
        <f>_xlfn.XLOOKUP(CF_Gen_4[[#This Row],[ICG]],Assumptions[ICG],Assumptions[Premium_Refund_Ratio])</f>
        <v>0.5</v>
      </c>
      <c r="S37" s="18">
        <f>IF(CF_Gen_4[[#This Row],[Contract]]="RC",_xlfn.XLOOKUP(CF_Gen_4[[#This Row],[ICG]],Assumptions[ICG],Assumptions[NPR_Ratio]),0)</f>
        <v>2.8000000000000001E-2</v>
      </c>
      <c r="T37" s="17">
        <f>T36*(1-CF_Gen_4[[#This Row],[Cancellation_Ratio]])</f>
        <v>7.8868430688193561E-2</v>
      </c>
      <c r="U37" s="19">
        <f>IF(CF_Gen_4[[#This Row],[Incurred]]&lt;=CF_Gen_4[[#This Row],[Valuation]],CF_Gen_4[[#This Row],[Expected_Premium]],-CF_Gen_4[[#This Row],[Probability_of_Inforce]]*CF_Gen_4[[#This Row],[Premium_Refund_Ratio]]*CF_Gen_4[[#This Row],[Cancellation_Ratio]]*SUM(K37:K$105))</f>
        <v>56849118.497997746</v>
      </c>
      <c r="V3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Row],[Cancellation_Ratio]]*SUM(L37:L$105))</f>
        <v>-18475963.51184928</v>
      </c>
      <c r="W37" s="19">
        <f>CF_Gen_4[[#This Row],[Expected_Acquisition]]</f>
        <v>0</v>
      </c>
      <c r="X3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7" s="19">
        <f>-CF_Gen_4[[#This Row],[Probability_of_Inforce]]*CF_Gen_4[[#This Row],[Earned_Premium]]*(1-CF_Gen_4[[#This Row],[Cancellation_Ratio]])*CF_Gen_4[[#This Row],[Loss_Ratio]]</f>
        <v>19133789.025897529</v>
      </c>
      <c r="Z37" s="19">
        <f>CF_Gen_4[[#This Row],[Exp_Claim]]*CF_Gen_4[[#This Row],[Risk_Adjustment_Ratio]]</f>
        <v>2487392.5733666788</v>
      </c>
      <c r="AA37" s="19">
        <f>IF(CF_Gen_4[[#This Row],[Contract]]="RC",-CF_Gen_4[[#This Row],[NPR_Ratio]]*CF_Gen_4[[#This Row],[Exp_Claim]],0)</f>
        <v>-535746.09272513085</v>
      </c>
      <c r="AB37" s="19">
        <f>SUMIFS(Actual_CF[Actual_Premium],Actual_CF[ICG],CF_Gen_4[[#This Row],[ICG]],Actual_CF[Incurred],CF_Gen_4[[#This Row],[Incurred]])</f>
        <v>0</v>
      </c>
      <c r="AC37" s="19">
        <f>SUMIFS(Actual_CF[Actual_Commission],Actual_CF[ICG],CF_Gen_4[[#This Row],[ICG]],Actual_CF[Incurred],CF_Gen_4[[#This Row],[Incurred]])</f>
        <v>0</v>
      </c>
      <c r="AD37" s="19">
        <f>SUMIFS(Actual_CF[Actual_Acquisition],Actual_CF[ICG],CF_Gen_4[[#This Row],[ICG]],Actual_CF[Incurred],CF_Gen_4[[#This Row],[Incurred]])</f>
        <v>0</v>
      </c>
    </row>
    <row r="38" spans="1:30">
      <c r="A38" t="str">
        <f t="shared" si="1"/>
        <v>#2025#RC-Property</v>
      </c>
      <c r="B38">
        <f>_xlfn.XLOOKUP(CF_Gen_4[[#This Row],[ICG]],ICG[ICG],ICG[Cohort])</f>
        <v>2025</v>
      </c>
      <c r="C38" t="str">
        <f>_xlfn.XLOOKUP(CF_Gen_4[[#This Row],[ICG]],ICG[ICG],ICG[Portfolio])</f>
        <v>RC-Property</v>
      </c>
      <c r="D38" t="str">
        <f>_xlfn.XLOOKUP(CF_Gen_4[[#This Row],[ICG]],ICG[ICG],ICG[Contract])</f>
        <v>RC</v>
      </c>
      <c r="E38" s="2">
        <f t="shared" si="0"/>
        <v>45930</v>
      </c>
      <c r="F38">
        <v>37</v>
      </c>
      <c r="G38" s="2">
        <f>EOMONTH(DATE(YEAR(CF_Gen_4[[#This Row],[Valuation]])-1,12,31),CF_Gen_4[[#This Row],['#Incurred]]*3)</f>
        <v>49034</v>
      </c>
      <c r="H38" s="14">
        <f>SUMIFS(Expected_CF[Expected_Premium],Expected_CF[ICG],CF_Gen_4[[#This Row],[ICG]],Expected_CF[Incurred],CF_Gen_4[[#This Row],[Incurred]])</f>
        <v>0</v>
      </c>
      <c r="I38" s="14">
        <f>SUMIFS(Expected_CF[Expected_Commission],Expected_CF[ICG],CF_Gen_4[[#This Row],[ICG]],Expected_CF[Incurred],CF_Gen_4[[#This Row],[Incurred]])</f>
        <v>0</v>
      </c>
      <c r="J38" s="14">
        <f>IF(CF_Gen_4[[#This Row],[Contract]]="IC",SUMIFS(Expected_CF[Expected_Acquisition],Expected_CF[ICG],CF_Gen_4[[#This Row],[ICG]],Expected_CF[Incurred],CF_Gen_4[[#This Row],[Incurred]]),0)</f>
        <v>0</v>
      </c>
      <c r="K38" s="14">
        <f>SUMIFS(Earned[Earned_Premium],Earned[ICG],CF_Gen_4[[#This Row],[ICG]],Earned[Incurred],CF_Gen_4[[#This Row],[Incurred]])</f>
        <v>-671230062.62654078</v>
      </c>
      <c r="L38" s="14">
        <f>SUMIFS(Earned[Earned_Commission],Earned[ICG],CF_Gen_4[[#This Row],[ICG]],Earned[Incurred],CF_Gen_4[[#This Row],[Incurred]])</f>
        <v>218149770.35362577</v>
      </c>
      <c r="M38" s="18">
        <f>_xlfn.XLOOKUP(CF_Gen_4[[#This Row],[ICG]],Assumptions[ICG],Assumptions[Loss_Ratio])</f>
        <v>0.38</v>
      </c>
      <c r="N38" s="18">
        <f>_xlfn.XLOOKUP(CF_Gen_4[[#This Row],[ICG]],Assumptions[ICG],Assumptions[Risk_Adjustment_Ratio])</f>
        <v>0.13</v>
      </c>
      <c r="O38" s="18">
        <f>_xlfn.XLOOKUP(CF_Gen_4[[#This Row],[ICG]],Assumptions[ICG],Assumptions[PME_Ratio])</f>
        <v>0</v>
      </c>
      <c r="P38" s="18">
        <f>_xlfn.XLOOKUP(CF_Gen_4[[#This Row],[ICG]],Assumptions[ICG],Assumptions[ULAE_Ratio])</f>
        <v>0</v>
      </c>
      <c r="Q38" s="18">
        <f>_xlfn.XLOOKUP(CF_Gen_4[[#This Row],[ICG]],Assumptions[ICG],Assumptions[Cancellation_Ratio])</f>
        <v>7.0000000000000007E-2</v>
      </c>
      <c r="R38" s="18">
        <f>_xlfn.XLOOKUP(CF_Gen_4[[#This Row],[ICG]],Assumptions[ICG],Assumptions[Premium_Refund_Ratio])</f>
        <v>0.5</v>
      </c>
      <c r="S38" s="18">
        <f>IF(CF_Gen_4[[#This Row],[Contract]]="RC",_xlfn.XLOOKUP(CF_Gen_4[[#This Row],[ICG]],Assumptions[ICG],Assumptions[NPR_Ratio]),0)</f>
        <v>2.8000000000000001E-2</v>
      </c>
      <c r="T38" s="17">
        <f>T37*(1-CF_Gen_4[[#This Row],[Cancellation_Ratio]])</f>
        <v>7.3347640540020007E-2</v>
      </c>
      <c r="U38" s="19">
        <f>IF(CF_Gen_4[[#This Row],[Incurred]]&lt;=CF_Gen_4[[#This Row],[Valuation]],CF_Gen_4[[#This Row],[Expected_Premium]],-CF_Gen_4[[#This Row],[Probability_of_Inforce]]*CF_Gen_4[[#This Row],[Premium_Refund_Ratio]]*CF_Gen_4[[#This Row],[Cancellation_Ratio]]*SUM(K38:K$105))</f>
        <v>51107357.529699974</v>
      </c>
      <c r="V3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Row],[Cancellation_Ratio]]*SUM(L38:L$105))</f>
        <v>-16609891.197152503</v>
      </c>
      <c r="W38" s="19">
        <f>CF_Gen_4[[#This Row],[Expected_Acquisition]]</f>
        <v>0</v>
      </c>
      <c r="X3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8" s="19">
        <f>-CF_Gen_4[[#This Row],[Probability_of_Inforce]]*CF_Gen_4[[#This Row],[Earned_Premium]]*(1-CF_Gen_4[[#This Row],[Cancellation_Ratio]])*CF_Gen_4[[#This Row],[Loss_Ratio]]</f>
        <v>17398992.154216155</v>
      </c>
      <c r="Z38" s="19">
        <f>CF_Gen_4[[#This Row],[Exp_Claim]]*CF_Gen_4[[#This Row],[Risk_Adjustment_Ratio]]</f>
        <v>2261868.9800481005</v>
      </c>
      <c r="AA38" s="19">
        <f>IF(CF_Gen_4[[#This Row],[Contract]]="RC",-CF_Gen_4[[#This Row],[NPR_Ratio]]*CF_Gen_4[[#This Row],[Exp_Claim]],0)</f>
        <v>-487171.78031805233</v>
      </c>
      <c r="AB38" s="19">
        <f>SUMIFS(Actual_CF[Actual_Premium],Actual_CF[ICG],CF_Gen_4[[#This Row],[ICG]],Actual_CF[Incurred],CF_Gen_4[[#This Row],[Incurred]])</f>
        <v>0</v>
      </c>
      <c r="AC38" s="19">
        <f>SUMIFS(Actual_CF[Actual_Commission],Actual_CF[ICG],CF_Gen_4[[#This Row],[ICG]],Actual_CF[Incurred],CF_Gen_4[[#This Row],[Incurred]])</f>
        <v>0</v>
      </c>
      <c r="AD38" s="19">
        <f>SUMIFS(Actual_CF[Actual_Acquisition],Actual_CF[ICG],CF_Gen_4[[#This Row],[ICG]],Actual_CF[Incurred],CF_Gen_4[[#This Row],[Incurred]])</f>
        <v>0</v>
      </c>
    </row>
    <row r="39" spans="1:30">
      <c r="A39" t="str">
        <f t="shared" si="1"/>
        <v>#2025#RC-Property</v>
      </c>
      <c r="B39">
        <f>_xlfn.XLOOKUP(CF_Gen_4[[#This Row],[ICG]],ICG[ICG],ICG[Cohort])</f>
        <v>2025</v>
      </c>
      <c r="C39" t="str">
        <f>_xlfn.XLOOKUP(CF_Gen_4[[#This Row],[ICG]],ICG[ICG],ICG[Portfolio])</f>
        <v>RC-Property</v>
      </c>
      <c r="D39" t="str">
        <f>_xlfn.XLOOKUP(CF_Gen_4[[#This Row],[ICG]],ICG[ICG],ICG[Contract])</f>
        <v>RC</v>
      </c>
      <c r="E39" s="2">
        <f t="shared" si="0"/>
        <v>45930</v>
      </c>
      <c r="F39">
        <v>38</v>
      </c>
      <c r="G39" s="2">
        <f>EOMONTH(DATE(YEAR(CF_Gen_4[[#This Row],[Valuation]])-1,12,31),CF_Gen_4[[#This Row],['#Incurred]]*3)</f>
        <v>49125</v>
      </c>
      <c r="H39" s="14">
        <f>SUMIFS(Expected_CF[Expected_Premium],Expected_CF[ICG],CF_Gen_4[[#This Row],[ICG]],Expected_CF[Incurred],CF_Gen_4[[#This Row],[Incurred]])</f>
        <v>0</v>
      </c>
      <c r="I39" s="14">
        <f>SUMIFS(Expected_CF[Expected_Commission],Expected_CF[ICG],CF_Gen_4[[#This Row],[ICG]],Expected_CF[Incurred],CF_Gen_4[[#This Row],[Incurred]])</f>
        <v>0</v>
      </c>
      <c r="J39" s="14">
        <f>IF(CF_Gen_4[[#This Row],[Contract]]="IC",SUMIFS(Expected_CF[Expected_Acquisition],Expected_CF[ICG],CF_Gen_4[[#This Row],[ICG]],Expected_CF[Incurred],CF_Gen_4[[#This Row],[Incurred]]),0)</f>
        <v>0</v>
      </c>
      <c r="K39" s="14">
        <f>SUMIFS(Earned[Earned_Premium],Earned[ICG],CF_Gen_4[[#This Row],[ICG]],Earned[Incurred],CF_Gen_4[[#This Row],[Incurred]])</f>
        <v>-655974833.93048298</v>
      </c>
      <c r="L39" s="14">
        <f>SUMIFS(Earned[Earned_Commission],Earned[ICG],CF_Gen_4[[#This Row],[ICG]],Earned[Incurred],CF_Gen_4[[#This Row],[Incurred]])</f>
        <v>213191821.02740699</v>
      </c>
      <c r="M39" s="18">
        <f>_xlfn.XLOOKUP(CF_Gen_4[[#This Row],[ICG]],Assumptions[ICG],Assumptions[Loss_Ratio])</f>
        <v>0.38</v>
      </c>
      <c r="N39" s="18">
        <f>_xlfn.XLOOKUP(CF_Gen_4[[#This Row],[ICG]],Assumptions[ICG],Assumptions[Risk_Adjustment_Ratio])</f>
        <v>0.13</v>
      </c>
      <c r="O39" s="18">
        <f>_xlfn.XLOOKUP(CF_Gen_4[[#This Row],[ICG]],Assumptions[ICG],Assumptions[PME_Ratio])</f>
        <v>0</v>
      </c>
      <c r="P39" s="18">
        <f>_xlfn.XLOOKUP(CF_Gen_4[[#This Row],[ICG]],Assumptions[ICG],Assumptions[ULAE_Ratio])</f>
        <v>0</v>
      </c>
      <c r="Q39" s="18">
        <f>_xlfn.XLOOKUP(CF_Gen_4[[#This Row],[ICG]],Assumptions[ICG],Assumptions[Cancellation_Ratio])</f>
        <v>7.0000000000000007E-2</v>
      </c>
      <c r="R39" s="18">
        <f>_xlfn.XLOOKUP(CF_Gen_4[[#This Row],[ICG]],Assumptions[ICG],Assumptions[Premium_Refund_Ratio])</f>
        <v>0.5</v>
      </c>
      <c r="S39" s="18">
        <f>IF(CF_Gen_4[[#This Row],[Contract]]="RC",_xlfn.XLOOKUP(CF_Gen_4[[#This Row],[ICG]],Assumptions[ICG],Assumptions[NPR_Ratio]),0)</f>
        <v>2.8000000000000001E-2</v>
      </c>
      <c r="T39" s="17">
        <f>T38*(1-CF_Gen_4[[#This Row],[Cancellation_Ratio]])</f>
        <v>6.8213305702218605E-2</v>
      </c>
      <c r="U39" s="19">
        <f>IF(CF_Gen_4[[#This Row],[Incurred]]&lt;=CF_Gen_4[[#This Row],[Valuation]],CF_Gen_4[[#This Row],[Expected_Premium]],-CF_Gen_4[[#This Row],[Probability_of_Inforce]]*CF_Gen_4[[#This Row],[Premium_Refund_Ratio]]*CF_Gen_4[[#This Row],[Cancellation_Ratio]]*SUM(K39:K$105))</f>
        <v>45927303.751574762</v>
      </c>
      <c r="V3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Row],[Cancellation_Ratio]]*SUM(L39:L$105))</f>
        <v>-14926373.719261805</v>
      </c>
      <c r="W39" s="19">
        <f>CF_Gen_4[[#This Row],[Expected_Acquisition]]</f>
        <v>0</v>
      </c>
      <c r="X3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39" s="19">
        <f>-CF_Gen_4[[#This Row],[Probability_of_Inforce]]*CF_Gen_4[[#This Row],[Earned_Premium]]*(1-CF_Gen_4[[#This Row],[Cancellation_Ratio]])*CF_Gen_4[[#This Row],[Loss_Ratio]]</f>
        <v>15813311.27834327</v>
      </c>
      <c r="Z39" s="19">
        <f>CF_Gen_4[[#This Row],[Exp_Claim]]*CF_Gen_4[[#This Row],[Risk_Adjustment_Ratio]]</f>
        <v>2055730.4661846252</v>
      </c>
      <c r="AA39" s="19">
        <f>IF(CF_Gen_4[[#This Row],[Contract]]="RC",-CF_Gen_4[[#This Row],[NPR_Ratio]]*CF_Gen_4[[#This Row],[Exp_Claim]],0)</f>
        <v>-442772.71579361154</v>
      </c>
      <c r="AB39" s="19">
        <f>SUMIFS(Actual_CF[Actual_Premium],Actual_CF[ICG],CF_Gen_4[[#This Row],[ICG]],Actual_CF[Incurred],CF_Gen_4[[#This Row],[Incurred]])</f>
        <v>0</v>
      </c>
      <c r="AC39" s="19">
        <f>SUMIFS(Actual_CF[Actual_Commission],Actual_CF[ICG],CF_Gen_4[[#This Row],[ICG]],Actual_CF[Incurred],CF_Gen_4[[#This Row],[Incurred]])</f>
        <v>0</v>
      </c>
      <c r="AD39" s="19">
        <f>SUMIFS(Actual_CF[Actual_Acquisition],Actual_CF[ICG],CF_Gen_4[[#This Row],[ICG]],Actual_CF[Incurred],CF_Gen_4[[#This Row],[Incurred]])</f>
        <v>0</v>
      </c>
    </row>
    <row r="40" spans="1:30">
      <c r="A40" t="str">
        <f t="shared" si="1"/>
        <v>#2025#RC-Property</v>
      </c>
      <c r="B40">
        <f>_xlfn.XLOOKUP(CF_Gen_4[[#This Row],[ICG]],ICG[ICG],ICG[Cohort])</f>
        <v>2025</v>
      </c>
      <c r="C40" t="str">
        <f>_xlfn.XLOOKUP(CF_Gen_4[[#This Row],[ICG]],ICG[ICG],ICG[Portfolio])</f>
        <v>RC-Property</v>
      </c>
      <c r="D40" t="str">
        <f>_xlfn.XLOOKUP(CF_Gen_4[[#This Row],[ICG]],ICG[ICG],ICG[Contract])</f>
        <v>RC</v>
      </c>
      <c r="E40" s="2">
        <f t="shared" si="0"/>
        <v>45930</v>
      </c>
      <c r="F40">
        <v>39</v>
      </c>
      <c r="G40" s="2">
        <f>EOMONTH(DATE(YEAR(CF_Gen_4[[#This Row],[Valuation]])-1,12,31),CF_Gen_4[[#This Row],['#Incurred]]*3)</f>
        <v>49217</v>
      </c>
      <c r="H40" s="14">
        <f>SUMIFS(Expected_CF[Expected_Premium],Expected_CF[ICG],CF_Gen_4[[#This Row],[ICG]],Expected_CF[Incurred],CF_Gen_4[[#This Row],[Incurred]])</f>
        <v>0</v>
      </c>
      <c r="I40" s="14">
        <f>SUMIFS(Expected_CF[Expected_Commission],Expected_CF[ICG],CF_Gen_4[[#This Row],[ICG]],Expected_CF[Incurred],CF_Gen_4[[#This Row],[Incurred]])</f>
        <v>0</v>
      </c>
      <c r="J40" s="14">
        <f>IF(CF_Gen_4[[#This Row],[Contract]]="IC",SUMIFS(Expected_CF[Expected_Acquisition],Expected_CF[ICG],CF_Gen_4[[#This Row],[ICG]],Expected_CF[Incurred],CF_Gen_4[[#This Row],[Incurred]]),0)</f>
        <v>0</v>
      </c>
      <c r="K40" s="14">
        <f>SUMIFS(Earned[Earned_Premium],Earned[ICG],CF_Gen_4[[#This Row],[ICG]],Earned[Incurred],CF_Gen_4[[#This Row],[Incurred]])</f>
        <v>-640719605.23442519</v>
      </c>
      <c r="L40" s="14">
        <f>SUMIFS(Earned[Earned_Commission],Earned[ICG],CF_Gen_4[[#This Row],[ICG]],Earned[Incurred],CF_Gen_4[[#This Row],[Incurred]])</f>
        <v>208233871.70118821</v>
      </c>
      <c r="M40" s="18">
        <f>_xlfn.XLOOKUP(CF_Gen_4[[#This Row],[ICG]],Assumptions[ICG],Assumptions[Loss_Ratio])</f>
        <v>0.38</v>
      </c>
      <c r="N40" s="18">
        <f>_xlfn.XLOOKUP(CF_Gen_4[[#This Row],[ICG]],Assumptions[ICG],Assumptions[Risk_Adjustment_Ratio])</f>
        <v>0.13</v>
      </c>
      <c r="O40" s="18">
        <f>_xlfn.XLOOKUP(CF_Gen_4[[#This Row],[ICG]],Assumptions[ICG],Assumptions[PME_Ratio])</f>
        <v>0</v>
      </c>
      <c r="P40" s="18">
        <f>_xlfn.XLOOKUP(CF_Gen_4[[#This Row],[ICG]],Assumptions[ICG],Assumptions[ULAE_Ratio])</f>
        <v>0</v>
      </c>
      <c r="Q40" s="18">
        <f>_xlfn.XLOOKUP(CF_Gen_4[[#This Row],[ICG]],Assumptions[ICG],Assumptions[Cancellation_Ratio])</f>
        <v>7.0000000000000007E-2</v>
      </c>
      <c r="R40" s="18">
        <f>_xlfn.XLOOKUP(CF_Gen_4[[#This Row],[ICG]],Assumptions[ICG],Assumptions[Premium_Refund_Ratio])</f>
        <v>0.5</v>
      </c>
      <c r="S40" s="18">
        <f>IF(CF_Gen_4[[#This Row],[Contract]]="RC",_xlfn.XLOOKUP(CF_Gen_4[[#This Row],[ICG]],Assumptions[ICG],Assumptions[NPR_Ratio]),0)</f>
        <v>2.8000000000000001E-2</v>
      </c>
      <c r="T40" s="17">
        <f>T39*(1-CF_Gen_4[[#This Row],[Cancellation_Ratio]])</f>
        <v>6.3438374303063302E-2</v>
      </c>
      <c r="U40" s="19">
        <f>IF(CF_Gen_4[[#This Row],[Incurred]]&lt;=CF_Gen_4[[#This Row],[Valuation]],CF_Gen_4[[#This Row],[Expected_Premium]],-CF_Gen_4[[#This Row],[Probability_of_Inforce]]*CF_Gen_4[[#This Row],[Premium_Refund_Ratio]]*CF_Gen_4[[#This Row],[Cancellation_Ratio]]*SUM(K40:K$105))</f>
        <v>41255903.292275004</v>
      </c>
      <c r="V4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Row],[Cancellation_Ratio]]*SUM(L40:L$105))</f>
        <v>-13408168.569989387</v>
      </c>
      <c r="W40" s="19">
        <f>CF_Gen_4[[#This Row],[Expected_Acquisition]]</f>
        <v>0</v>
      </c>
      <c r="X4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0" s="19">
        <f>-CF_Gen_4[[#This Row],[Probability_of_Inforce]]*CF_Gen_4[[#This Row],[Earned_Premium]]*(1-CF_Gen_4[[#This Row],[Cancellation_Ratio]])*CF_Gen_4[[#This Row],[Loss_Ratio]]</f>
        <v>14364370.663536932</v>
      </c>
      <c r="Z40" s="19">
        <f>CF_Gen_4[[#This Row],[Exp_Claim]]*CF_Gen_4[[#This Row],[Risk_Adjustment_Ratio]]</f>
        <v>1867368.1862598013</v>
      </c>
      <c r="AA40" s="19">
        <f>IF(CF_Gen_4[[#This Row],[Contract]]="RC",-CF_Gen_4[[#This Row],[NPR_Ratio]]*CF_Gen_4[[#This Row],[Exp_Claim]],0)</f>
        <v>-402202.37857903412</v>
      </c>
      <c r="AB40" s="19">
        <f>SUMIFS(Actual_CF[Actual_Premium],Actual_CF[ICG],CF_Gen_4[[#This Row],[ICG]],Actual_CF[Incurred],CF_Gen_4[[#This Row],[Incurred]])</f>
        <v>0</v>
      </c>
      <c r="AC40" s="19">
        <f>SUMIFS(Actual_CF[Actual_Commission],Actual_CF[ICG],CF_Gen_4[[#This Row],[ICG]],Actual_CF[Incurred],CF_Gen_4[[#This Row],[Incurred]])</f>
        <v>0</v>
      </c>
      <c r="AD40" s="19">
        <f>SUMIFS(Actual_CF[Actual_Acquisition],Actual_CF[ICG],CF_Gen_4[[#This Row],[ICG]],Actual_CF[Incurred],CF_Gen_4[[#This Row],[Incurred]])</f>
        <v>0</v>
      </c>
    </row>
    <row r="41" spans="1:30">
      <c r="A41" t="str">
        <f t="shared" si="1"/>
        <v>#2025#RC-Property</v>
      </c>
      <c r="B41">
        <f>_xlfn.XLOOKUP(CF_Gen_4[[#This Row],[ICG]],ICG[ICG],ICG[Cohort])</f>
        <v>2025</v>
      </c>
      <c r="C41" t="str">
        <f>_xlfn.XLOOKUP(CF_Gen_4[[#This Row],[ICG]],ICG[ICG],ICG[Portfolio])</f>
        <v>RC-Property</v>
      </c>
      <c r="D41" t="str">
        <f>_xlfn.XLOOKUP(CF_Gen_4[[#This Row],[ICG]],ICG[ICG],ICG[Contract])</f>
        <v>RC</v>
      </c>
      <c r="E41" s="2">
        <f t="shared" si="0"/>
        <v>45930</v>
      </c>
      <c r="F41">
        <v>40</v>
      </c>
      <c r="G41" s="2">
        <f>EOMONTH(DATE(YEAR(CF_Gen_4[[#This Row],[Valuation]])-1,12,31),CF_Gen_4[[#This Row],['#Incurred]]*3)</f>
        <v>49309</v>
      </c>
      <c r="H41" s="14">
        <f>SUMIFS(Expected_CF[Expected_Premium],Expected_CF[ICG],CF_Gen_4[[#This Row],[ICG]],Expected_CF[Incurred],CF_Gen_4[[#This Row],[Incurred]])</f>
        <v>0</v>
      </c>
      <c r="I41" s="14">
        <f>SUMIFS(Expected_CF[Expected_Commission],Expected_CF[ICG],CF_Gen_4[[#This Row],[ICG]],Expected_CF[Incurred],CF_Gen_4[[#This Row],[Incurred]])</f>
        <v>0</v>
      </c>
      <c r="J41" s="14">
        <f>IF(CF_Gen_4[[#This Row],[Contract]]="IC",SUMIFS(Expected_CF[Expected_Acquisition],Expected_CF[ICG],CF_Gen_4[[#This Row],[ICG]],Expected_CF[Incurred],CF_Gen_4[[#This Row],[Incurred]]),0)</f>
        <v>0</v>
      </c>
      <c r="K41" s="14">
        <f>SUMIFS(Earned[Earned_Premium],Earned[ICG],CF_Gen_4[[#This Row],[ICG]],Earned[Incurred],CF_Gen_4[[#This Row],[Incurred]])</f>
        <v>-640719605.23442519</v>
      </c>
      <c r="L41" s="14">
        <f>SUMIFS(Earned[Earned_Commission],Earned[ICG],CF_Gen_4[[#This Row],[ICG]],Earned[Incurred],CF_Gen_4[[#This Row],[Incurred]])</f>
        <v>208233871.70118821</v>
      </c>
      <c r="M41" s="18">
        <f>_xlfn.XLOOKUP(CF_Gen_4[[#This Row],[ICG]],Assumptions[ICG],Assumptions[Loss_Ratio])</f>
        <v>0.38</v>
      </c>
      <c r="N41" s="18">
        <f>_xlfn.XLOOKUP(CF_Gen_4[[#This Row],[ICG]],Assumptions[ICG],Assumptions[Risk_Adjustment_Ratio])</f>
        <v>0.13</v>
      </c>
      <c r="O41" s="18">
        <f>_xlfn.XLOOKUP(CF_Gen_4[[#This Row],[ICG]],Assumptions[ICG],Assumptions[PME_Ratio])</f>
        <v>0</v>
      </c>
      <c r="P41" s="18">
        <f>_xlfn.XLOOKUP(CF_Gen_4[[#This Row],[ICG]],Assumptions[ICG],Assumptions[ULAE_Ratio])</f>
        <v>0</v>
      </c>
      <c r="Q41" s="18">
        <f>_xlfn.XLOOKUP(CF_Gen_4[[#This Row],[ICG]],Assumptions[ICG],Assumptions[Cancellation_Ratio])</f>
        <v>7.0000000000000007E-2</v>
      </c>
      <c r="R41" s="18">
        <f>_xlfn.XLOOKUP(CF_Gen_4[[#This Row],[ICG]],Assumptions[ICG],Assumptions[Premium_Refund_Ratio])</f>
        <v>0.5</v>
      </c>
      <c r="S41" s="18">
        <f>IF(CF_Gen_4[[#This Row],[Contract]]="RC",_xlfn.XLOOKUP(CF_Gen_4[[#This Row],[ICG]],Assumptions[ICG],Assumptions[NPR_Ratio]),0)</f>
        <v>2.8000000000000001E-2</v>
      </c>
      <c r="T41" s="17">
        <f>T40*(1-CF_Gen_4[[#This Row],[Cancellation_Ratio]])</f>
        <v>5.8997688101848869E-2</v>
      </c>
      <c r="U41" s="19">
        <f>IF(CF_Gen_4[[#This Row],[Incurred]]&lt;=CF_Gen_4[[#This Row],[Valuation]],CF_Gen_4[[#This Row],[Expected_Premium]],-CF_Gen_4[[#This Row],[Probability_of_Inforce]]*CF_Gen_4[[#This Row],[Premium_Refund_Ratio]]*CF_Gen_4[[#This Row],[Cancellation_Ratio]]*SUM(K41:K$105))</f>
        <v>37044955.921753146</v>
      </c>
      <c r="V4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Row],[Cancellation_Ratio]]*SUM(L41:L$105))</f>
        <v>-12039610.67456978</v>
      </c>
      <c r="W41" s="19">
        <f>CF_Gen_4[[#This Row],[Expected_Acquisition]]</f>
        <v>0</v>
      </c>
      <c r="X4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1" s="19">
        <f>-CF_Gen_4[[#This Row],[Probability_of_Inforce]]*CF_Gen_4[[#This Row],[Earned_Premium]]*(1-CF_Gen_4[[#This Row],[Cancellation_Ratio]])*CF_Gen_4[[#This Row],[Loss_Ratio]]</f>
        <v>13358864.717089348</v>
      </c>
      <c r="Z41" s="19">
        <f>CF_Gen_4[[#This Row],[Exp_Claim]]*CF_Gen_4[[#This Row],[Risk_Adjustment_Ratio]]</f>
        <v>1736652.4132216151</v>
      </c>
      <c r="AA41" s="19">
        <f>IF(CF_Gen_4[[#This Row],[Contract]]="RC",-CF_Gen_4[[#This Row],[NPR_Ratio]]*CF_Gen_4[[#This Row],[Exp_Claim]],0)</f>
        <v>-374048.21207850176</v>
      </c>
      <c r="AB41" s="19">
        <f>SUMIFS(Actual_CF[Actual_Premium],Actual_CF[ICG],CF_Gen_4[[#This Row],[ICG]],Actual_CF[Incurred],CF_Gen_4[[#This Row],[Incurred]])</f>
        <v>0</v>
      </c>
      <c r="AC41" s="19">
        <f>SUMIFS(Actual_CF[Actual_Commission],Actual_CF[ICG],CF_Gen_4[[#This Row],[ICG]],Actual_CF[Incurred],CF_Gen_4[[#This Row],[Incurred]])</f>
        <v>0</v>
      </c>
      <c r="AD41" s="19">
        <f>SUMIFS(Actual_CF[Actual_Acquisition],Actual_CF[ICG],CF_Gen_4[[#This Row],[ICG]],Actual_CF[Incurred],CF_Gen_4[[#This Row],[Incurred]])</f>
        <v>0</v>
      </c>
    </row>
    <row r="42" spans="1:30">
      <c r="A42" t="str">
        <f t="shared" si="1"/>
        <v>#2025#RC-Property</v>
      </c>
      <c r="B42">
        <f>_xlfn.XLOOKUP(CF_Gen_4[[#This Row],[ICG]],ICG[ICG],ICG[Cohort])</f>
        <v>2025</v>
      </c>
      <c r="C42" t="str">
        <f>_xlfn.XLOOKUP(CF_Gen_4[[#This Row],[ICG]],ICG[ICG],ICG[Portfolio])</f>
        <v>RC-Property</v>
      </c>
      <c r="D42" t="str">
        <f>_xlfn.XLOOKUP(CF_Gen_4[[#This Row],[ICG]],ICG[ICG],ICG[Contract])</f>
        <v>RC</v>
      </c>
      <c r="E42" s="2">
        <f t="shared" si="0"/>
        <v>45930</v>
      </c>
      <c r="F42">
        <v>41</v>
      </c>
      <c r="G42" s="2">
        <f>EOMONTH(DATE(YEAR(CF_Gen_4[[#This Row],[Valuation]])-1,12,31),CF_Gen_4[[#This Row],['#Incurred]]*3)</f>
        <v>49399</v>
      </c>
      <c r="H42" s="14">
        <f>SUMIFS(Expected_CF[Expected_Premium],Expected_CF[ICG],CF_Gen_4[[#This Row],[ICG]],Expected_CF[Incurred],CF_Gen_4[[#This Row],[Incurred]])</f>
        <v>0</v>
      </c>
      <c r="I42" s="14">
        <f>SUMIFS(Expected_CF[Expected_Commission],Expected_CF[ICG],CF_Gen_4[[#This Row],[ICG]],Expected_CF[Incurred],CF_Gen_4[[#This Row],[Incurred]])</f>
        <v>0</v>
      </c>
      <c r="J42" s="14">
        <f>IF(CF_Gen_4[[#This Row],[Contract]]="IC",SUMIFS(Expected_CF[Expected_Acquisition],Expected_CF[ICG],CF_Gen_4[[#This Row],[ICG]],Expected_CF[Incurred],CF_Gen_4[[#This Row],[Incurred]]),0)</f>
        <v>0</v>
      </c>
      <c r="K42" s="14">
        <f>SUMIFS(Earned[Earned_Premium],Earned[ICG],CF_Gen_4[[#This Row],[ICG]],Earned[Incurred],CF_Gen_4[[#This Row],[Incurred]])</f>
        <v>-625464376.53836751</v>
      </c>
      <c r="L42" s="14">
        <f>SUMIFS(Earned[Earned_Commission],Earned[ICG],CF_Gen_4[[#This Row],[ICG]],Earned[Incurred],CF_Gen_4[[#This Row],[Incurred]])</f>
        <v>203275922.37496948</v>
      </c>
      <c r="M42" s="18">
        <f>_xlfn.XLOOKUP(CF_Gen_4[[#This Row],[ICG]],Assumptions[ICG],Assumptions[Loss_Ratio])</f>
        <v>0.38</v>
      </c>
      <c r="N42" s="18">
        <f>_xlfn.XLOOKUP(CF_Gen_4[[#This Row],[ICG]],Assumptions[ICG],Assumptions[Risk_Adjustment_Ratio])</f>
        <v>0.13</v>
      </c>
      <c r="O42" s="18">
        <f>_xlfn.XLOOKUP(CF_Gen_4[[#This Row],[ICG]],Assumptions[ICG],Assumptions[PME_Ratio])</f>
        <v>0</v>
      </c>
      <c r="P42" s="18">
        <f>_xlfn.XLOOKUP(CF_Gen_4[[#This Row],[ICG]],Assumptions[ICG],Assumptions[ULAE_Ratio])</f>
        <v>0</v>
      </c>
      <c r="Q42" s="18">
        <f>_xlfn.XLOOKUP(CF_Gen_4[[#This Row],[ICG]],Assumptions[ICG],Assumptions[Cancellation_Ratio])</f>
        <v>7.0000000000000007E-2</v>
      </c>
      <c r="R42" s="18">
        <f>_xlfn.XLOOKUP(CF_Gen_4[[#This Row],[ICG]],Assumptions[ICG],Assumptions[Premium_Refund_Ratio])</f>
        <v>0.5</v>
      </c>
      <c r="S42" s="18">
        <f>IF(CF_Gen_4[[#This Row],[Contract]]="RC",_xlfn.XLOOKUP(CF_Gen_4[[#This Row],[ICG]],Assumptions[ICG],Assumptions[NPR_Ratio]),0)</f>
        <v>2.8000000000000001E-2</v>
      </c>
      <c r="T42" s="17">
        <f>T41*(1-CF_Gen_4[[#This Row],[Cancellation_Ratio]])</f>
        <v>5.4867849934719444E-2</v>
      </c>
      <c r="U42" s="19">
        <f>IF(CF_Gen_4[[#This Row],[Incurred]]&lt;=CF_Gen_4[[#This Row],[Valuation]],CF_Gen_4[[#This Row],[Expected_Premium]],-CF_Gen_4[[#This Row],[Probability_of_Inforce]]*CF_Gen_4[[#This Row],[Premium_Refund_Ratio]]*CF_Gen_4[[#This Row],[Cancellation_Ratio]]*SUM(K42:K$105))</f>
        <v>33221387.256972201</v>
      </c>
      <c r="V4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Row],[Cancellation_Ratio]]*SUM(L42:L$105))</f>
        <v>-10796950.858515969</v>
      </c>
      <c r="W42" s="19">
        <f>CF_Gen_4[[#This Row],[Expected_Acquisition]]</f>
        <v>0</v>
      </c>
      <c r="X4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2" s="19">
        <f>-CF_Gen_4[[#This Row],[Probability_of_Inforce]]*CF_Gen_4[[#This Row],[Earned_Premium]]*(1-CF_Gen_4[[#This Row],[Cancellation_Ratio]])*CF_Gen_4[[#This Row],[Loss_Ratio]]</f>
        <v>12127940.753871828</v>
      </c>
      <c r="Z42" s="19">
        <f>CF_Gen_4[[#This Row],[Exp_Claim]]*CF_Gen_4[[#This Row],[Risk_Adjustment_Ratio]]</f>
        <v>1576632.2980033378</v>
      </c>
      <c r="AA42" s="19">
        <f>IF(CF_Gen_4[[#This Row],[Contract]]="RC",-CF_Gen_4[[#This Row],[NPR_Ratio]]*CF_Gen_4[[#This Row],[Exp_Claim]],0)</f>
        <v>-339582.3411084112</v>
      </c>
      <c r="AB42" s="19">
        <f>SUMIFS(Actual_CF[Actual_Premium],Actual_CF[ICG],CF_Gen_4[[#This Row],[ICG]],Actual_CF[Incurred],CF_Gen_4[[#This Row],[Incurred]])</f>
        <v>0</v>
      </c>
      <c r="AC42" s="19">
        <f>SUMIFS(Actual_CF[Actual_Commission],Actual_CF[ICG],CF_Gen_4[[#This Row],[ICG]],Actual_CF[Incurred],CF_Gen_4[[#This Row],[Incurred]])</f>
        <v>0</v>
      </c>
      <c r="AD42" s="19">
        <f>SUMIFS(Actual_CF[Actual_Acquisition],Actual_CF[ICG],CF_Gen_4[[#This Row],[ICG]],Actual_CF[Incurred],CF_Gen_4[[#This Row],[Incurred]])</f>
        <v>0</v>
      </c>
    </row>
    <row r="43" spans="1:30">
      <c r="A43" t="str">
        <f t="shared" si="1"/>
        <v>#2025#RC-Property</v>
      </c>
      <c r="B43">
        <f>_xlfn.XLOOKUP(CF_Gen_4[[#This Row],[ICG]],ICG[ICG],ICG[Cohort])</f>
        <v>2025</v>
      </c>
      <c r="C43" t="str">
        <f>_xlfn.XLOOKUP(CF_Gen_4[[#This Row],[ICG]],ICG[ICG],ICG[Portfolio])</f>
        <v>RC-Property</v>
      </c>
      <c r="D43" t="str">
        <f>_xlfn.XLOOKUP(CF_Gen_4[[#This Row],[ICG]],ICG[ICG],ICG[Contract])</f>
        <v>RC</v>
      </c>
      <c r="E43" s="2">
        <f t="shared" si="0"/>
        <v>45930</v>
      </c>
      <c r="F43">
        <v>42</v>
      </c>
      <c r="G43" s="2">
        <f>EOMONTH(DATE(YEAR(CF_Gen_4[[#This Row],[Valuation]])-1,12,31),CF_Gen_4[[#This Row],['#Incurred]]*3)</f>
        <v>49490</v>
      </c>
      <c r="H43" s="14">
        <f>SUMIFS(Expected_CF[Expected_Premium],Expected_CF[ICG],CF_Gen_4[[#This Row],[ICG]],Expected_CF[Incurred],CF_Gen_4[[#This Row],[Incurred]])</f>
        <v>0</v>
      </c>
      <c r="I43" s="14">
        <f>SUMIFS(Expected_CF[Expected_Commission],Expected_CF[ICG],CF_Gen_4[[#This Row],[ICG]],Expected_CF[Incurred],CF_Gen_4[[#This Row],[Incurred]])</f>
        <v>0</v>
      </c>
      <c r="J43" s="14">
        <f>IF(CF_Gen_4[[#This Row],[Contract]]="IC",SUMIFS(Expected_CF[Expected_Acquisition],Expected_CF[ICG],CF_Gen_4[[#This Row],[ICG]],Expected_CF[Incurred],CF_Gen_4[[#This Row],[Incurred]]),0)</f>
        <v>0</v>
      </c>
      <c r="K43" s="14">
        <f>SUMIFS(Earned[Earned_Premium],Earned[ICG],CF_Gen_4[[#This Row],[ICG]],Earned[Incurred],CF_Gen_4[[#This Row],[Incurred]])</f>
        <v>-610209147.84230971</v>
      </c>
      <c r="L43" s="14">
        <f>SUMIFS(Earned[Earned_Commission],Earned[ICG],CF_Gen_4[[#This Row],[ICG]],Earned[Incurred],CF_Gen_4[[#This Row],[Incurred]])</f>
        <v>198317973.0487507</v>
      </c>
      <c r="M43" s="18">
        <f>_xlfn.XLOOKUP(CF_Gen_4[[#This Row],[ICG]],Assumptions[ICG],Assumptions[Loss_Ratio])</f>
        <v>0.38</v>
      </c>
      <c r="N43" s="18">
        <f>_xlfn.XLOOKUP(CF_Gen_4[[#This Row],[ICG]],Assumptions[ICG],Assumptions[Risk_Adjustment_Ratio])</f>
        <v>0.13</v>
      </c>
      <c r="O43" s="18">
        <f>_xlfn.XLOOKUP(CF_Gen_4[[#This Row],[ICG]],Assumptions[ICG],Assumptions[PME_Ratio])</f>
        <v>0</v>
      </c>
      <c r="P43" s="18">
        <f>_xlfn.XLOOKUP(CF_Gen_4[[#This Row],[ICG]],Assumptions[ICG],Assumptions[ULAE_Ratio])</f>
        <v>0</v>
      </c>
      <c r="Q43" s="18">
        <f>_xlfn.XLOOKUP(CF_Gen_4[[#This Row],[ICG]],Assumptions[ICG],Assumptions[Cancellation_Ratio])</f>
        <v>7.0000000000000007E-2</v>
      </c>
      <c r="R43" s="18">
        <f>_xlfn.XLOOKUP(CF_Gen_4[[#This Row],[ICG]],Assumptions[ICG],Assumptions[Premium_Refund_Ratio])</f>
        <v>0.5</v>
      </c>
      <c r="S43" s="18">
        <f>IF(CF_Gen_4[[#This Row],[Contract]]="RC",_xlfn.XLOOKUP(CF_Gen_4[[#This Row],[ICG]],Assumptions[ICG],Assumptions[NPR_Ratio]),0)</f>
        <v>2.8000000000000001E-2</v>
      </c>
      <c r="T43" s="17">
        <f>T42*(1-CF_Gen_4[[#This Row],[Cancellation_Ratio]])</f>
        <v>5.1027100439289076E-2</v>
      </c>
      <c r="U43" s="19">
        <f>IF(CF_Gen_4[[#This Row],[Incurred]]&lt;=CF_Gen_4[[#This Row],[Valuation]],CF_Gen_4[[#This Row],[Expected_Premium]],-CF_Gen_4[[#This Row],[Probability_of_Inforce]]*CF_Gen_4[[#This Row],[Premium_Refund_Ratio]]*CF_Gen_4[[#This Row],[Cancellation_Ratio]]*SUM(K43:K$105))</f>
        <v>29778842.97428542</v>
      </c>
      <c r="V4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Row],[Cancellation_Ratio]]*SUM(L43:L$105))</f>
        <v>-9678123.9666427672</v>
      </c>
      <c r="W43" s="19">
        <f>CF_Gen_4[[#This Row],[Expected_Acquisition]]</f>
        <v>0</v>
      </c>
      <c r="X4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3" s="19">
        <f>-CF_Gen_4[[#This Row],[Probability_of_Inforce]]*CF_Gen_4[[#This Row],[Earned_Premium]]*(1-CF_Gen_4[[#This Row],[Cancellation_Ratio]])*CF_Gen_4[[#This Row],[Loss_Ratio]]</f>
        <v>11003887.708391024</v>
      </c>
      <c r="Z43" s="19">
        <f>CF_Gen_4[[#This Row],[Exp_Claim]]*CF_Gen_4[[#This Row],[Risk_Adjustment_Ratio]]</f>
        <v>1430505.4020908331</v>
      </c>
      <c r="AA43" s="19">
        <f>IF(CF_Gen_4[[#This Row],[Contract]]="RC",-CF_Gen_4[[#This Row],[NPR_Ratio]]*CF_Gen_4[[#This Row],[Exp_Claim]],0)</f>
        <v>-308108.85583494866</v>
      </c>
      <c r="AB43" s="19">
        <f>SUMIFS(Actual_CF[Actual_Premium],Actual_CF[ICG],CF_Gen_4[[#This Row],[ICG]],Actual_CF[Incurred],CF_Gen_4[[#This Row],[Incurred]])</f>
        <v>0</v>
      </c>
      <c r="AC43" s="19">
        <f>SUMIFS(Actual_CF[Actual_Commission],Actual_CF[ICG],CF_Gen_4[[#This Row],[ICG]],Actual_CF[Incurred],CF_Gen_4[[#This Row],[Incurred]])</f>
        <v>0</v>
      </c>
      <c r="AD43" s="19">
        <f>SUMIFS(Actual_CF[Actual_Acquisition],Actual_CF[ICG],CF_Gen_4[[#This Row],[ICG]],Actual_CF[Incurred],CF_Gen_4[[#This Row],[Incurred]])</f>
        <v>0</v>
      </c>
    </row>
    <row r="44" spans="1:30">
      <c r="A44" t="str">
        <f t="shared" si="1"/>
        <v>#2025#RC-Property</v>
      </c>
      <c r="B44">
        <f>_xlfn.XLOOKUP(CF_Gen_4[[#This Row],[ICG]],ICG[ICG],ICG[Cohort])</f>
        <v>2025</v>
      </c>
      <c r="C44" t="str">
        <f>_xlfn.XLOOKUP(CF_Gen_4[[#This Row],[ICG]],ICG[ICG],ICG[Portfolio])</f>
        <v>RC-Property</v>
      </c>
      <c r="D44" t="str">
        <f>_xlfn.XLOOKUP(CF_Gen_4[[#This Row],[ICG]],ICG[ICG],ICG[Contract])</f>
        <v>RC</v>
      </c>
      <c r="E44" s="2">
        <f t="shared" si="0"/>
        <v>45930</v>
      </c>
      <c r="F44">
        <v>43</v>
      </c>
      <c r="G44" s="2">
        <f>EOMONTH(DATE(YEAR(CF_Gen_4[[#This Row],[Valuation]])-1,12,31),CF_Gen_4[[#This Row],['#Incurred]]*3)</f>
        <v>49582</v>
      </c>
      <c r="H44" s="14">
        <f>SUMIFS(Expected_CF[Expected_Premium],Expected_CF[ICG],CF_Gen_4[[#This Row],[ICG]],Expected_CF[Incurred],CF_Gen_4[[#This Row],[Incurred]])</f>
        <v>0</v>
      </c>
      <c r="I44" s="14">
        <f>SUMIFS(Expected_CF[Expected_Commission],Expected_CF[ICG],CF_Gen_4[[#This Row],[ICG]],Expected_CF[Incurred],CF_Gen_4[[#This Row],[Incurred]])</f>
        <v>0</v>
      </c>
      <c r="J44" s="14">
        <f>IF(CF_Gen_4[[#This Row],[Contract]]="IC",SUMIFS(Expected_CF[Expected_Acquisition],Expected_CF[ICG],CF_Gen_4[[#This Row],[ICG]],Expected_CF[Incurred],CF_Gen_4[[#This Row],[Incurred]]),0)</f>
        <v>0</v>
      </c>
      <c r="K44" s="14">
        <f>SUMIFS(Earned[Earned_Premium],Earned[ICG],CF_Gen_4[[#This Row],[ICG]],Earned[Incurred],CF_Gen_4[[#This Row],[Incurred]])</f>
        <v>-594953919.14625192</v>
      </c>
      <c r="L44" s="14">
        <f>SUMIFS(Earned[Earned_Commission],Earned[ICG],CF_Gen_4[[#This Row],[ICG]],Earned[Incurred],CF_Gen_4[[#This Row],[Incurred]])</f>
        <v>193360023.72253191</v>
      </c>
      <c r="M44" s="18">
        <f>_xlfn.XLOOKUP(CF_Gen_4[[#This Row],[ICG]],Assumptions[ICG],Assumptions[Loss_Ratio])</f>
        <v>0.38</v>
      </c>
      <c r="N44" s="18">
        <f>_xlfn.XLOOKUP(CF_Gen_4[[#This Row],[ICG]],Assumptions[ICG],Assumptions[Risk_Adjustment_Ratio])</f>
        <v>0.13</v>
      </c>
      <c r="O44" s="18">
        <f>_xlfn.XLOOKUP(CF_Gen_4[[#This Row],[ICG]],Assumptions[ICG],Assumptions[PME_Ratio])</f>
        <v>0</v>
      </c>
      <c r="P44" s="18">
        <f>_xlfn.XLOOKUP(CF_Gen_4[[#This Row],[ICG]],Assumptions[ICG],Assumptions[ULAE_Ratio])</f>
        <v>0</v>
      </c>
      <c r="Q44" s="18">
        <f>_xlfn.XLOOKUP(CF_Gen_4[[#This Row],[ICG]],Assumptions[ICG],Assumptions[Cancellation_Ratio])</f>
        <v>7.0000000000000007E-2</v>
      </c>
      <c r="R44" s="18">
        <f>_xlfn.XLOOKUP(CF_Gen_4[[#This Row],[ICG]],Assumptions[ICG],Assumptions[Premium_Refund_Ratio])</f>
        <v>0.5</v>
      </c>
      <c r="S44" s="18">
        <f>IF(CF_Gen_4[[#This Row],[Contract]]="RC",_xlfn.XLOOKUP(CF_Gen_4[[#This Row],[ICG]],Assumptions[ICG],Assumptions[NPR_Ratio]),0)</f>
        <v>2.8000000000000001E-2</v>
      </c>
      <c r="T44" s="17">
        <f>T43*(1-CF_Gen_4[[#This Row],[Cancellation_Ratio]])</f>
        <v>4.7455203408538836E-2</v>
      </c>
      <c r="U44" s="19">
        <f>IF(CF_Gen_4[[#This Row],[Incurred]]&lt;=CF_Gen_4[[#This Row],[Valuation]],CF_Gen_4[[#This Row],[Expected_Premium]],-CF_Gen_4[[#This Row],[Probability_of_Inforce]]*CF_Gen_4[[#This Row],[Premium_Refund_Ratio]]*CF_Gen_4[[#This Row],[Cancellation_Ratio]]*SUM(K44:K$105))</f>
        <v>26680807.992944162</v>
      </c>
      <c r="V4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Row],[Cancellation_Ratio]]*SUM(L44:L$105))</f>
        <v>-8671262.5977068543</v>
      </c>
      <c r="W44" s="19">
        <f>CF_Gen_4[[#This Row],[Expected_Acquisition]]</f>
        <v>0</v>
      </c>
      <c r="X4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4" s="19">
        <f>-CF_Gen_4[[#This Row],[Probability_of_Inforce]]*CF_Gen_4[[#This Row],[Earned_Premium]]*(1-CF_Gen_4[[#This Row],[Cancellation_Ratio]])*CF_Gen_4[[#This Row],[Loss_Ratio]]</f>
        <v>9977775.179583557</v>
      </c>
      <c r="Z44" s="19">
        <f>CF_Gen_4[[#This Row],[Exp_Claim]]*CF_Gen_4[[#This Row],[Risk_Adjustment_Ratio]]</f>
        <v>1297110.7733458625</v>
      </c>
      <c r="AA44" s="19">
        <f>IF(CF_Gen_4[[#This Row],[Contract]]="RC",-CF_Gen_4[[#This Row],[NPR_Ratio]]*CF_Gen_4[[#This Row],[Exp_Claim]],0)</f>
        <v>-279377.70502833958</v>
      </c>
      <c r="AB44" s="19">
        <f>SUMIFS(Actual_CF[Actual_Premium],Actual_CF[ICG],CF_Gen_4[[#This Row],[ICG]],Actual_CF[Incurred],CF_Gen_4[[#This Row],[Incurred]])</f>
        <v>0</v>
      </c>
      <c r="AC44" s="19">
        <f>SUMIFS(Actual_CF[Actual_Commission],Actual_CF[ICG],CF_Gen_4[[#This Row],[ICG]],Actual_CF[Incurred],CF_Gen_4[[#This Row],[Incurred]])</f>
        <v>0</v>
      </c>
      <c r="AD44" s="19">
        <f>SUMIFS(Actual_CF[Actual_Acquisition],Actual_CF[ICG],CF_Gen_4[[#This Row],[ICG]],Actual_CF[Incurred],CF_Gen_4[[#This Row],[Incurred]])</f>
        <v>0</v>
      </c>
    </row>
    <row r="45" spans="1:30">
      <c r="A45" t="str">
        <f t="shared" si="1"/>
        <v>#2025#RC-Property</v>
      </c>
      <c r="B45">
        <f>_xlfn.XLOOKUP(CF_Gen_4[[#This Row],[ICG]],ICG[ICG],ICG[Cohort])</f>
        <v>2025</v>
      </c>
      <c r="C45" t="str">
        <f>_xlfn.XLOOKUP(CF_Gen_4[[#This Row],[ICG]],ICG[ICG],ICG[Portfolio])</f>
        <v>RC-Property</v>
      </c>
      <c r="D45" t="str">
        <f>_xlfn.XLOOKUP(CF_Gen_4[[#This Row],[ICG]],ICG[ICG],ICG[Contract])</f>
        <v>RC</v>
      </c>
      <c r="E45" s="2">
        <f t="shared" si="0"/>
        <v>45930</v>
      </c>
      <c r="F45">
        <v>44</v>
      </c>
      <c r="G45" s="2">
        <f>EOMONTH(DATE(YEAR(CF_Gen_4[[#This Row],[Valuation]])-1,12,31),CF_Gen_4[[#This Row],['#Incurred]]*3)</f>
        <v>49674</v>
      </c>
      <c r="H45" s="14">
        <f>SUMIFS(Expected_CF[Expected_Premium],Expected_CF[ICG],CF_Gen_4[[#This Row],[ICG]],Expected_CF[Incurred],CF_Gen_4[[#This Row],[Incurred]])</f>
        <v>0</v>
      </c>
      <c r="I45" s="14">
        <f>SUMIFS(Expected_CF[Expected_Commission],Expected_CF[ICG],CF_Gen_4[[#This Row],[ICG]],Expected_CF[Incurred],CF_Gen_4[[#This Row],[Incurred]])</f>
        <v>0</v>
      </c>
      <c r="J45" s="14">
        <f>IF(CF_Gen_4[[#This Row],[Contract]]="IC",SUMIFS(Expected_CF[Expected_Acquisition],Expected_CF[ICG],CF_Gen_4[[#This Row],[ICG]],Expected_CF[Incurred],CF_Gen_4[[#This Row],[Incurred]]),0)</f>
        <v>0</v>
      </c>
      <c r="K45" s="14">
        <f>SUMIFS(Earned[Earned_Premium],Earned[ICG],CF_Gen_4[[#This Row],[ICG]],Earned[Incurred],CF_Gen_4[[#This Row],[Incurred]])</f>
        <v>-594953919.14625192</v>
      </c>
      <c r="L45" s="14">
        <f>SUMIFS(Earned[Earned_Commission],Earned[ICG],CF_Gen_4[[#This Row],[ICG]],Earned[Incurred],CF_Gen_4[[#This Row],[Incurred]])</f>
        <v>193360023.72253191</v>
      </c>
      <c r="M45" s="18">
        <f>_xlfn.XLOOKUP(CF_Gen_4[[#This Row],[ICG]],Assumptions[ICG],Assumptions[Loss_Ratio])</f>
        <v>0.38</v>
      </c>
      <c r="N45" s="18">
        <f>_xlfn.XLOOKUP(CF_Gen_4[[#This Row],[ICG]],Assumptions[ICG],Assumptions[Risk_Adjustment_Ratio])</f>
        <v>0.13</v>
      </c>
      <c r="O45" s="18">
        <f>_xlfn.XLOOKUP(CF_Gen_4[[#This Row],[ICG]],Assumptions[ICG],Assumptions[PME_Ratio])</f>
        <v>0</v>
      </c>
      <c r="P45" s="18">
        <f>_xlfn.XLOOKUP(CF_Gen_4[[#This Row],[ICG]],Assumptions[ICG],Assumptions[ULAE_Ratio])</f>
        <v>0</v>
      </c>
      <c r="Q45" s="18">
        <f>_xlfn.XLOOKUP(CF_Gen_4[[#This Row],[ICG]],Assumptions[ICG],Assumptions[Cancellation_Ratio])</f>
        <v>7.0000000000000007E-2</v>
      </c>
      <c r="R45" s="18">
        <f>_xlfn.XLOOKUP(CF_Gen_4[[#This Row],[ICG]],Assumptions[ICG],Assumptions[Premium_Refund_Ratio])</f>
        <v>0.5</v>
      </c>
      <c r="S45" s="18">
        <f>IF(CF_Gen_4[[#This Row],[Contract]]="RC",_xlfn.XLOOKUP(CF_Gen_4[[#This Row],[ICG]],Assumptions[ICG],Assumptions[NPR_Ratio]),0)</f>
        <v>2.8000000000000001E-2</v>
      </c>
      <c r="T45" s="17">
        <f>T44*(1-CF_Gen_4[[#This Row],[Cancellation_Ratio]])</f>
        <v>4.4133339169941117E-2</v>
      </c>
      <c r="U45" s="19">
        <f>IF(CF_Gen_4[[#This Row],[Incurred]]&lt;=CF_Gen_4[[#This Row],[Valuation]],CF_Gen_4[[#This Row],[Expected_Premium]],-CF_Gen_4[[#This Row],[Probability_of_Inforce]]*CF_Gen_4[[#This Row],[Premium_Refund_Ratio]]*CF_Gen_4[[#This Row],[Cancellation_Ratio]]*SUM(K45:K$105))</f>
        <v>23894145.824792214</v>
      </c>
      <c r="V4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Row],[Cancellation_Ratio]]*SUM(L45:L$105))</f>
        <v>-7765597.3930574711</v>
      </c>
      <c r="W45" s="19">
        <f>CF_Gen_4[[#This Row],[Expected_Acquisition]]</f>
        <v>0</v>
      </c>
      <c r="X4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5" s="19">
        <f>-CF_Gen_4[[#This Row],[Probability_of_Inforce]]*CF_Gen_4[[#This Row],[Earned_Premium]]*(1-CF_Gen_4[[#This Row],[Cancellation_Ratio]])*CF_Gen_4[[#This Row],[Loss_Ratio]]</f>
        <v>9279330.9170127101</v>
      </c>
      <c r="Z45" s="19">
        <f>CF_Gen_4[[#This Row],[Exp_Claim]]*CF_Gen_4[[#This Row],[Risk_Adjustment_Ratio]]</f>
        <v>1206313.0192116525</v>
      </c>
      <c r="AA45" s="19">
        <f>IF(CF_Gen_4[[#This Row],[Contract]]="RC",-CF_Gen_4[[#This Row],[NPR_Ratio]]*CF_Gen_4[[#This Row],[Exp_Claim]],0)</f>
        <v>-259821.26567635589</v>
      </c>
      <c r="AB45" s="19">
        <f>SUMIFS(Actual_CF[Actual_Premium],Actual_CF[ICG],CF_Gen_4[[#This Row],[ICG]],Actual_CF[Incurred],CF_Gen_4[[#This Row],[Incurred]])</f>
        <v>0</v>
      </c>
      <c r="AC45" s="19">
        <f>SUMIFS(Actual_CF[Actual_Commission],Actual_CF[ICG],CF_Gen_4[[#This Row],[ICG]],Actual_CF[Incurred],CF_Gen_4[[#This Row],[Incurred]])</f>
        <v>0</v>
      </c>
      <c r="AD45" s="19">
        <f>SUMIFS(Actual_CF[Actual_Acquisition],Actual_CF[ICG],CF_Gen_4[[#This Row],[ICG]],Actual_CF[Incurred],CF_Gen_4[[#This Row],[Incurred]])</f>
        <v>0</v>
      </c>
    </row>
    <row r="46" spans="1:30">
      <c r="A46" t="str">
        <f t="shared" si="1"/>
        <v>#2025#RC-Property</v>
      </c>
      <c r="B46">
        <f>_xlfn.XLOOKUP(CF_Gen_4[[#This Row],[ICG]],ICG[ICG],ICG[Cohort])</f>
        <v>2025</v>
      </c>
      <c r="C46" t="str">
        <f>_xlfn.XLOOKUP(CF_Gen_4[[#This Row],[ICG]],ICG[ICG],ICG[Portfolio])</f>
        <v>RC-Property</v>
      </c>
      <c r="D46" t="str">
        <f>_xlfn.XLOOKUP(CF_Gen_4[[#This Row],[ICG]],ICG[ICG],ICG[Contract])</f>
        <v>RC</v>
      </c>
      <c r="E46" s="2">
        <f t="shared" si="0"/>
        <v>45930</v>
      </c>
      <c r="F46">
        <v>45</v>
      </c>
      <c r="G46" s="2">
        <f>EOMONTH(DATE(YEAR(CF_Gen_4[[#This Row],[Valuation]])-1,12,31),CF_Gen_4[[#This Row],['#Incurred]]*3)</f>
        <v>49765</v>
      </c>
      <c r="H46" s="14">
        <f>SUMIFS(Expected_CF[Expected_Premium],Expected_CF[ICG],CF_Gen_4[[#This Row],[ICG]],Expected_CF[Incurred],CF_Gen_4[[#This Row],[Incurred]])</f>
        <v>0</v>
      </c>
      <c r="I46" s="14">
        <f>SUMIFS(Expected_CF[Expected_Commission],Expected_CF[ICG],CF_Gen_4[[#This Row],[ICG]],Expected_CF[Incurred],CF_Gen_4[[#This Row],[Incurred]])</f>
        <v>0</v>
      </c>
      <c r="J46" s="14">
        <f>IF(CF_Gen_4[[#This Row],[Contract]]="IC",SUMIFS(Expected_CF[Expected_Acquisition],Expected_CF[ICG],CF_Gen_4[[#This Row],[ICG]],Expected_CF[Incurred],CF_Gen_4[[#This Row],[Incurred]]),0)</f>
        <v>0</v>
      </c>
      <c r="K46" s="14">
        <f>SUMIFS(Earned[Earned_Premium],Earned[ICG],CF_Gen_4[[#This Row],[ICG]],Earned[Incurred],CF_Gen_4[[#This Row],[Incurred]])</f>
        <v>-579698690.45019424</v>
      </c>
      <c r="L46" s="14">
        <f>SUMIFS(Earned[Earned_Commission],Earned[ICG],CF_Gen_4[[#This Row],[ICG]],Earned[Incurred],CF_Gen_4[[#This Row],[Incurred]])</f>
        <v>188402074.39631316</v>
      </c>
      <c r="M46" s="18">
        <f>_xlfn.XLOOKUP(CF_Gen_4[[#This Row],[ICG]],Assumptions[ICG],Assumptions[Loss_Ratio])</f>
        <v>0.38</v>
      </c>
      <c r="N46" s="18">
        <f>_xlfn.XLOOKUP(CF_Gen_4[[#This Row],[ICG]],Assumptions[ICG],Assumptions[Risk_Adjustment_Ratio])</f>
        <v>0.13</v>
      </c>
      <c r="O46" s="18">
        <f>_xlfn.XLOOKUP(CF_Gen_4[[#This Row],[ICG]],Assumptions[ICG],Assumptions[PME_Ratio])</f>
        <v>0</v>
      </c>
      <c r="P46" s="18">
        <f>_xlfn.XLOOKUP(CF_Gen_4[[#This Row],[ICG]],Assumptions[ICG],Assumptions[ULAE_Ratio])</f>
        <v>0</v>
      </c>
      <c r="Q46" s="18">
        <f>_xlfn.XLOOKUP(CF_Gen_4[[#This Row],[ICG]],Assumptions[ICG],Assumptions[Cancellation_Ratio])</f>
        <v>7.0000000000000007E-2</v>
      </c>
      <c r="R46" s="18">
        <f>_xlfn.XLOOKUP(CF_Gen_4[[#This Row],[ICG]],Assumptions[ICG],Assumptions[Premium_Refund_Ratio])</f>
        <v>0.5</v>
      </c>
      <c r="S46" s="18">
        <f>IF(CF_Gen_4[[#This Row],[Contract]]="RC",_xlfn.XLOOKUP(CF_Gen_4[[#This Row],[ICG]],Assumptions[ICG],Assumptions[NPR_Ratio]),0)</f>
        <v>2.8000000000000001E-2</v>
      </c>
      <c r="T46" s="17">
        <f>T45*(1-CF_Gen_4[[#This Row],[Cancellation_Ratio]])</f>
        <v>4.104400542804524E-2</v>
      </c>
      <c r="U46" s="19">
        <f>IF(CF_Gen_4[[#This Row],[Incurred]]&lt;=CF_Gen_4[[#This Row],[Valuation]],CF_Gen_4[[#This Row],[Expected_Premium]],-CF_Gen_4[[#This Row],[Probability_of_Inforce]]*CF_Gen_4[[#This Row],[Premium_Refund_Ratio]]*CF_Gen_4[[#This Row],[Cancellation_Ratio]]*SUM(K46:K$105))</f>
        <v>21366880.401016112</v>
      </c>
      <c r="V4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Row],[Cancellation_Ratio]]*SUM(L46:L$105))</f>
        <v>-6944236.1303302385</v>
      </c>
      <c r="W46" s="19">
        <f>CF_Gen_4[[#This Row],[Expected_Acquisition]]</f>
        <v>0</v>
      </c>
      <c r="X4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6" s="19">
        <f>-CF_Gen_4[[#This Row],[Probability_of_Inforce]]*CF_Gen_4[[#This Row],[Earned_Premium]]*(1-CF_Gen_4[[#This Row],[Cancellation_Ratio]])*CF_Gen_4[[#This Row],[Loss_Ratio]]</f>
        <v>8408501.4001853634</v>
      </c>
      <c r="Z46" s="19">
        <f>CF_Gen_4[[#This Row],[Exp_Claim]]*CF_Gen_4[[#This Row],[Risk_Adjustment_Ratio]]</f>
        <v>1093105.1820240973</v>
      </c>
      <c r="AA46" s="19">
        <f>IF(CF_Gen_4[[#This Row],[Contract]]="RC",-CF_Gen_4[[#This Row],[NPR_Ratio]]*CF_Gen_4[[#This Row],[Exp_Claim]],0)</f>
        <v>-235438.03920519017</v>
      </c>
      <c r="AB46" s="19">
        <f>SUMIFS(Actual_CF[Actual_Premium],Actual_CF[ICG],CF_Gen_4[[#This Row],[ICG]],Actual_CF[Incurred],CF_Gen_4[[#This Row],[Incurred]])</f>
        <v>0</v>
      </c>
      <c r="AC46" s="19">
        <f>SUMIFS(Actual_CF[Actual_Commission],Actual_CF[ICG],CF_Gen_4[[#This Row],[ICG]],Actual_CF[Incurred],CF_Gen_4[[#This Row],[Incurred]])</f>
        <v>0</v>
      </c>
      <c r="AD46" s="19">
        <f>SUMIFS(Actual_CF[Actual_Acquisition],Actual_CF[ICG],CF_Gen_4[[#This Row],[ICG]],Actual_CF[Incurred],CF_Gen_4[[#This Row],[Incurred]])</f>
        <v>0</v>
      </c>
    </row>
    <row r="47" spans="1:30">
      <c r="A47" t="str">
        <f t="shared" si="1"/>
        <v>#2025#RC-Property</v>
      </c>
      <c r="B47">
        <f>_xlfn.XLOOKUP(CF_Gen_4[[#This Row],[ICG]],ICG[ICG],ICG[Cohort])</f>
        <v>2025</v>
      </c>
      <c r="C47" t="str">
        <f>_xlfn.XLOOKUP(CF_Gen_4[[#This Row],[ICG]],ICG[ICG],ICG[Portfolio])</f>
        <v>RC-Property</v>
      </c>
      <c r="D47" t="str">
        <f>_xlfn.XLOOKUP(CF_Gen_4[[#This Row],[ICG]],ICG[ICG],ICG[Contract])</f>
        <v>RC</v>
      </c>
      <c r="E47" s="2">
        <f t="shared" si="0"/>
        <v>45930</v>
      </c>
      <c r="F47">
        <v>46</v>
      </c>
      <c r="G47" s="2">
        <f>EOMONTH(DATE(YEAR(CF_Gen_4[[#This Row],[Valuation]])-1,12,31),CF_Gen_4[[#This Row],['#Incurred]]*3)</f>
        <v>49856</v>
      </c>
      <c r="H47" s="14">
        <f>SUMIFS(Expected_CF[Expected_Premium],Expected_CF[ICG],CF_Gen_4[[#This Row],[ICG]],Expected_CF[Incurred],CF_Gen_4[[#This Row],[Incurred]])</f>
        <v>0</v>
      </c>
      <c r="I47" s="14">
        <f>SUMIFS(Expected_CF[Expected_Commission],Expected_CF[ICG],CF_Gen_4[[#This Row],[ICG]],Expected_CF[Incurred],CF_Gen_4[[#This Row],[Incurred]])</f>
        <v>0</v>
      </c>
      <c r="J47" s="14">
        <f>IF(CF_Gen_4[[#This Row],[Contract]]="IC",SUMIFS(Expected_CF[Expected_Acquisition],Expected_CF[ICG],CF_Gen_4[[#This Row],[ICG]],Expected_CF[Incurred],CF_Gen_4[[#This Row],[Incurred]]),0)</f>
        <v>0</v>
      </c>
      <c r="K47" s="14">
        <f>SUMIFS(Earned[Earned_Premium],Earned[ICG],CF_Gen_4[[#This Row],[ICG]],Earned[Incurred],CF_Gen_4[[#This Row],[Incurred]])</f>
        <v>-564443461.75413656</v>
      </c>
      <c r="L47" s="14">
        <f>SUMIFS(Earned[Earned_Commission],Earned[ICG],CF_Gen_4[[#This Row],[ICG]],Earned[Incurred],CF_Gen_4[[#This Row],[Incurred]])</f>
        <v>183444125.07009441</v>
      </c>
      <c r="M47" s="18">
        <f>_xlfn.XLOOKUP(CF_Gen_4[[#This Row],[ICG]],Assumptions[ICG],Assumptions[Loss_Ratio])</f>
        <v>0.38</v>
      </c>
      <c r="N47" s="18">
        <f>_xlfn.XLOOKUP(CF_Gen_4[[#This Row],[ICG]],Assumptions[ICG],Assumptions[Risk_Adjustment_Ratio])</f>
        <v>0.13</v>
      </c>
      <c r="O47" s="18">
        <f>_xlfn.XLOOKUP(CF_Gen_4[[#This Row],[ICG]],Assumptions[ICG],Assumptions[PME_Ratio])</f>
        <v>0</v>
      </c>
      <c r="P47" s="18">
        <f>_xlfn.XLOOKUP(CF_Gen_4[[#This Row],[ICG]],Assumptions[ICG],Assumptions[ULAE_Ratio])</f>
        <v>0</v>
      </c>
      <c r="Q47" s="18">
        <f>_xlfn.XLOOKUP(CF_Gen_4[[#This Row],[ICG]],Assumptions[ICG],Assumptions[Cancellation_Ratio])</f>
        <v>7.0000000000000007E-2</v>
      </c>
      <c r="R47" s="18">
        <f>_xlfn.XLOOKUP(CF_Gen_4[[#This Row],[ICG]],Assumptions[ICG],Assumptions[Premium_Refund_Ratio])</f>
        <v>0.5</v>
      </c>
      <c r="S47" s="18">
        <f>IF(CF_Gen_4[[#This Row],[Contract]]="RC",_xlfn.XLOOKUP(CF_Gen_4[[#This Row],[ICG]],Assumptions[ICG],Assumptions[NPR_Ratio]),0)</f>
        <v>2.8000000000000001E-2</v>
      </c>
      <c r="T47" s="17">
        <f>T46*(1-CF_Gen_4[[#This Row],[Cancellation_Ratio]])</f>
        <v>3.8170925048082067E-2</v>
      </c>
      <c r="U47" s="19">
        <f>IF(CF_Gen_4[[#This Row],[Incurred]]&lt;=CF_Gen_4[[#This Row],[Valuation]],CF_Gen_4[[#This Row],[Expected_Premium]],-CF_Gen_4[[#This Row],[Probability_of_Inforce]]*CF_Gen_4[[#This Row],[Premium_Refund_Ratio]]*CF_Gen_4[[#This Row],[Cancellation_Ratio]]*SUM(K47:K$105))</f>
        <v>19096731.538717385</v>
      </c>
      <c r="V4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Row],[Cancellation_Ratio]]*SUM(L47:L$105))</f>
        <v>-6206437.7500831513</v>
      </c>
      <c r="W47" s="19">
        <f>CF_Gen_4[[#This Row],[Expected_Acquisition]]</f>
        <v>0</v>
      </c>
      <c r="X4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7" s="19">
        <f>-CF_Gen_4[[#This Row],[Probability_of_Inforce]]*CF_Gen_4[[#This Row],[Earned_Premium]]*(1-CF_Gen_4[[#This Row],[Cancellation_Ratio]])*CF_Gen_4[[#This Row],[Loss_Ratio]]</f>
        <v>7614119.294220482</v>
      </c>
      <c r="Z47" s="19">
        <f>CF_Gen_4[[#This Row],[Exp_Claim]]*CF_Gen_4[[#This Row],[Risk_Adjustment_Ratio]]</f>
        <v>989835.50824866269</v>
      </c>
      <c r="AA47" s="19">
        <f>IF(CF_Gen_4[[#This Row],[Contract]]="RC",-CF_Gen_4[[#This Row],[NPR_Ratio]]*CF_Gen_4[[#This Row],[Exp_Claim]],0)</f>
        <v>-213195.34023817349</v>
      </c>
      <c r="AB47" s="19">
        <f>SUMIFS(Actual_CF[Actual_Premium],Actual_CF[ICG],CF_Gen_4[[#This Row],[ICG]],Actual_CF[Incurred],CF_Gen_4[[#This Row],[Incurred]])</f>
        <v>0</v>
      </c>
      <c r="AC47" s="19">
        <f>SUMIFS(Actual_CF[Actual_Commission],Actual_CF[ICG],CF_Gen_4[[#This Row],[ICG]],Actual_CF[Incurred],CF_Gen_4[[#This Row],[Incurred]])</f>
        <v>0</v>
      </c>
      <c r="AD47" s="19">
        <f>SUMIFS(Actual_CF[Actual_Acquisition],Actual_CF[ICG],CF_Gen_4[[#This Row],[ICG]],Actual_CF[Incurred],CF_Gen_4[[#This Row],[Incurred]])</f>
        <v>0</v>
      </c>
    </row>
    <row r="48" spans="1:30">
      <c r="A48" t="str">
        <f t="shared" si="1"/>
        <v>#2025#RC-Property</v>
      </c>
      <c r="B48">
        <f>_xlfn.XLOOKUP(CF_Gen_4[[#This Row],[ICG]],ICG[ICG],ICG[Cohort])</f>
        <v>2025</v>
      </c>
      <c r="C48" t="str">
        <f>_xlfn.XLOOKUP(CF_Gen_4[[#This Row],[ICG]],ICG[ICG],ICG[Portfolio])</f>
        <v>RC-Property</v>
      </c>
      <c r="D48" t="str">
        <f>_xlfn.XLOOKUP(CF_Gen_4[[#This Row],[ICG]],ICG[ICG],ICG[Contract])</f>
        <v>RC</v>
      </c>
      <c r="E48" s="2">
        <f t="shared" si="0"/>
        <v>45930</v>
      </c>
      <c r="F48">
        <v>47</v>
      </c>
      <c r="G48" s="2">
        <f>EOMONTH(DATE(YEAR(CF_Gen_4[[#This Row],[Valuation]])-1,12,31),CF_Gen_4[[#This Row],['#Incurred]]*3)</f>
        <v>49948</v>
      </c>
      <c r="H48" s="14">
        <f>SUMIFS(Expected_CF[Expected_Premium],Expected_CF[ICG],CF_Gen_4[[#This Row],[ICG]],Expected_CF[Incurred],CF_Gen_4[[#This Row],[Incurred]])</f>
        <v>0</v>
      </c>
      <c r="I48" s="14">
        <f>SUMIFS(Expected_CF[Expected_Commission],Expected_CF[ICG],CF_Gen_4[[#This Row],[ICG]],Expected_CF[Incurred],CF_Gen_4[[#This Row],[Incurred]])</f>
        <v>0</v>
      </c>
      <c r="J48" s="14">
        <f>IF(CF_Gen_4[[#This Row],[Contract]]="IC",SUMIFS(Expected_CF[Expected_Acquisition],Expected_CF[ICG],CF_Gen_4[[#This Row],[ICG]],Expected_CF[Incurred],CF_Gen_4[[#This Row],[Incurred]]),0)</f>
        <v>0</v>
      </c>
      <c r="K48" s="14">
        <f>SUMIFS(Earned[Earned_Premium],Earned[ICG],CF_Gen_4[[#This Row],[ICG]],Earned[Incurred],CF_Gen_4[[#This Row],[Incurred]])</f>
        <v>-549188233.05807877</v>
      </c>
      <c r="L48" s="14">
        <f>SUMIFS(Earned[Earned_Commission],Earned[ICG],CF_Gen_4[[#This Row],[ICG]],Earned[Incurred],CF_Gen_4[[#This Row],[Incurred]])</f>
        <v>178486175.74387562</v>
      </c>
      <c r="M48" s="18">
        <f>_xlfn.XLOOKUP(CF_Gen_4[[#This Row],[ICG]],Assumptions[ICG],Assumptions[Loss_Ratio])</f>
        <v>0.38</v>
      </c>
      <c r="N48" s="18">
        <f>_xlfn.XLOOKUP(CF_Gen_4[[#This Row],[ICG]],Assumptions[ICG],Assumptions[Risk_Adjustment_Ratio])</f>
        <v>0.13</v>
      </c>
      <c r="O48" s="18">
        <f>_xlfn.XLOOKUP(CF_Gen_4[[#This Row],[ICG]],Assumptions[ICG],Assumptions[PME_Ratio])</f>
        <v>0</v>
      </c>
      <c r="P48" s="18">
        <f>_xlfn.XLOOKUP(CF_Gen_4[[#This Row],[ICG]],Assumptions[ICG],Assumptions[ULAE_Ratio])</f>
        <v>0</v>
      </c>
      <c r="Q48" s="18">
        <f>_xlfn.XLOOKUP(CF_Gen_4[[#This Row],[ICG]],Assumptions[ICG],Assumptions[Cancellation_Ratio])</f>
        <v>7.0000000000000007E-2</v>
      </c>
      <c r="R48" s="18">
        <f>_xlfn.XLOOKUP(CF_Gen_4[[#This Row],[ICG]],Assumptions[ICG],Assumptions[Premium_Refund_Ratio])</f>
        <v>0.5</v>
      </c>
      <c r="S48" s="18">
        <f>IF(CF_Gen_4[[#This Row],[Contract]]="RC",_xlfn.XLOOKUP(CF_Gen_4[[#This Row],[ICG]],Assumptions[ICG],Assumptions[NPR_Ratio]),0)</f>
        <v>2.8000000000000001E-2</v>
      </c>
      <c r="T48" s="17">
        <f>T47*(1-CF_Gen_4[[#This Row],[Cancellation_Ratio]])</f>
        <v>3.5498960294716324E-2</v>
      </c>
      <c r="U48" s="19">
        <f>IF(CF_Gen_4[[#This Row],[Incurred]]&lt;=CF_Gen_4[[#This Row],[Valuation]],CF_Gen_4[[#This Row],[Expected_Premium]],-CF_Gen_4[[#This Row],[Probability_of_Inforce]]*CF_Gen_4[[#This Row],[Premium_Refund_Ratio]]*CF_Gen_4[[#This Row],[Cancellation_Ratio]]*SUM(K48:K$105))</f>
        <v>17058659.869697388</v>
      </c>
      <c r="V4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Row],[Cancellation_Ratio]]*SUM(L48:L$105))</f>
        <v>-5544064.4576516524</v>
      </c>
      <c r="W48" s="19">
        <f>CF_Gen_4[[#This Row],[Expected_Acquisition]]</f>
        <v>0</v>
      </c>
      <c r="X4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8" s="19">
        <f>-CF_Gen_4[[#This Row],[Probability_of_Inforce]]*CF_Gen_4[[#This Row],[Earned_Premium]]*(1-CF_Gen_4[[#This Row],[Cancellation_Ratio]])*CF_Gen_4[[#This Row],[Loss_Ratio]]</f>
        <v>6889749.0262297764</v>
      </c>
      <c r="Z48" s="19">
        <f>CF_Gen_4[[#This Row],[Exp_Claim]]*CF_Gen_4[[#This Row],[Risk_Adjustment_Ratio]]</f>
        <v>895667.37340987101</v>
      </c>
      <c r="AA48" s="19">
        <f>IF(CF_Gen_4[[#This Row],[Contract]]="RC",-CF_Gen_4[[#This Row],[NPR_Ratio]]*CF_Gen_4[[#This Row],[Exp_Claim]],0)</f>
        <v>-192912.97273443374</v>
      </c>
      <c r="AB48" s="19">
        <f>SUMIFS(Actual_CF[Actual_Premium],Actual_CF[ICG],CF_Gen_4[[#This Row],[ICG]],Actual_CF[Incurred],CF_Gen_4[[#This Row],[Incurred]])</f>
        <v>0</v>
      </c>
      <c r="AC48" s="19">
        <f>SUMIFS(Actual_CF[Actual_Commission],Actual_CF[ICG],CF_Gen_4[[#This Row],[ICG]],Actual_CF[Incurred],CF_Gen_4[[#This Row],[Incurred]])</f>
        <v>0</v>
      </c>
      <c r="AD48" s="19">
        <f>SUMIFS(Actual_CF[Actual_Acquisition],Actual_CF[ICG],CF_Gen_4[[#This Row],[ICG]],Actual_CF[Incurred],CF_Gen_4[[#This Row],[Incurred]])</f>
        <v>0</v>
      </c>
    </row>
    <row r="49" spans="1:30">
      <c r="A49" t="str">
        <f t="shared" si="1"/>
        <v>#2025#RC-Property</v>
      </c>
      <c r="B49">
        <f>_xlfn.XLOOKUP(CF_Gen_4[[#This Row],[ICG]],ICG[ICG],ICG[Cohort])</f>
        <v>2025</v>
      </c>
      <c r="C49" t="str">
        <f>_xlfn.XLOOKUP(CF_Gen_4[[#This Row],[ICG]],ICG[ICG],ICG[Portfolio])</f>
        <v>RC-Property</v>
      </c>
      <c r="D49" t="str">
        <f>_xlfn.XLOOKUP(CF_Gen_4[[#This Row],[ICG]],ICG[ICG],ICG[Contract])</f>
        <v>RC</v>
      </c>
      <c r="E49" s="2">
        <f t="shared" si="0"/>
        <v>45930</v>
      </c>
      <c r="F49">
        <v>48</v>
      </c>
      <c r="G49" s="2">
        <f>EOMONTH(DATE(YEAR(CF_Gen_4[[#This Row],[Valuation]])-1,12,31),CF_Gen_4[[#This Row],['#Incurred]]*3)</f>
        <v>50040</v>
      </c>
      <c r="H49" s="14">
        <f>SUMIFS(Expected_CF[Expected_Premium],Expected_CF[ICG],CF_Gen_4[[#This Row],[ICG]],Expected_CF[Incurred],CF_Gen_4[[#This Row],[Incurred]])</f>
        <v>0</v>
      </c>
      <c r="I49" s="14">
        <f>SUMIFS(Expected_CF[Expected_Commission],Expected_CF[ICG],CF_Gen_4[[#This Row],[ICG]],Expected_CF[Incurred],CF_Gen_4[[#This Row],[Incurred]])</f>
        <v>0</v>
      </c>
      <c r="J49" s="14">
        <f>IF(CF_Gen_4[[#This Row],[Contract]]="IC",SUMIFS(Expected_CF[Expected_Acquisition],Expected_CF[ICG],CF_Gen_4[[#This Row],[ICG]],Expected_CF[Incurred],CF_Gen_4[[#This Row],[Incurred]]),0)</f>
        <v>0</v>
      </c>
      <c r="K49" s="14">
        <f>SUMIFS(Earned[Earned_Premium],Earned[ICG],CF_Gen_4[[#This Row],[ICG]],Earned[Incurred],CF_Gen_4[[#This Row],[Incurred]])</f>
        <v>-549188233.05807877</v>
      </c>
      <c r="L49" s="14">
        <f>SUMIFS(Earned[Earned_Commission],Earned[ICG],CF_Gen_4[[#This Row],[ICG]],Earned[Incurred],CF_Gen_4[[#This Row],[Incurred]])</f>
        <v>178486175.74387562</v>
      </c>
      <c r="M49" s="18">
        <f>_xlfn.XLOOKUP(CF_Gen_4[[#This Row],[ICG]],Assumptions[ICG],Assumptions[Loss_Ratio])</f>
        <v>0.38</v>
      </c>
      <c r="N49" s="18">
        <f>_xlfn.XLOOKUP(CF_Gen_4[[#This Row],[ICG]],Assumptions[ICG],Assumptions[Risk_Adjustment_Ratio])</f>
        <v>0.13</v>
      </c>
      <c r="O49" s="18">
        <f>_xlfn.XLOOKUP(CF_Gen_4[[#This Row],[ICG]],Assumptions[ICG],Assumptions[PME_Ratio])</f>
        <v>0</v>
      </c>
      <c r="P49" s="18">
        <f>_xlfn.XLOOKUP(CF_Gen_4[[#This Row],[ICG]],Assumptions[ICG],Assumptions[ULAE_Ratio])</f>
        <v>0</v>
      </c>
      <c r="Q49" s="18">
        <f>_xlfn.XLOOKUP(CF_Gen_4[[#This Row],[ICG]],Assumptions[ICG],Assumptions[Cancellation_Ratio])</f>
        <v>7.0000000000000007E-2</v>
      </c>
      <c r="R49" s="18">
        <f>_xlfn.XLOOKUP(CF_Gen_4[[#This Row],[ICG]],Assumptions[ICG],Assumptions[Premium_Refund_Ratio])</f>
        <v>0.5</v>
      </c>
      <c r="S49" s="18">
        <f>IF(CF_Gen_4[[#This Row],[Contract]]="RC",_xlfn.XLOOKUP(CF_Gen_4[[#This Row],[ICG]],Assumptions[ICG],Assumptions[NPR_Ratio]),0)</f>
        <v>2.8000000000000001E-2</v>
      </c>
      <c r="T49" s="17">
        <f>T48*(1-CF_Gen_4[[#This Row],[Cancellation_Ratio]])</f>
        <v>3.301403307408618E-2</v>
      </c>
      <c r="U49" s="19">
        <f>IF(CF_Gen_4[[#This Row],[Incurred]]&lt;=CF_Gen_4[[#This Row],[Valuation]],CF_Gen_4[[#This Row],[Expected_Premium]],-CF_Gen_4[[#This Row],[Probability_of_Inforce]]*CF_Gen_4[[#This Row],[Premium_Refund_Ratio]]*CF_Gen_4[[#This Row],[Cancellation_Ratio]]*SUM(K49:K$105))</f>
        <v>15229971.531665828</v>
      </c>
      <c r="V4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Row],[Cancellation_Ratio]]*SUM(L49:L$105))</f>
        <v>-4949740.7477913918</v>
      </c>
      <c r="W49" s="19">
        <f>CF_Gen_4[[#This Row],[Expected_Acquisition]]</f>
        <v>0</v>
      </c>
      <c r="X4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49" s="19">
        <f>-CF_Gen_4[[#This Row],[Probability_of_Inforce]]*CF_Gen_4[[#This Row],[Earned_Premium]]*(1-CF_Gen_4[[#This Row],[Cancellation_Ratio]])*CF_Gen_4[[#This Row],[Loss_Ratio]]</f>
        <v>6407466.5943936929</v>
      </c>
      <c r="Z49" s="19">
        <f>CF_Gen_4[[#This Row],[Exp_Claim]]*CF_Gen_4[[#This Row],[Risk_Adjustment_Ratio]]</f>
        <v>832970.65727118007</v>
      </c>
      <c r="AA49" s="19">
        <f>IF(CF_Gen_4[[#This Row],[Contract]]="RC",-CF_Gen_4[[#This Row],[NPR_Ratio]]*CF_Gen_4[[#This Row],[Exp_Claim]],0)</f>
        <v>-179409.06464302342</v>
      </c>
      <c r="AB49" s="19">
        <f>SUMIFS(Actual_CF[Actual_Premium],Actual_CF[ICG],CF_Gen_4[[#This Row],[ICG]],Actual_CF[Incurred],CF_Gen_4[[#This Row],[Incurred]])</f>
        <v>0</v>
      </c>
      <c r="AC49" s="19">
        <f>SUMIFS(Actual_CF[Actual_Commission],Actual_CF[ICG],CF_Gen_4[[#This Row],[ICG]],Actual_CF[Incurred],CF_Gen_4[[#This Row],[Incurred]])</f>
        <v>0</v>
      </c>
      <c r="AD49" s="19">
        <f>SUMIFS(Actual_CF[Actual_Acquisition],Actual_CF[ICG],CF_Gen_4[[#This Row],[ICG]],Actual_CF[Incurred],CF_Gen_4[[#This Row],[Incurred]])</f>
        <v>0</v>
      </c>
    </row>
    <row r="50" spans="1:30">
      <c r="A50" t="str">
        <f t="shared" si="1"/>
        <v>#2025#RC-Property</v>
      </c>
      <c r="B50">
        <f>_xlfn.XLOOKUP(CF_Gen_4[[#This Row],[ICG]],ICG[ICG],ICG[Cohort])</f>
        <v>2025</v>
      </c>
      <c r="C50" t="str">
        <f>_xlfn.XLOOKUP(CF_Gen_4[[#This Row],[ICG]],ICG[ICG],ICG[Portfolio])</f>
        <v>RC-Property</v>
      </c>
      <c r="D50" t="str">
        <f>_xlfn.XLOOKUP(CF_Gen_4[[#This Row],[ICG]],ICG[ICG],ICG[Contract])</f>
        <v>RC</v>
      </c>
      <c r="E50" s="2">
        <f t="shared" si="0"/>
        <v>45930</v>
      </c>
      <c r="F50">
        <v>49</v>
      </c>
      <c r="G50" s="2">
        <f>EOMONTH(DATE(YEAR(CF_Gen_4[[#This Row],[Valuation]])-1,12,31),CF_Gen_4[[#This Row],['#Incurred]]*3)</f>
        <v>50130</v>
      </c>
      <c r="H50" s="14">
        <f>SUMIFS(Expected_CF[Expected_Premium],Expected_CF[ICG],CF_Gen_4[[#This Row],[ICG]],Expected_CF[Incurred],CF_Gen_4[[#This Row],[Incurred]])</f>
        <v>0</v>
      </c>
      <c r="I50" s="14">
        <f>SUMIFS(Expected_CF[Expected_Commission],Expected_CF[ICG],CF_Gen_4[[#This Row],[ICG]],Expected_CF[Incurred],CF_Gen_4[[#This Row],[Incurred]])</f>
        <v>0</v>
      </c>
      <c r="J50" s="14">
        <f>IF(CF_Gen_4[[#This Row],[Contract]]="IC",SUMIFS(Expected_CF[Expected_Acquisition],Expected_CF[ICG],CF_Gen_4[[#This Row],[ICG]],Expected_CF[Incurred],CF_Gen_4[[#This Row],[Incurred]]),0)</f>
        <v>0</v>
      </c>
      <c r="K50" s="14">
        <f>SUMIFS(Earned[Earned_Premium],Earned[ICG],CF_Gen_4[[#This Row],[ICG]],Earned[Incurred],CF_Gen_4[[#This Row],[Incurred]])</f>
        <v>-533933004.36202109</v>
      </c>
      <c r="L50" s="14">
        <f>SUMIFS(Earned[Earned_Commission],Earned[ICG],CF_Gen_4[[#This Row],[ICG]],Earned[Incurred],CF_Gen_4[[#This Row],[Incurred]])</f>
        <v>173528226.41765687</v>
      </c>
      <c r="M50" s="18">
        <f>_xlfn.XLOOKUP(CF_Gen_4[[#This Row],[ICG]],Assumptions[ICG],Assumptions[Loss_Ratio])</f>
        <v>0.38</v>
      </c>
      <c r="N50" s="18">
        <f>_xlfn.XLOOKUP(CF_Gen_4[[#This Row],[ICG]],Assumptions[ICG],Assumptions[Risk_Adjustment_Ratio])</f>
        <v>0.13</v>
      </c>
      <c r="O50" s="18">
        <f>_xlfn.XLOOKUP(CF_Gen_4[[#This Row],[ICG]],Assumptions[ICG],Assumptions[PME_Ratio])</f>
        <v>0</v>
      </c>
      <c r="P50" s="18">
        <f>_xlfn.XLOOKUP(CF_Gen_4[[#This Row],[ICG]],Assumptions[ICG],Assumptions[ULAE_Ratio])</f>
        <v>0</v>
      </c>
      <c r="Q50" s="18">
        <f>_xlfn.XLOOKUP(CF_Gen_4[[#This Row],[ICG]],Assumptions[ICG],Assumptions[Cancellation_Ratio])</f>
        <v>7.0000000000000007E-2</v>
      </c>
      <c r="R50" s="18">
        <f>_xlfn.XLOOKUP(CF_Gen_4[[#This Row],[ICG]],Assumptions[ICG],Assumptions[Premium_Refund_Ratio])</f>
        <v>0.5</v>
      </c>
      <c r="S50" s="18">
        <f>IF(CF_Gen_4[[#This Row],[Contract]]="RC",_xlfn.XLOOKUP(CF_Gen_4[[#This Row],[ICG]],Assumptions[ICG],Assumptions[NPR_Ratio]),0)</f>
        <v>2.8000000000000001E-2</v>
      </c>
      <c r="T50" s="17">
        <f>T49*(1-CF_Gen_4[[#This Row],[Cancellation_Ratio]])</f>
        <v>3.0703050758900147E-2</v>
      </c>
      <c r="U50" s="19">
        <f>IF(CF_Gen_4[[#This Row],[Incurred]]&lt;=CF_Gen_4[[#This Row],[Valuation]],CF_Gen_4[[#This Row],[Expected_Premium]],-CF_Gen_4[[#This Row],[Probability_of_Inforce]]*CF_Gen_4[[#This Row],[Premium_Refund_Ratio]]*CF_Gen_4[[#This Row],[Cancellation_Ratio]]*SUM(K50:K$105))</f>
        <v>13573712.127597172</v>
      </c>
      <c r="V5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Row],[Cancellation_Ratio]]*SUM(L50:L$105))</f>
        <v>-4411456.4414690789</v>
      </c>
      <c r="W50" s="19">
        <f>CF_Gen_4[[#This Row],[Expected_Acquisition]]</f>
        <v>0</v>
      </c>
      <c r="X5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0" s="19">
        <f>-CF_Gen_4[[#This Row],[Probability_of_Inforce]]*CF_Gen_4[[#This Row],[Earned_Premium]]*(1-CF_Gen_4[[#This Row],[Cancellation_Ratio]])*CF_Gen_4[[#This Row],[Loss_Ratio]]</f>
        <v>5793417.7124309642</v>
      </c>
      <c r="Z50" s="19">
        <f>CF_Gen_4[[#This Row],[Exp_Claim]]*CF_Gen_4[[#This Row],[Risk_Adjustment_Ratio]]</f>
        <v>753144.30261602532</v>
      </c>
      <c r="AA50" s="19">
        <f>IF(CF_Gen_4[[#This Row],[Contract]]="RC",-CF_Gen_4[[#This Row],[NPR_Ratio]]*CF_Gen_4[[#This Row],[Exp_Claim]],0)</f>
        <v>-162215.695948067</v>
      </c>
      <c r="AB50" s="19">
        <f>SUMIFS(Actual_CF[Actual_Premium],Actual_CF[ICG],CF_Gen_4[[#This Row],[ICG]],Actual_CF[Incurred],CF_Gen_4[[#This Row],[Incurred]])</f>
        <v>0</v>
      </c>
      <c r="AC50" s="19">
        <f>SUMIFS(Actual_CF[Actual_Commission],Actual_CF[ICG],CF_Gen_4[[#This Row],[ICG]],Actual_CF[Incurred],CF_Gen_4[[#This Row],[Incurred]])</f>
        <v>0</v>
      </c>
      <c r="AD50" s="19">
        <f>SUMIFS(Actual_CF[Actual_Acquisition],Actual_CF[ICG],CF_Gen_4[[#This Row],[ICG]],Actual_CF[Incurred],CF_Gen_4[[#This Row],[Incurred]])</f>
        <v>0</v>
      </c>
    </row>
    <row r="51" spans="1:30">
      <c r="A51" t="str">
        <f t="shared" si="1"/>
        <v>#2025#RC-Property</v>
      </c>
      <c r="B51">
        <f>_xlfn.XLOOKUP(CF_Gen_4[[#This Row],[ICG]],ICG[ICG],ICG[Cohort])</f>
        <v>2025</v>
      </c>
      <c r="C51" t="str">
        <f>_xlfn.XLOOKUP(CF_Gen_4[[#This Row],[ICG]],ICG[ICG],ICG[Portfolio])</f>
        <v>RC-Property</v>
      </c>
      <c r="D51" t="str">
        <f>_xlfn.XLOOKUP(CF_Gen_4[[#This Row],[ICG]],ICG[ICG],ICG[Contract])</f>
        <v>RC</v>
      </c>
      <c r="E51" s="2">
        <f t="shared" si="0"/>
        <v>45930</v>
      </c>
      <c r="F51">
        <v>50</v>
      </c>
      <c r="G51" s="2">
        <f>EOMONTH(DATE(YEAR(CF_Gen_4[[#This Row],[Valuation]])-1,12,31),CF_Gen_4[[#This Row],['#Incurred]]*3)</f>
        <v>50221</v>
      </c>
      <c r="H51" s="14">
        <f>SUMIFS(Expected_CF[Expected_Premium],Expected_CF[ICG],CF_Gen_4[[#This Row],[ICG]],Expected_CF[Incurred],CF_Gen_4[[#This Row],[Incurred]])</f>
        <v>0</v>
      </c>
      <c r="I51" s="14">
        <f>SUMIFS(Expected_CF[Expected_Commission],Expected_CF[ICG],CF_Gen_4[[#This Row],[ICG]],Expected_CF[Incurred],CF_Gen_4[[#This Row],[Incurred]])</f>
        <v>0</v>
      </c>
      <c r="J51" s="14">
        <f>IF(CF_Gen_4[[#This Row],[Contract]]="IC",SUMIFS(Expected_CF[Expected_Acquisition],Expected_CF[ICG],CF_Gen_4[[#This Row],[ICG]],Expected_CF[Incurred],CF_Gen_4[[#This Row],[Incurred]]),0)</f>
        <v>0</v>
      </c>
      <c r="K51" s="14">
        <f>SUMIFS(Earned[Earned_Premium],Earned[ICG],CF_Gen_4[[#This Row],[ICG]],Earned[Incurred],CF_Gen_4[[#This Row],[Incurred]])</f>
        <v>-518677775.66596329</v>
      </c>
      <c r="L51" s="14">
        <f>SUMIFS(Earned[Earned_Commission],Earned[ICG],CF_Gen_4[[#This Row],[ICG]],Earned[Incurred],CF_Gen_4[[#This Row],[Incurred]])</f>
        <v>168570277.09143808</v>
      </c>
      <c r="M51" s="18">
        <f>_xlfn.XLOOKUP(CF_Gen_4[[#This Row],[ICG]],Assumptions[ICG],Assumptions[Loss_Ratio])</f>
        <v>0.38</v>
      </c>
      <c r="N51" s="18">
        <f>_xlfn.XLOOKUP(CF_Gen_4[[#This Row],[ICG]],Assumptions[ICG],Assumptions[Risk_Adjustment_Ratio])</f>
        <v>0.13</v>
      </c>
      <c r="O51" s="18">
        <f>_xlfn.XLOOKUP(CF_Gen_4[[#This Row],[ICG]],Assumptions[ICG],Assumptions[PME_Ratio])</f>
        <v>0</v>
      </c>
      <c r="P51" s="18">
        <f>_xlfn.XLOOKUP(CF_Gen_4[[#This Row],[ICG]],Assumptions[ICG],Assumptions[ULAE_Ratio])</f>
        <v>0</v>
      </c>
      <c r="Q51" s="18">
        <f>_xlfn.XLOOKUP(CF_Gen_4[[#This Row],[ICG]],Assumptions[ICG],Assumptions[Cancellation_Ratio])</f>
        <v>7.0000000000000007E-2</v>
      </c>
      <c r="R51" s="18">
        <f>_xlfn.XLOOKUP(CF_Gen_4[[#This Row],[ICG]],Assumptions[ICG],Assumptions[Premium_Refund_Ratio])</f>
        <v>0.5</v>
      </c>
      <c r="S51" s="18">
        <f>IF(CF_Gen_4[[#This Row],[Contract]]="RC",_xlfn.XLOOKUP(CF_Gen_4[[#This Row],[ICG]],Assumptions[ICG],Assumptions[NPR_Ratio]),0)</f>
        <v>2.8000000000000001E-2</v>
      </c>
      <c r="T51" s="17">
        <f>T50*(1-CF_Gen_4[[#This Row],[Cancellation_Ratio]])</f>
        <v>2.8553837205777133E-2</v>
      </c>
      <c r="U51" s="19">
        <f>IF(CF_Gen_4[[#This Row],[Incurred]]&lt;=CF_Gen_4[[#This Row],[Valuation]],CF_Gen_4[[#This Row],[Expected_Premium]],-CF_Gen_4[[#This Row],[Probability_of_Inforce]]*CF_Gen_4[[#This Row],[Premium_Refund_Ratio]]*CF_Gen_4[[#This Row],[Cancellation_Ratio]]*SUM(K51:K$105))</f>
        <v>12089948.015678303</v>
      </c>
      <c r="V5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Row],[Cancellation_Ratio]]*SUM(L51:L$105))</f>
        <v>-3929233.105095447</v>
      </c>
      <c r="W51" s="19">
        <f>CF_Gen_4[[#This Row],[Expected_Acquisition]]</f>
        <v>0</v>
      </c>
      <c r="X5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1" s="19">
        <f>-CF_Gen_4[[#This Row],[Probability_of_Inforce]]*CF_Gen_4[[#This Row],[Earned_Premium]]*(1-CF_Gen_4[[#This Row],[Cancellation_Ratio]])*CF_Gen_4[[#This Row],[Loss_Ratio]]</f>
        <v>5233939.087630487</v>
      </c>
      <c r="Z51" s="19">
        <f>CF_Gen_4[[#This Row],[Exp_Claim]]*CF_Gen_4[[#This Row],[Risk_Adjustment_Ratio]]</f>
        <v>680412.08139196329</v>
      </c>
      <c r="AA51" s="19">
        <f>IF(CF_Gen_4[[#This Row],[Contract]]="RC",-CF_Gen_4[[#This Row],[NPR_Ratio]]*CF_Gen_4[[#This Row],[Exp_Claim]],0)</f>
        <v>-146550.29445365365</v>
      </c>
      <c r="AB51" s="19">
        <f>SUMIFS(Actual_CF[Actual_Premium],Actual_CF[ICG],CF_Gen_4[[#This Row],[ICG]],Actual_CF[Incurred],CF_Gen_4[[#This Row],[Incurred]])</f>
        <v>0</v>
      </c>
      <c r="AC51" s="19">
        <f>SUMIFS(Actual_CF[Actual_Commission],Actual_CF[ICG],CF_Gen_4[[#This Row],[ICG]],Actual_CF[Incurred],CF_Gen_4[[#This Row],[Incurred]])</f>
        <v>0</v>
      </c>
      <c r="AD51" s="19">
        <f>SUMIFS(Actual_CF[Actual_Acquisition],Actual_CF[ICG],CF_Gen_4[[#This Row],[ICG]],Actual_CF[Incurred],CF_Gen_4[[#This Row],[Incurred]])</f>
        <v>0</v>
      </c>
    </row>
    <row r="52" spans="1:30">
      <c r="A52" t="str">
        <f t="shared" si="1"/>
        <v>#2025#RC-Property</v>
      </c>
      <c r="B52">
        <f>_xlfn.XLOOKUP(CF_Gen_4[[#This Row],[ICG]],ICG[ICG],ICG[Cohort])</f>
        <v>2025</v>
      </c>
      <c r="C52" t="str">
        <f>_xlfn.XLOOKUP(CF_Gen_4[[#This Row],[ICG]],ICG[ICG],ICG[Portfolio])</f>
        <v>RC-Property</v>
      </c>
      <c r="D52" t="str">
        <f>_xlfn.XLOOKUP(CF_Gen_4[[#This Row],[ICG]],ICG[ICG],ICG[Contract])</f>
        <v>RC</v>
      </c>
      <c r="E52" s="2">
        <f t="shared" si="0"/>
        <v>45930</v>
      </c>
      <c r="F52">
        <v>51</v>
      </c>
      <c r="G52" s="2">
        <f>EOMONTH(DATE(YEAR(CF_Gen_4[[#This Row],[Valuation]])-1,12,31),CF_Gen_4[[#This Row],['#Incurred]]*3)</f>
        <v>50313</v>
      </c>
      <c r="H52" s="14">
        <f>SUMIFS(Expected_CF[Expected_Premium],Expected_CF[ICG],CF_Gen_4[[#This Row],[ICG]],Expected_CF[Incurred],CF_Gen_4[[#This Row],[Incurred]])</f>
        <v>0</v>
      </c>
      <c r="I52" s="14">
        <f>SUMIFS(Expected_CF[Expected_Commission],Expected_CF[ICG],CF_Gen_4[[#This Row],[ICG]],Expected_CF[Incurred],CF_Gen_4[[#This Row],[Incurred]])</f>
        <v>0</v>
      </c>
      <c r="J52" s="14">
        <f>IF(CF_Gen_4[[#This Row],[Contract]]="IC",SUMIFS(Expected_CF[Expected_Acquisition],Expected_CF[ICG],CF_Gen_4[[#This Row],[ICG]],Expected_CF[Incurred],CF_Gen_4[[#This Row],[Incurred]]),0)</f>
        <v>0</v>
      </c>
      <c r="K52" s="14">
        <f>SUMIFS(Earned[Earned_Premium],Earned[ICG],CF_Gen_4[[#This Row],[ICG]],Earned[Incurred],CF_Gen_4[[#This Row],[Incurred]])</f>
        <v>-503422546.9699055</v>
      </c>
      <c r="L52" s="14">
        <f>SUMIFS(Earned[Earned_Commission],Earned[ICG],CF_Gen_4[[#This Row],[ICG]],Earned[Incurred],CF_Gen_4[[#This Row],[Incurred]])</f>
        <v>163612327.76521933</v>
      </c>
      <c r="M52" s="18">
        <f>_xlfn.XLOOKUP(CF_Gen_4[[#This Row],[ICG]],Assumptions[ICG],Assumptions[Loss_Ratio])</f>
        <v>0.38</v>
      </c>
      <c r="N52" s="18">
        <f>_xlfn.XLOOKUP(CF_Gen_4[[#This Row],[ICG]],Assumptions[ICG],Assumptions[Risk_Adjustment_Ratio])</f>
        <v>0.13</v>
      </c>
      <c r="O52" s="18">
        <f>_xlfn.XLOOKUP(CF_Gen_4[[#This Row],[ICG]],Assumptions[ICG],Assumptions[PME_Ratio])</f>
        <v>0</v>
      </c>
      <c r="P52" s="18">
        <f>_xlfn.XLOOKUP(CF_Gen_4[[#This Row],[ICG]],Assumptions[ICG],Assumptions[ULAE_Ratio])</f>
        <v>0</v>
      </c>
      <c r="Q52" s="18">
        <f>_xlfn.XLOOKUP(CF_Gen_4[[#This Row],[ICG]],Assumptions[ICG],Assumptions[Cancellation_Ratio])</f>
        <v>7.0000000000000007E-2</v>
      </c>
      <c r="R52" s="18">
        <f>_xlfn.XLOOKUP(CF_Gen_4[[#This Row],[ICG]],Assumptions[ICG],Assumptions[Premium_Refund_Ratio])</f>
        <v>0.5</v>
      </c>
      <c r="S52" s="18">
        <f>IF(CF_Gen_4[[#This Row],[Contract]]="RC",_xlfn.XLOOKUP(CF_Gen_4[[#This Row],[ICG]],Assumptions[ICG],Assumptions[NPR_Ratio]),0)</f>
        <v>2.8000000000000001E-2</v>
      </c>
      <c r="T52" s="17">
        <f>T51*(1-CF_Gen_4[[#This Row],[Cancellation_Ratio]])</f>
        <v>2.6555068601372734E-2</v>
      </c>
      <c r="U52" s="19">
        <f>IF(CF_Gen_4[[#This Row],[Incurred]]&lt;=CF_Gen_4[[#This Row],[Valuation]],CF_Gen_4[[#This Row],[Expected_Premium]],-CF_Gen_4[[#This Row],[Probability_of_Inforce]]*CF_Gen_4[[#This Row],[Premium_Refund_Ratio]]*CF_Gen_4[[#This Row],[Cancellation_Ratio]]*SUM(K52:K$105))</f>
        <v>10761578.317562226</v>
      </c>
      <c r="V5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Row],[Cancellation_Ratio]]*SUM(L52:L$105))</f>
        <v>-3497512.9532077219</v>
      </c>
      <c r="W52" s="19">
        <f>CF_Gen_4[[#This Row],[Expected_Acquisition]]</f>
        <v>0</v>
      </c>
      <c r="X5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2" s="19">
        <f>-CF_Gen_4[[#This Row],[Probability_of_Inforce]]*CF_Gen_4[[#This Row],[Earned_Premium]]*(1-CF_Gen_4[[#This Row],[Cancellation_Ratio]])*CF_Gen_4[[#This Row],[Loss_Ratio]]</f>
        <v>4724399.723511165</v>
      </c>
      <c r="Z52" s="19">
        <f>CF_Gen_4[[#This Row],[Exp_Claim]]*CF_Gen_4[[#This Row],[Risk_Adjustment_Ratio]]</f>
        <v>614171.96405645146</v>
      </c>
      <c r="AA52" s="19">
        <f>IF(CF_Gen_4[[#This Row],[Contract]]="RC",-CF_Gen_4[[#This Row],[NPR_Ratio]]*CF_Gen_4[[#This Row],[Exp_Claim]],0)</f>
        <v>-132283.19225831263</v>
      </c>
      <c r="AB52" s="19">
        <f>SUMIFS(Actual_CF[Actual_Premium],Actual_CF[ICG],CF_Gen_4[[#This Row],[ICG]],Actual_CF[Incurred],CF_Gen_4[[#This Row],[Incurred]])</f>
        <v>0</v>
      </c>
      <c r="AC52" s="19">
        <f>SUMIFS(Actual_CF[Actual_Commission],Actual_CF[ICG],CF_Gen_4[[#This Row],[ICG]],Actual_CF[Incurred],CF_Gen_4[[#This Row],[Incurred]])</f>
        <v>0</v>
      </c>
      <c r="AD52" s="19">
        <f>SUMIFS(Actual_CF[Actual_Acquisition],Actual_CF[ICG],CF_Gen_4[[#This Row],[ICG]],Actual_CF[Incurred],CF_Gen_4[[#This Row],[Incurred]])</f>
        <v>0</v>
      </c>
    </row>
    <row r="53" spans="1:30">
      <c r="A53" t="str">
        <f t="shared" si="1"/>
        <v>#2025#RC-Property</v>
      </c>
      <c r="B53">
        <f>_xlfn.XLOOKUP(CF_Gen_4[[#This Row],[ICG]],ICG[ICG],ICG[Cohort])</f>
        <v>2025</v>
      </c>
      <c r="C53" t="str">
        <f>_xlfn.XLOOKUP(CF_Gen_4[[#This Row],[ICG]],ICG[ICG],ICG[Portfolio])</f>
        <v>RC-Property</v>
      </c>
      <c r="D53" t="str">
        <f>_xlfn.XLOOKUP(CF_Gen_4[[#This Row],[ICG]],ICG[ICG],ICG[Contract])</f>
        <v>RC</v>
      </c>
      <c r="E53" s="2">
        <f t="shared" si="0"/>
        <v>45930</v>
      </c>
      <c r="F53">
        <v>52</v>
      </c>
      <c r="G53" s="2">
        <f>EOMONTH(DATE(YEAR(CF_Gen_4[[#This Row],[Valuation]])-1,12,31),CF_Gen_4[[#This Row],['#Incurred]]*3)</f>
        <v>50405</v>
      </c>
      <c r="H53" s="14">
        <f>SUMIFS(Expected_CF[Expected_Premium],Expected_CF[ICG],CF_Gen_4[[#This Row],[ICG]],Expected_CF[Incurred],CF_Gen_4[[#This Row],[Incurred]])</f>
        <v>0</v>
      </c>
      <c r="I53" s="14">
        <f>SUMIFS(Expected_CF[Expected_Commission],Expected_CF[ICG],CF_Gen_4[[#This Row],[ICG]],Expected_CF[Incurred],CF_Gen_4[[#This Row],[Incurred]])</f>
        <v>0</v>
      </c>
      <c r="J53" s="14">
        <f>IF(CF_Gen_4[[#This Row],[Contract]]="IC",SUMIFS(Expected_CF[Expected_Acquisition],Expected_CF[ICG],CF_Gen_4[[#This Row],[ICG]],Expected_CF[Incurred],CF_Gen_4[[#This Row],[Incurred]]),0)</f>
        <v>0</v>
      </c>
      <c r="K53" s="14">
        <f>SUMIFS(Earned[Earned_Premium],Earned[ICG],CF_Gen_4[[#This Row],[ICG]],Earned[Incurred],CF_Gen_4[[#This Row],[Incurred]])</f>
        <v>-503422546.9699055</v>
      </c>
      <c r="L53" s="14">
        <f>SUMIFS(Earned[Earned_Commission],Earned[ICG],CF_Gen_4[[#This Row],[ICG]],Earned[Incurred],CF_Gen_4[[#This Row],[Incurred]])</f>
        <v>163612327.76521933</v>
      </c>
      <c r="M53" s="18">
        <f>_xlfn.XLOOKUP(CF_Gen_4[[#This Row],[ICG]],Assumptions[ICG],Assumptions[Loss_Ratio])</f>
        <v>0.38</v>
      </c>
      <c r="N53" s="18">
        <f>_xlfn.XLOOKUP(CF_Gen_4[[#This Row],[ICG]],Assumptions[ICG],Assumptions[Risk_Adjustment_Ratio])</f>
        <v>0.13</v>
      </c>
      <c r="O53" s="18">
        <f>_xlfn.XLOOKUP(CF_Gen_4[[#This Row],[ICG]],Assumptions[ICG],Assumptions[PME_Ratio])</f>
        <v>0</v>
      </c>
      <c r="P53" s="18">
        <f>_xlfn.XLOOKUP(CF_Gen_4[[#This Row],[ICG]],Assumptions[ICG],Assumptions[ULAE_Ratio])</f>
        <v>0</v>
      </c>
      <c r="Q53" s="18">
        <f>_xlfn.XLOOKUP(CF_Gen_4[[#This Row],[ICG]],Assumptions[ICG],Assumptions[Cancellation_Ratio])</f>
        <v>7.0000000000000007E-2</v>
      </c>
      <c r="R53" s="18">
        <f>_xlfn.XLOOKUP(CF_Gen_4[[#This Row],[ICG]],Assumptions[ICG],Assumptions[Premium_Refund_Ratio])</f>
        <v>0.5</v>
      </c>
      <c r="S53" s="18">
        <f>IF(CF_Gen_4[[#This Row],[Contract]]="RC",_xlfn.XLOOKUP(CF_Gen_4[[#This Row],[ICG]],Assumptions[ICG],Assumptions[NPR_Ratio]),0)</f>
        <v>2.8000000000000001E-2</v>
      </c>
      <c r="T53" s="17">
        <f>T52*(1-CF_Gen_4[[#This Row],[Cancellation_Ratio]])</f>
        <v>2.469621379927664E-2</v>
      </c>
      <c r="U53" s="19">
        <f>IF(CF_Gen_4[[#This Row],[Incurred]]&lt;=CF_Gen_4[[#This Row],[Valuation]],CF_Gen_4[[#This Row],[Expected_Premium]],-CF_Gen_4[[#This Row],[Probability_of_Inforce]]*CF_Gen_4[[#This Row],[Premium_Refund_Ratio]]*CF_Gen_4[[#This Row],[Cancellation_Ratio]]*SUM(K53:K$105))</f>
        <v>9573125.7555357851</v>
      </c>
      <c r="V5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Row],[Cancellation_Ratio]]*SUM(L53:L$105))</f>
        <v>-3111265.8705491298</v>
      </c>
      <c r="W53" s="19">
        <f>CF_Gen_4[[#This Row],[Expected_Acquisition]]</f>
        <v>0</v>
      </c>
      <c r="X5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3" s="19">
        <f>-CF_Gen_4[[#This Row],[Probability_of_Inforce]]*CF_Gen_4[[#This Row],[Earned_Premium]]*(1-CF_Gen_4[[#This Row],[Cancellation_Ratio]])*CF_Gen_4[[#This Row],[Loss_Ratio]]</f>
        <v>4393691.7428653836</v>
      </c>
      <c r="Z53" s="19">
        <f>CF_Gen_4[[#This Row],[Exp_Claim]]*CF_Gen_4[[#This Row],[Risk_Adjustment_Ratio]]</f>
        <v>571179.92657249991</v>
      </c>
      <c r="AA53" s="19">
        <f>IF(CF_Gen_4[[#This Row],[Contract]]="RC",-CF_Gen_4[[#This Row],[NPR_Ratio]]*CF_Gen_4[[#This Row],[Exp_Claim]],0)</f>
        <v>-123023.36880023075</v>
      </c>
      <c r="AB53" s="19">
        <f>SUMIFS(Actual_CF[Actual_Premium],Actual_CF[ICG],CF_Gen_4[[#This Row],[ICG]],Actual_CF[Incurred],CF_Gen_4[[#This Row],[Incurred]])</f>
        <v>0</v>
      </c>
      <c r="AC53" s="19">
        <f>SUMIFS(Actual_CF[Actual_Commission],Actual_CF[ICG],CF_Gen_4[[#This Row],[ICG]],Actual_CF[Incurred],CF_Gen_4[[#This Row],[Incurred]])</f>
        <v>0</v>
      </c>
      <c r="AD53" s="19">
        <f>SUMIFS(Actual_CF[Actual_Acquisition],Actual_CF[ICG],CF_Gen_4[[#This Row],[ICG]],Actual_CF[Incurred],CF_Gen_4[[#This Row],[Incurred]])</f>
        <v>0</v>
      </c>
    </row>
    <row r="54" spans="1:30">
      <c r="A54" t="str">
        <f t="shared" si="1"/>
        <v>#2025#RC-Property</v>
      </c>
      <c r="B54">
        <f>_xlfn.XLOOKUP(CF_Gen_4[[#This Row],[ICG]],ICG[ICG],ICG[Cohort])</f>
        <v>2025</v>
      </c>
      <c r="C54" t="str">
        <f>_xlfn.XLOOKUP(CF_Gen_4[[#This Row],[ICG]],ICG[ICG],ICG[Portfolio])</f>
        <v>RC-Property</v>
      </c>
      <c r="D54" t="str">
        <f>_xlfn.XLOOKUP(CF_Gen_4[[#This Row],[ICG]],ICG[ICG],ICG[Contract])</f>
        <v>RC</v>
      </c>
      <c r="E54" s="2">
        <f t="shared" si="0"/>
        <v>45930</v>
      </c>
      <c r="F54">
        <v>53</v>
      </c>
      <c r="G54" s="2">
        <f>EOMONTH(DATE(YEAR(CF_Gen_4[[#This Row],[Valuation]])-1,12,31),CF_Gen_4[[#This Row],['#Incurred]]*3)</f>
        <v>50495</v>
      </c>
      <c r="H54" s="14">
        <f>SUMIFS(Expected_CF[Expected_Premium],Expected_CF[ICG],CF_Gen_4[[#This Row],[ICG]],Expected_CF[Incurred],CF_Gen_4[[#This Row],[Incurred]])</f>
        <v>0</v>
      </c>
      <c r="I54" s="14">
        <f>SUMIFS(Expected_CF[Expected_Commission],Expected_CF[ICG],CF_Gen_4[[#This Row],[ICG]],Expected_CF[Incurred],CF_Gen_4[[#This Row],[Incurred]])</f>
        <v>0</v>
      </c>
      <c r="J54" s="14">
        <f>IF(CF_Gen_4[[#This Row],[Contract]]="IC",SUMIFS(Expected_CF[Expected_Acquisition],Expected_CF[ICG],CF_Gen_4[[#This Row],[ICG]],Expected_CF[Incurred],CF_Gen_4[[#This Row],[Incurred]]),0)</f>
        <v>0</v>
      </c>
      <c r="K54" s="14">
        <f>SUMIFS(Earned[Earned_Premium],Earned[ICG],CF_Gen_4[[#This Row],[ICG]],Earned[Incurred],CF_Gen_4[[#This Row],[Incurred]])</f>
        <v>-488167318.27384782</v>
      </c>
      <c r="L54" s="14">
        <f>SUMIFS(Earned[Earned_Commission],Earned[ICG],CF_Gen_4[[#This Row],[ICG]],Earned[Incurred],CF_Gen_4[[#This Row],[Incurred]])</f>
        <v>158654378.43900058</v>
      </c>
      <c r="M54" s="18">
        <f>_xlfn.XLOOKUP(CF_Gen_4[[#This Row],[ICG]],Assumptions[ICG],Assumptions[Loss_Ratio])</f>
        <v>0.38</v>
      </c>
      <c r="N54" s="18">
        <f>_xlfn.XLOOKUP(CF_Gen_4[[#This Row],[ICG]],Assumptions[ICG],Assumptions[Risk_Adjustment_Ratio])</f>
        <v>0.13</v>
      </c>
      <c r="O54" s="18">
        <f>_xlfn.XLOOKUP(CF_Gen_4[[#This Row],[ICG]],Assumptions[ICG],Assumptions[PME_Ratio])</f>
        <v>0</v>
      </c>
      <c r="P54" s="18">
        <f>_xlfn.XLOOKUP(CF_Gen_4[[#This Row],[ICG]],Assumptions[ICG],Assumptions[ULAE_Ratio])</f>
        <v>0</v>
      </c>
      <c r="Q54" s="18">
        <f>_xlfn.XLOOKUP(CF_Gen_4[[#This Row],[ICG]],Assumptions[ICG],Assumptions[Cancellation_Ratio])</f>
        <v>7.0000000000000007E-2</v>
      </c>
      <c r="R54" s="18">
        <f>_xlfn.XLOOKUP(CF_Gen_4[[#This Row],[ICG]],Assumptions[ICG],Assumptions[Premium_Refund_Ratio])</f>
        <v>0.5</v>
      </c>
      <c r="S54" s="18">
        <f>IF(CF_Gen_4[[#This Row],[Contract]]="RC",_xlfn.XLOOKUP(CF_Gen_4[[#This Row],[ICG]],Assumptions[ICG],Assumptions[NPR_Ratio]),0)</f>
        <v>2.8000000000000001E-2</v>
      </c>
      <c r="T54" s="17">
        <f>T53*(1-CF_Gen_4[[#This Row],[Cancellation_Ratio]])</f>
        <v>2.2967478833327275E-2</v>
      </c>
      <c r="U54" s="19">
        <f>IF(CF_Gen_4[[#This Row],[Incurred]]&lt;=CF_Gen_4[[#This Row],[Valuation]],CF_Gen_4[[#This Row],[Expected_Premium]],-CF_Gen_4[[#This Row],[Probability_of_Inforce]]*CF_Gen_4[[#This Row],[Premium_Refund_Ratio]]*CF_Gen_4[[#This Row],[Cancellation_Ratio]]*SUM(K54:K$105))</f>
        <v>8498324.8184369951</v>
      </c>
      <c r="V5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Row],[Cancellation_Ratio]]*SUM(L54:L$105))</f>
        <v>-2761955.5659920224</v>
      </c>
      <c r="W54" s="19">
        <f>CF_Gen_4[[#This Row],[Expected_Acquisition]]</f>
        <v>0</v>
      </c>
      <c r="X5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4" s="19">
        <f>-CF_Gen_4[[#This Row],[Probability_of_Inforce]]*CF_Gen_4[[#This Row],[Earned_Premium]]*(1-CF_Gen_4[[#This Row],[Cancellation_Ratio]])*CF_Gen_4[[#This Row],[Loss_Ratio]]</f>
        <v>3962311.0990204196</v>
      </c>
      <c r="Z54" s="19">
        <f>CF_Gen_4[[#This Row],[Exp_Claim]]*CF_Gen_4[[#This Row],[Risk_Adjustment_Ratio]]</f>
        <v>515100.44287265459</v>
      </c>
      <c r="AA54" s="19">
        <f>IF(CF_Gen_4[[#This Row],[Contract]]="RC",-CF_Gen_4[[#This Row],[NPR_Ratio]]*CF_Gen_4[[#This Row],[Exp_Claim]],0)</f>
        <v>-110944.71077257175</v>
      </c>
      <c r="AB54" s="19">
        <f>SUMIFS(Actual_CF[Actual_Premium],Actual_CF[ICG],CF_Gen_4[[#This Row],[ICG]],Actual_CF[Incurred],CF_Gen_4[[#This Row],[Incurred]])</f>
        <v>0</v>
      </c>
      <c r="AC54" s="19">
        <f>SUMIFS(Actual_CF[Actual_Commission],Actual_CF[ICG],CF_Gen_4[[#This Row],[ICG]],Actual_CF[Incurred],CF_Gen_4[[#This Row],[Incurred]])</f>
        <v>0</v>
      </c>
      <c r="AD54" s="19">
        <f>SUMIFS(Actual_CF[Actual_Acquisition],Actual_CF[ICG],CF_Gen_4[[#This Row],[ICG]],Actual_CF[Incurred],CF_Gen_4[[#This Row],[Incurred]])</f>
        <v>0</v>
      </c>
    </row>
    <row r="55" spans="1:30">
      <c r="A55" t="str">
        <f t="shared" si="1"/>
        <v>#2025#RC-Property</v>
      </c>
      <c r="B55">
        <f>_xlfn.XLOOKUP(CF_Gen_4[[#This Row],[ICG]],ICG[ICG],ICG[Cohort])</f>
        <v>2025</v>
      </c>
      <c r="C55" t="str">
        <f>_xlfn.XLOOKUP(CF_Gen_4[[#This Row],[ICG]],ICG[ICG],ICG[Portfolio])</f>
        <v>RC-Property</v>
      </c>
      <c r="D55" t="str">
        <f>_xlfn.XLOOKUP(CF_Gen_4[[#This Row],[ICG]],ICG[ICG],ICG[Contract])</f>
        <v>RC</v>
      </c>
      <c r="E55" s="2">
        <f t="shared" si="0"/>
        <v>45930</v>
      </c>
      <c r="F55">
        <v>54</v>
      </c>
      <c r="G55" s="2">
        <f>EOMONTH(DATE(YEAR(CF_Gen_4[[#This Row],[Valuation]])-1,12,31),CF_Gen_4[[#This Row],['#Incurred]]*3)</f>
        <v>50586</v>
      </c>
      <c r="H55" s="14">
        <f>SUMIFS(Expected_CF[Expected_Premium],Expected_CF[ICG],CF_Gen_4[[#This Row],[ICG]],Expected_CF[Incurred],CF_Gen_4[[#This Row],[Incurred]])</f>
        <v>0</v>
      </c>
      <c r="I55" s="14">
        <f>SUMIFS(Expected_CF[Expected_Commission],Expected_CF[ICG],CF_Gen_4[[#This Row],[ICG]],Expected_CF[Incurred],CF_Gen_4[[#This Row],[Incurred]])</f>
        <v>0</v>
      </c>
      <c r="J55" s="14">
        <f>IF(CF_Gen_4[[#This Row],[Contract]]="IC",SUMIFS(Expected_CF[Expected_Acquisition],Expected_CF[ICG],CF_Gen_4[[#This Row],[ICG]],Expected_CF[Incurred],CF_Gen_4[[#This Row],[Incurred]]),0)</f>
        <v>0</v>
      </c>
      <c r="K55" s="14">
        <f>SUMIFS(Earned[Earned_Premium],Earned[ICG],CF_Gen_4[[#This Row],[ICG]],Earned[Incurred],CF_Gen_4[[#This Row],[Incurred]])</f>
        <v>-472912089.57779008</v>
      </c>
      <c r="L55" s="14">
        <f>SUMIFS(Earned[Earned_Commission],Earned[ICG],CF_Gen_4[[#This Row],[ICG]],Earned[Incurred],CF_Gen_4[[#This Row],[Incurred]])</f>
        <v>153696429.11278179</v>
      </c>
      <c r="M55" s="18">
        <f>_xlfn.XLOOKUP(CF_Gen_4[[#This Row],[ICG]],Assumptions[ICG],Assumptions[Loss_Ratio])</f>
        <v>0.38</v>
      </c>
      <c r="N55" s="18">
        <f>_xlfn.XLOOKUP(CF_Gen_4[[#This Row],[ICG]],Assumptions[ICG],Assumptions[Risk_Adjustment_Ratio])</f>
        <v>0.13</v>
      </c>
      <c r="O55" s="18">
        <f>_xlfn.XLOOKUP(CF_Gen_4[[#This Row],[ICG]],Assumptions[ICG],Assumptions[PME_Ratio])</f>
        <v>0</v>
      </c>
      <c r="P55" s="18">
        <f>_xlfn.XLOOKUP(CF_Gen_4[[#This Row],[ICG]],Assumptions[ICG],Assumptions[ULAE_Ratio])</f>
        <v>0</v>
      </c>
      <c r="Q55" s="18">
        <f>_xlfn.XLOOKUP(CF_Gen_4[[#This Row],[ICG]],Assumptions[ICG],Assumptions[Cancellation_Ratio])</f>
        <v>7.0000000000000007E-2</v>
      </c>
      <c r="R55" s="18">
        <f>_xlfn.XLOOKUP(CF_Gen_4[[#This Row],[ICG]],Assumptions[ICG],Assumptions[Premium_Refund_Ratio])</f>
        <v>0.5</v>
      </c>
      <c r="S55" s="18">
        <f>IF(CF_Gen_4[[#This Row],[Contract]]="RC",_xlfn.XLOOKUP(CF_Gen_4[[#This Row],[ICG]],Assumptions[ICG],Assumptions[NPR_Ratio]),0)</f>
        <v>2.8000000000000001E-2</v>
      </c>
      <c r="T55" s="17">
        <f>T54*(1-CF_Gen_4[[#This Row],[Cancellation_Ratio]])</f>
        <v>2.1359755314994365E-2</v>
      </c>
      <c r="U55" s="19">
        <f>IF(CF_Gen_4[[#This Row],[Incurred]]&lt;=CF_Gen_4[[#This Row],[Valuation]],CF_Gen_4[[#This Row],[Expected_Premium]],-CF_Gen_4[[#This Row],[Probability_of_Inforce]]*CF_Gen_4[[#This Row],[Premium_Refund_Ratio]]*CF_Gen_4[[#This Row],[Cancellation_Ratio]]*SUM(K55:K$105))</f>
        <v>7538492.3746576831</v>
      </c>
      <c r="V5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Row],[Cancellation_Ratio]]*SUM(L55:L$105))</f>
        <v>-2450010.0217637466</v>
      </c>
      <c r="W55" s="19">
        <f>CF_Gen_4[[#This Row],[Expected_Acquisition]]</f>
        <v>0</v>
      </c>
      <c r="X5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5" s="19">
        <f>-CF_Gen_4[[#This Row],[Probability_of_Inforce]]*CF_Gen_4[[#This Row],[Earned_Premium]]*(1-CF_Gen_4[[#This Row],[Cancellation_Ratio]])*CF_Gen_4[[#This Row],[Loss_Ratio]]</f>
        <v>3569794.6557737095</v>
      </c>
      <c r="Z55" s="19">
        <f>CF_Gen_4[[#This Row],[Exp_Claim]]*CF_Gen_4[[#This Row],[Risk_Adjustment_Ratio]]</f>
        <v>464073.30525058223</v>
      </c>
      <c r="AA55" s="19">
        <f>IF(CF_Gen_4[[#This Row],[Contract]]="RC",-CF_Gen_4[[#This Row],[NPR_Ratio]]*CF_Gen_4[[#This Row],[Exp_Claim]],0)</f>
        <v>-99954.250361663871</v>
      </c>
      <c r="AB55" s="19">
        <f>SUMIFS(Actual_CF[Actual_Premium],Actual_CF[ICG],CF_Gen_4[[#This Row],[ICG]],Actual_CF[Incurred],CF_Gen_4[[#This Row],[Incurred]])</f>
        <v>0</v>
      </c>
      <c r="AC55" s="19">
        <f>SUMIFS(Actual_CF[Actual_Commission],Actual_CF[ICG],CF_Gen_4[[#This Row],[ICG]],Actual_CF[Incurred],CF_Gen_4[[#This Row],[Incurred]])</f>
        <v>0</v>
      </c>
      <c r="AD55" s="19">
        <f>SUMIFS(Actual_CF[Actual_Acquisition],Actual_CF[ICG],CF_Gen_4[[#This Row],[ICG]],Actual_CF[Incurred],CF_Gen_4[[#This Row],[Incurred]])</f>
        <v>0</v>
      </c>
    </row>
    <row r="56" spans="1:30">
      <c r="A56" t="str">
        <f t="shared" si="1"/>
        <v>#2025#RC-Property</v>
      </c>
      <c r="B56">
        <f>_xlfn.XLOOKUP(CF_Gen_4[[#This Row],[ICG]],ICG[ICG],ICG[Cohort])</f>
        <v>2025</v>
      </c>
      <c r="C56" t="str">
        <f>_xlfn.XLOOKUP(CF_Gen_4[[#This Row],[ICG]],ICG[ICG],ICG[Portfolio])</f>
        <v>RC-Property</v>
      </c>
      <c r="D56" t="str">
        <f>_xlfn.XLOOKUP(CF_Gen_4[[#This Row],[ICG]],ICG[ICG],ICG[Contract])</f>
        <v>RC</v>
      </c>
      <c r="E56" s="2">
        <f t="shared" si="0"/>
        <v>45930</v>
      </c>
      <c r="F56">
        <v>55</v>
      </c>
      <c r="G56" s="2">
        <f>EOMONTH(DATE(YEAR(CF_Gen_4[[#This Row],[Valuation]])-1,12,31),CF_Gen_4[[#This Row],['#Incurred]]*3)</f>
        <v>50678</v>
      </c>
      <c r="H56" s="14">
        <f>SUMIFS(Expected_CF[Expected_Premium],Expected_CF[ICG],CF_Gen_4[[#This Row],[ICG]],Expected_CF[Incurred],CF_Gen_4[[#This Row],[Incurred]])</f>
        <v>0</v>
      </c>
      <c r="I56" s="14">
        <f>SUMIFS(Expected_CF[Expected_Commission],Expected_CF[ICG],CF_Gen_4[[#This Row],[ICG]],Expected_CF[Incurred],CF_Gen_4[[#This Row],[Incurred]])</f>
        <v>0</v>
      </c>
      <c r="J56" s="14">
        <f>IF(CF_Gen_4[[#This Row],[Contract]]="IC",SUMIFS(Expected_CF[Expected_Acquisition],Expected_CF[ICG],CF_Gen_4[[#This Row],[ICG]],Expected_CF[Incurred],CF_Gen_4[[#This Row],[Incurred]]),0)</f>
        <v>0</v>
      </c>
      <c r="K56" s="14">
        <f>SUMIFS(Earned[Earned_Premium],Earned[ICG],CF_Gen_4[[#This Row],[ICG]],Earned[Incurred],CF_Gen_4[[#This Row],[Incurred]])</f>
        <v>-457656860.88173229</v>
      </c>
      <c r="L56" s="14">
        <f>SUMIFS(Earned[Earned_Commission],Earned[ICG],CF_Gen_4[[#This Row],[ICG]],Earned[Incurred],CF_Gen_4[[#This Row],[Incurred]])</f>
        <v>148738479.78656301</v>
      </c>
      <c r="M56" s="18">
        <f>_xlfn.XLOOKUP(CF_Gen_4[[#This Row],[ICG]],Assumptions[ICG],Assumptions[Loss_Ratio])</f>
        <v>0.38</v>
      </c>
      <c r="N56" s="18">
        <f>_xlfn.XLOOKUP(CF_Gen_4[[#This Row],[ICG]],Assumptions[ICG],Assumptions[Risk_Adjustment_Ratio])</f>
        <v>0.13</v>
      </c>
      <c r="O56" s="18">
        <f>_xlfn.XLOOKUP(CF_Gen_4[[#This Row],[ICG]],Assumptions[ICG],Assumptions[PME_Ratio])</f>
        <v>0</v>
      </c>
      <c r="P56" s="18">
        <f>_xlfn.XLOOKUP(CF_Gen_4[[#This Row],[ICG]],Assumptions[ICG],Assumptions[ULAE_Ratio])</f>
        <v>0</v>
      </c>
      <c r="Q56" s="18">
        <f>_xlfn.XLOOKUP(CF_Gen_4[[#This Row],[ICG]],Assumptions[ICG],Assumptions[Cancellation_Ratio])</f>
        <v>7.0000000000000007E-2</v>
      </c>
      <c r="R56" s="18">
        <f>_xlfn.XLOOKUP(CF_Gen_4[[#This Row],[ICG]],Assumptions[ICG],Assumptions[Premium_Refund_Ratio])</f>
        <v>0.5</v>
      </c>
      <c r="S56" s="18">
        <f>IF(CF_Gen_4[[#This Row],[Contract]]="RC",_xlfn.XLOOKUP(CF_Gen_4[[#This Row],[ICG]],Assumptions[ICG],Assumptions[NPR_Ratio]),0)</f>
        <v>2.8000000000000001E-2</v>
      </c>
      <c r="T56" s="17">
        <f>T55*(1-CF_Gen_4[[#This Row],[Cancellation_Ratio]])</f>
        <v>1.9864572442944758E-2</v>
      </c>
      <c r="U56" s="19">
        <f>IF(CF_Gen_4[[#This Row],[Incurred]]&lt;=CF_Gen_4[[#This Row],[Valuation]],CF_Gen_4[[#This Row],[Expected_Premium]],-CF_Gen_4[[#This Row],[Probability_of_Inforce]]*CF_Gen_4[[#This Row],[Premium_Refund_Ratio]]*CF_Gen_4[[#This Row],[Cancellation_Ratio]]*SUM(K56:K$105))</f>
        <v>6682001.0322419591</v>
      </c>
      <c r="V5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Row],[Cancellation_Ratio]]*SUM(L56:L$105))</f>
        <v>-2171650.3354786364</v>
      </c>
      <c r="W56" s="19">
        <f>CF_Gen_4[[#This Row],[Expected_Acquisition]]</f>
        <v>0</v>
      </c>
      <c r="X5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6" s="19">
        <f>-CF_Gen_4[[#This Row],[Probability_of_Inforce]]*CF_Gen_4[[#This Row],[Earned_Premium]]*(1-CF_Gen_4[[#This Row],[Cancellation_Ratio]])*CF_Gen_4[[#This Row],[Loss_Ratio]]</f>
        <v>3212815.1901963376</v>
      </c>
      <c r="Z56" s="19">
        <f>CF_Gen_4[[#This Row],[Exp_Claim]]*CF_Gen_4[[#This Row],[Risk_Adjustment_Ratio]]</f>
        <v>417665.97472552391</v>
      </c>
      <c r="AA56" s="19">
        <f>IF(CF_Gen_4[[#This Row],[Contract]]="RC",-CF_Gen_4[[#This Row],[NPR_Ratio]]*CF_Gen_4[[#This Row],[Exp_Claim]],0)</f>
        <v>-89958.825325497455</v>
      </c>
      <c r="AB56" s="19">
        <f>SUMIFS(Actual_CF[Actual_Premium],Actual_CF[ICG],CF_Gen_4[[#This Row],[ICG]],Actual_CF[Incurred],CF_Gen_4[[#This Row],[Incurred]])</f>
        <v>0</v>
      </c>
      <c r="AC56" s="19">
        <f>SUMIFS(Actual_CF[Actual_Commission],Actual_CF[ICG],CF_Gen_4[[#This Row],[ICG]],Actual_CF[Incurred],CF_Gen_4[[#This Row],[Incurred]])</f>
        <v>0</v>
      </c>
      <c r="AD56" s="19">
        <f>SUMIFS(Actual_CF[Actual_Acquisition],Actual_CF[ICG],CF_Gen_4[[#This Row],[ICG]],Actual_CF[Incurred],CF_Gen_4[[#This Row],[Incurred]])</f>
        <v>0</v>
      </c>
    </row>
    <row r="57" spans="1:30">
      <c r="A57" t="str">
        <f t="shared" si="1"/>
        <v>#2025#RC-Property</v>
      </c>
      <c r="B57">
        <f>_xlfn.XLOOKUP(CF_Gen_4[[#This Row],[ICG]],ICG[ICG],ICG[Cohort])</f>
        <v>2025</v>
      </c>
      <c r="C57" t="str">
        <f>_xlfn.XLOOKUP(CF_Gen_4[[#This Row],[ICG]],ICG[ICG],ICG[Portfolio])</f>
        <v>RC-Property</v>
      </c>
      <c r="D57" t="str">
        <f>_xlfn.XLOOKUP(CF_Gen_4[[#This Row],[ICG]],ICG[ICG],ICG[Contract])</f>
        <v>RC</v>
      </c>
      <c r="E57" s="2">
        <f t="shared" si="0"/>
        <v>45930</v>
      </c>
      <c r="F57">
        <v>56</v>
      </c>
      <c r="G57" s="2">
        <f>EOMONTH(DATE(YEAR(CF_Gen_4[[#This Row],[Valuation]])-1,12,31),CF_Gen_4[[#This Row],['#Incurred]]*3)</f>
        <v>50770</v>
      </c>
      <c r="H57" s="14">
        <f>SUMIFS(Expected_CF[Expected_Premium],Expected_CF[ICG],CF_Gen_4[[#This Row],[ICG]],Expected_CF[Incurred],CF_Gen_4[[#This Row],[Incurred]])</f>
        <v>0</v>
      </c>
      <c r="I57" s="14">
        <f>SUMIFS(Expected_CF[Expected_Commission],Expected_CF[ICG],CF_Gen_4[[#This Row],[ICG]],Expected_CF[Incurred],CF_Gen_4[[#This Row],[Incurred]])</f>
        <v>0</v>
      </c>
      <c r="J57" s="14">
        <f>IF(CF_Gen_4[[#This Row],[Contract]]="IC",SUMIFS(Expected_CF[Expected_Acquisition],Expected_CF[ICG],CF_Gen_4[[#This Row],[ICG]],Expected_CF[Incurred],CF_Gen_4[[#This Row],[Incurred]]),0)</f>
        <v>0</v>
      </c>
      <c r="K57" s="14">
        <f>SUMIFS(Earned[Earned_Premium],Earned[ICG],CF_Gen_4[[#This Row],[ICG]],Earned[Incurred],CF_Gen_4[[#This Row],[Incurred]])</f>
        <v>-457656860.88173229</v>
      </c>
      <c r="L57" s="14">
        <f>SUMIFS(Earned[Earned_Commission],Earned[ICG],CF_Gen_4[[#This Row],[ICG]],Earned[Incurred],CF_Gen_4[[#This Row],[Incurred]])</f>
        <v>148738479.78656301</v>
      </c>
      <c r="M57" s="18">
        <f>_xlfn.XLOOKUP(CF_Gen_4[[#This Row],[ICG]],Assumptions[ICG],Assumptions[Loss_Ratio])</f>
        <v>0.38</v>
      </c>
      <c r="N57" s="18">
        <f>_xlfn.XLOOKUP(CF_Gen_4[[#This Row],[ICG]],Assumptions[ICG],Assumptions[Risk_Adjustment_Ratio])</f>
        <v>0.13</v>
      </c>
      <c r="O57" s="18">
        <f>_xlfn.XLOOKUP(CF_Gen_4[[#This Row],[ICG]],Assumptions[ICG],Assumptions[PME_Ratio])</f>
        <v>0</v>
      </c>
      <c r="P57" s="18">
        <f>_xlfn.XLOOKUP(CF_Gen_4[[#This Row],[ICG]],Assumptions[ICG],Assumptions[ULAE_Ratio])</f>
        <v>0</v>
      </c>
      <c r="Q57" s="18">
        <f>_xlfn.XLOOKUP(CF_Gen_4[[#This Row],[ICG]],Assumptions[ICG],Assumptions[Cancellation_Ratio])</f>
        <v>7.0000000000000007E-2</v>
      </c>
      <c r="R57" s="18">
        <f>_xlfn.XLOOKUP(CF_Gen_4[[#This Row],[ICG]],Assumptions[ICG],Assumptions[Premium_Refund_Ratio])</f>
        <v>0.5</v>
      </c>
      <c r="S57" s="18">
        <f>IF(CF_Gen_4[[#This Row],[Contract]]="RC",_xlfn.XLOOKUP(CF_Gen_4[[#This Row],[ICG]],Assumptions[ICG],Assumptions[NPR_Ratio]),0)</f>
        <v>2.8000000000000001E-2</v>
      </c>
      <c r="T57" s="17">
        <f>T56*(1-CF_Gen_4[[#This Row],[Cancellation_Ratio]])</f>
        <v>1.8474052371938623E-2</v>
      </c>
      <c r="U57" s="19">
        <f>IF(CF_Gen_4[[#This Row],[Incurred]]&lt;=CF_Gen_4[[#This Row],[Valuation]],CF_Gen_4[[#This Row],[Expected_Premium]],-CF_Gen_4[[#This Row],[Probability_of_Inforce]]*CF_Gen_4[[#This Row],[Premium_Refund_Ratio]]*CF_Gen_4[[#This Row],[Cancellation_Ratio]]*SUM(K57:K$105))</f>
        <v>5918343.7714143051</v>
      </c>
      <c r="V5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Row],[Cancellation_Ratio]]*SUM(L57:L$105))</f>
        <v>-1923461.7257096497</v>
      </c>
      <c r="W57" s="19">
        <f>CF_Gen_4[[#This Row],[Expected_Acquisition]]</f>
        <v>0</v>
      </c>
      <c r="X5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7" s="19">
        <f>-CF_Gen_4[[#This Row],[Probability_of_Inforce]]*CF_Gen_4[[#This Row],[Earned_Premium]]*(1-CF_Gen_4[[#This Row],[Cancellation_Ratio]])*CF_Gen_4[[#This Row],[Loss_Ratio]]</f>
        <v>2987918.1268825936</v>
      </c>
      <c r="Z57" s="19">
        <f>CF_Gen_4[[#This Row],[Exp_Claim]]*CF_Gen_4[[#This Row],[Risk_Adjustment_Ratio]]</f>
        <v>388429.35649473721</v>
      </c>
      <c r="AA57" s="19">
        <f>IF(CF_Gen_4[[#This Row],[Contract]]="RC",-CF_Gen_4[[#This Row],[NPR_Ratio]]*CF_Gen_4[[#This Row],[Exp_Claim]],0)</f>
        <v>-83661.707552712629</v>
      </c>
      <c r="AB57" s="19">
        <f>SUMIFS(Actual_CF[Actual_Premium],Actual_CF[ICG],CF_Gen_4[[#This Row],[ICG]],Actual_CF[Incurred],CF_Gen_4[[#This Row],[Incurred]])</f>
        <v>0</v>
      </c>
      <c r="AC57" s="19">
        <f>SUMIFS(Actual_CF[Actual_Commission],Actual_CF[ICG],CF_Gen_4[[#This Row],[ICG]],Actual_CF[Incurred],CF_Gen_4[[#This Row],[Incurred]])</f>
        <v>0</v>
      </c>
      <c r="AD57" s="19">
        <f>SUMIFS(Actual_CF[Actual_Acquisition],Actual_CF[ICG],CF_Gen_4[[#This Row],[ICG]],Actual_CF[Incurred],CF_Gen_4[[#This Row],[Incurred]])</f>
        <v>0</v>
      </c>
    </row>
    <row r="58" spans="1:30">
      <c r="A58" t="str">
        <f t="shared" si="1"/>
        <v>#2025#RC-Property</v>
      </c>
      <c r="B58">
        <f>_xlfn.XLOOKUP(CF_Gen_4[[#This Row],[ICG]],ICG[ICG],ICG[Cohort])</f>
        <v>2025</v>
      </c>
      <c r="C58" t="str">
        <f>_xlfn.XLOOKUP(CF_Gen_4[[#This Row],[ICG]],ICG[ICG],ICG[Portfolio])</f>
        <v>RC-Property</v>
      </c>
      <c r="D58" t="str">
        <f>_xlfn.XLOOKUP(CF_Gen_4[[#This Row],[ICG]],ICG[ICG],ICG[Contract])</f>
        <v>RC</v>
      </c>
      <c r="E58" s="2">
        <f t="shared" si="0"/>
        <v>45930</v>
      </c>
      <c r="F58">
        <v>57</v>
      </c>
      <c r="G58" s="2">
        <f>EOMONTH(DATE(YEAR(CF_Gen_4[[#This Row],[Valuation]])-1,12,31),CF_Gen_4[[#This Row],['#Incurred]]*3)</f>
        <v>50860</v>
      </c>
      <c r="H58" s="14">
        <f>SUMIFS(Expected_CF[Expected_Premium],Expected_CF[ICG],CF_Gen_4[[#This Row],[ICG]],Expected_CF[Incurred],CF_Gen_4[[#This Row],[Incurred]])</f>
        <v>0</v>
      </c>
      <c r="I58" s="14">
        <f>SUMIFS(Expected_CF[Expected_Commission],Expected_CF[ICG],CF_Gen_4[[#This Row],[ICG]],Expected_CF[Incurred],CF_Gen_4[[#This Row],[Incurred]])</f>
        <v>0</v>
      </c>
      <c r="J58" s="14">
        <f>IF(CF_Gen_4[[#This Row],[Contract]]="IC",SUMIFS(Expected_CF[Expected_Acquisition],Expected_CF[ICG],CF_Gen_4[[#This Row],[ICG]],Expected_CF[Incurred],CF_Gen_4[[#This Row],[Incurred]]),0)</f>
        <v>0</v>
      </c>
      <c r="K58" s="14">
        <f>SUMIFS(Earned[Earned_Premium],Earned[ICG],CF_Gen_4[[#This Row],[ICG]],Earned[Incurred],CF_Gen_4[[#This Row],[Incurred]])</f>
        <v>-442401632.18567461</v>
      </c>
      <c r="L58" s="14">
        <f>SUMIFS(Earned[Earned_Commission],Earned[ICG],CF_Gen_4[[#This Row],[ICG]],Earned[Incurred],CF_Gen_4[[#This Row],[Incurred]])</f>
        <v>143780530.46034428</v>
      </c>
      <c r="M58" s="18">
        <f>_xlfn.XLOOKUP(CF_Gen_4[[#This Row],[ICG]],Assumptions[ICG],Assumptions[Loss_Ratio])</f>
        <v>0.38</v>
      </c>
      <c r="N58" s="18">
        <f>_xlfn.XLOOKUP(CF_Gen_4[[#This Row],[ICG]],Assumptions[ICG],Assumptions[Risk_Adjustment_Ratio])</f>
        <v>0.13</v>
      </c>
      <c r="O58" s="18">
        <f>_xlfn.XLOOKUP(CF_Gen_4[[#This Row],[ICG]],Assumptions[ICG],Assumptions[PME_Ratio])</f>
        <v>0</v>
      </c>
      <c r="P58" s="18">
        <f>_xlfn.XLOOKUP(CF_Gen_4[[#This Row],[ICG]],Assumptions[ICG],Assumptions[ULAE_Ratio])</f>
        <v>0</v>
      </c>
      <c r="Q58" s="18">
        <f>_xlfn.XLOOKUP(CF_Gen_4[[#This Row],[ICG]],Assumptions[ICG],Assumptions[Cancellation_Ratio])</f>
        <v>7.0000000000000007E-2</v>
      </c>
      <c r="R58" s="18">
        <f>_xlfn.XLOOKUP(CF_Gen_4[[#This Row],[ICG]],Assumptions[ICG],Assumptions[Premium_Refund_Ratio])</f>
        <v>0.5</v>
      </c>
      <c r="S58" s="18">
        <f>IF(CF_Gen_4[[#This Row],[Contract]]="RC",_xlfn.XLOOKUP(CF_Gen_4[[#This Row],[ICG]],Assumptions[ICG],Assumptions[NPR_Ratio]),0)</f>
        <v>2.8000000000000001E-2</v>
      </c>
      <c r="T58" s="17">
        <f>T57*(1-CF_Gen_4[[#This Row],[Cancellation_Ratio]])</f>
        <v>1.7180868705902918E-2</v>
      </c>
      <c r="U58" s="19">
        <f>IF(CF_Gen_4[[#This Row],[Incurred]]&lt;=CF_Gen_4[[#This Row],[Valuation]],CF_Gen_4[[#This Row],[Expected_Premium]],-CF_Gen_4[[#This Row],[Probability_of_Inforce]]*CF_Gen_4[[#This Row],[Premium_Refund_Ratio]]*CF_Gen_4[[#This Row],[Cancellation_Ratio]]*SUM(K58:K$105))</f>
        <v>5228856.7220445396</v>
      </c>
      <c r="V5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Row],[Cancellation_Ratio]]*SUM(L58:L$105))</f>
        <v>-1699378.4346644755</v>
      </c>
      <c r="W58" s="19">
        <f>CF_Gen_4[[#This Row],[Expected_Acquisition]]</f>
        <v>0</v>
      </c>
      <c r="X5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8" s="19">
        <f>-CF_Gen_4[[#This Row],[Probability_of_Inforce]]*CF_Gen_4[[#This Row],[Earned_Premium]]*(1-CF_Gen_4[[#This Row],[Cancellation_Ratio]])*CF_Gen_4[[#This Row],[Loss_Ratio]]</f>
        <v>2686138.3960674517</v>
      </c>
      <c r="Z58" s="19">
        <f>CF_Gen_4[[#This Row],[Exp_Claim]]*CF_Gen_4[[#This Row],[Risk_Adjustment_Ratio]]</f>
        <v>349197.99148876872</v>
      </c>
      <c r="AA58" s="19">
        <f>IF(CF_Gen_4[[#This Row],[Contract]]="RC",-CF_Gen_4[[#This Row],[NPR_Ratio]]*CF_Gen_4[[#This Row],[Exp_Claim]],0)</f>
        <v>-75211.87508988865</v>
      </c>
      <c r="AB58" s="19">
        <f>SUMIFS(Actual_CF[Actual_Premium],Actual_CF[ICG],CF_Gen_4[[#This Row],[ICG]],Actual_CF[Incurred],CF_Gen_4[[#This Row],[Incurred]])</f>
        <v>0</v>
      </c>
      <c r="AC58" s="19">
        <f>SUMIFS(Actual_CF[Actual_Commission],Actual_CF[ICG],CF_Gen_4[[#This Row],[ICG]],Actual_CF[Incurred],CF_Gen_4[[#This Row],[Incurred]])</f>
        <v>0</v>
      </c>
      <c r="AD58" s="19">
        <f>SUMIFS(Actual_CF[Actual_Acquisition],Actual_CF[ICG],CF_Gen_4[[#This Row],[ICG]],Actual_CF[Incurred],CF_Gen_4[[#This Row],[Incurred]])</f>
        <v>0</v>
      </c>
    </row>
    <row r="59" spans="1:30">
      <c r="A59" t="str">
        <f t="shared" si="1"/>
        <v>#2025#RC-Property</v>
      </c>
      <c r="B59">
        <f>_xlfn.XLOOKUP(CF_Gen_4[[#This Row],[ICG]],ICG[ICG],ICG[Cohort])</f>
        <v>2025</v>
      </c>
      <c r="C59" t="str">
        <f>_xlfn.XLOOKUP(CF_Gen_4[[#This Row],[ICG]],ICG[ICG],ICG[Portfolio])</f>
        <v>RC-Property</v>
      </c>
      <c r="D59" t="str">
        <f>_xlfn.XLOOKUP(CF_Gen_4[[#This Row],[ICG]],ICG[ICG],ICG[Contract])</f>
        <v>RC</v>
      </c>
      <c r="E59" s="2">
        <f t="shared" si="0"/>
        <v>45930</v>
      </c>
      <c r="F59">
        <v>58</v>
      </c>
      <c r="G59" s="2">
        <f>EOMONTH(DATE(YEAR(CF_Gen_4[[#This Row],[Valuation]])-1,12,31),CF_Gen_4[[#This Row],['#Incurred]]*3)</f>
        <v>50951</v>
      </c>
      <c r="H59" s="14">
        <f>SUMIFS(Expected_CF[Expected_Premium],Expected_CF[ICG],CF_Gen_4[[#This Row],[ICG]],Expected_CF[Incurred],CF_Gen_4[[#This Row],[Incurred]])</f>
        <v>0</v>
      </c>
      <c r="I59" s="14">
        <f>SUMIFS(Expected_CF[Expected_Commission],Expected_CF[ICG],CF_Gen_4[[#This Row],[ICG]],Expected_CF[Incurred],CF_Gen_4[[#This Row],[Incurred]])</f>
        <v>0</v>
      </c>
      <c r="J59" s="14">
        <f>IF(CF_Gen_4[[#This Row],[Contract]]="IC",SUMIFS(Expected_CF[Expected_Acquisition],Expected_CF[ICG],CF_Gen_4[[#This Row],[ICG]],Expected_CF[Incurred],CF_Gen_4[[#This Row],[Incurred]]),0)</f>
        <v>0</v>
      </c>
      <c r="K59" s="14">
        <f>SUMIFS(Earned[Earned_Premium],Earned[ICG],CF_Gen_4[[#This Row],[ICG]],Earned[Incurred],CF_Gen_4[[#This Row],[Incurred]])</f>
        <v>-427146403.48961687</v>
      </c>
      <c r="L59" s="14">
        <f>SUMIFS(Earned[Earned_Commission],Earned[ICG],CF_Gen_4[[#This Row],[ICG]],Earned[Incurred],CF_Gen_4[[#This Row],[Incurred]])</f>
        <v>138822581.1341255</v>
      </c>
      <c r="M59" s="18">
        <f>_xlfn.XLOOKUP(CF_Gen_4[[#This Row],[ICG]],Assumptions[ICG],Assumptions[Loss_Ratio])</f>
        <v>0.38</v>
      </c>
      <c r="N59" s="18">
        <f>_xlfn.XLOOKUP(CF_Gen_4[[#This Row],[ICG]],Assumptions[ICG],Assumptions[Risk_Adjustment_Ratio])</f>
        <v>0.13</v>
      </c>
      <c r="O59" s="18">
        <f>_xlfn.XLOOKUP(CF_Gen_4[[#This Row],[ICG]],Assumptions[ICG],Assumptions[PME_Ratio])</f>
        <v>0</v>
      </c>
      <c r="P59" s="18">
        <f>_xlfn.XLOOKUP(CF_Gen_4[[#This Row],[ICG]],Assumptions[ICG],Assumptions[ULAE_Ratio])</f>
        <v>0</v>
      </c>
      <c r="Q59" s="18">
        <f>_xlfn.XLOOKUP(CF_Gen_4[[#This Row],[ICG]],Assumptions[ICG],Assumptions[Cancellation_Ratio])</f>
        <v>7.0000000000000007E-2</v>
      </c>
      <c r="R59" s="18">
        <f>_xlfn.XLOOKUP(CF_Gen_4[[#This Row],[ICG]],Assumptions[ICG],Assumptions[Premium_Refund_Ratio])</f>
        <v>0.5</v>
      </c>
      <c r="S59" s="18">
        <f>IF(CF_Gen_4[[#This Row],[Contract]]="RC",_xlfn.XLOOKUP(CF_Gen_4[[#This Row],[ICG]],Assumptions[ICG],Assumptions[NPR_Ratio]),0)</f>
        <v>2.8000000000000001E-2</v>
      </c>
      <c r="T59" s="17">
        <f>T58*(1-CF_Gen_4[[#This Row],[Cancellation_Ratio]])</f>
        <v>1.5978207896489714E-2</v>
      </c>
      <c r="U59" s="19">
        <f>IF(CF_Gen_4[[#This Row],[Incurred]]&lt;=CF_Gen_4[[#This Row],[Valuation]],CF_Gen_4[[#This Row],[Expected_Premium]],-CF_Gen_4[[#This Row],[Probability_of_Inforce]]*CF_Gen_4[[#This Row],[Premium_Refund_Ratio]]*CF_Gen_4[[#This Row],[Cancellation_Ratio]]*SUM(K59:K$105))</f>
        <v>4615429.267653103</v>
      </c>
      <c r="V5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Row],[Cancellation_Ratio]]*SUM(L59:L$105))</f>
        <v>-1500014.5119872587</v>
      </c>
      <c r="W59" s="19">
        <f>CF_Gen_4[[#This Row],[Expected_Acquisition]]</f>
        <v>0</v>
      </c>
      <c r="X5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59" s="19">
        <f>-CF_Gen_4[[#This Row],[Probability_of_Inforce]]*CF_Gen_4[[#This Row],[Earned_Premium]]*(1-CF_Gen_4[[#This Row],[Cancellation_Ratio]])*CF_Gen_4[[#This Row],[Loss_Ratio]]</f>
        <v>2411967.028744705</v>
      </c>
      <c r="Z59" s="19">
        <f>CF_Gen_4[[#This Row],[Exp_Claim]]*CF_Gen_4[[#This Row],[Risk_Adjustment_Ratio]]</f>
        <v>313555.71373681165</v>
      </c>
      <c r="AA59" s="19">
        <f>IF(CF_Gen_4[[#This Row],[Contract]]="RC",-CF_Gen_4[[#This Row],[NPR_Ratio]]*CF_Gen_4[[#This Row],[Exp_Claim]],0)</f>
        <v>-67535.076804851735</v>
      </c>
      <c r="AB59" s="19">
        <f>SUMIFS(Actual_CF[Actual_Premium],Actual_CF[ICG],CF_Gen_4[[#This Row],[ICG]],Actual_CF[Incurred],CF_Gen_4[[#This Row],[Incurred]])</f>
        <v>0</v>
      </c>
      <c r="AC59" s="19">
        <f>SUMIFS(Actual_CF[Actual_Commission],Actual_CF[ICG],CF_Gen_4[[#This Row],[ICG]],Actual_CF[Incurred],CF_Gen_4[[#This Row],[Incurred]])</f>
        <v>0</v>
      </c>
      <c r="AD59" s="19">
        <f>SUMIFS(Actual_CF[Actual_Acquisition],Actual_CF[ICG],CF_Gen_4[[#This Row],[ICG]],Actual_CF[Incurred],CF_Gen_4[[#This Row],[Incurred]])</f>
        <v>0</v>
      </c>
    </row>
    <row r="60" spans="1:30">
      <c r="A60" t="str">
        <f t="shared" si="1"/>
        <v>#2025#RC-Property</v>
      </c>
      <c r="B60">
        <f>_xlfn.XLOOKUP(CF_Gen_4[[#This Row],[ICG]],ICG[ICG],ICG[Cohort])</f>
        <v>2025</v>
      </c>
      <c r="C60" t="str">
        <f>_xlfn.XLOOKUP(CF_Gen_4[[#This Row],[ICG]],ICG[ICG],ICG[Portfolio])</f>
        <v>RC-Property</v>
      </c>
      <c r="D60" t="str">
        <f>_xlfn.XLOOKUP(CF_Gen_4[[#This Row],[ICG]],ICG[ICG],ICG[Contract])</f>
        <v>RC</v>
      </c>
      <c r="E60" s="2">
        <f t="shared" si="0"/>
        <v>45930</v>
      </c>
      <c r="F60">
        <v>59</v>
      </c>
      <c r="G60" s="2">
        <f>EOMONTH(DATE(YEAR(CF_Gen_4[[#This Row],[Valuation]])-1,12,31),CF_Gen_4[[#This Row],['#Incurred]]*3)</f>
        <v>51043</v>
      </c>
      <c r="H60" s="14">
        <f>SUMIFS(Expected_CF[Expected_Premium],Expected_CF[ICG],CF_Gen_4[[#This Row],[ICG]],Expected_CF[Incurred],CF_Gen_4[[#This Row],[Incurred]])</f>
        <v>0</v>
      </c>
      <c r="I60" s="14">
        <f>SUMIFS(Expected_CF[Expected_Commission],Expected_CF[ICG],CF_Gen_4[[#This Row],[ICG]],Expected_CF[Incurred],CF_Gen_4[[#This Row],[Incurred]])</f>
        <v>0</v>
      </c>
      <c r="J60" s="14">
        <f>IF(CF_Gen_4[[#This Row],[Contract]]="IC",SUMIFS(Expected_CF[Expected_Acquisition],Expected_CF[ICG],CF_Gen_4[[#This Row],[ICG]],Expected_CF[Incurred],CF_Gen_4[[#This Row],[Incurred]]),0)</f>
        <v>0</v>
      </c>
      <c r="K60" s="14">
        <f>SUMIFS(Earned[Earned_Premium],Earned[ICG],CF_Gen_4[[#This Row],[ICG]],Earned[Incurred],CF_Gen_4[[#This Row],[Incurred]])</f>
        <v>-411891174.79355907</v>
      </c>
      <c r="L60" s="14">
        <f>SUMIFS(Earned[Earned_Commission],Earned[ICG],CF_Gen_4[[#This Row],[ICG]],Earned[Incurred],CF_Gen_4[[#This Row],[Incurred]])</f>
        <v>133864631.80790672</v>
      </c>
      <c r="M60" s="18">
        <f>_xlfn.XLOOKUP(CF_Gen_4[[#This Row],[ICG]],Assumptions[ICG],Assumptions[Loss_Ratio])</f>
        <v>0.38</v>
      </c>
      <c r="N60" s="18">
        <f>_xlfn.XLOOKUP(CF_Gen_4[[#This Row],[ICG]],Assumptions[ICG],Assumptions[Risk_Adjustment_Ratio])</f>
        <v>0.13</v>
      </c>
      <c r="O60" s="18">
        <f>_xlfn.XLOOKUP(CF_Gen_4[[#This Row],[ICG]],Assumptions[ICG],Assumptions[PME_Ratio])</f>
        <v>0</v>
      </c>
      <c r="P60" s="18">
        <f>_xlfn.XLOOKUP(CF_Gen_4[[#This Row],[ICG]],Assumptions[ICG],Assumptions[ULAE_Ratio])</f>
        <v>0</v>
      </c>
      <c r="Q60" s="18">
        <f>_xlfn.XLOOKUP(CF_Gen_4[[#This Row],[ICG]],Assumptions[ICG],Assumptions[Cancellation_Ratio])</f>
        <v>7.0000000000000007E-2</v>
      </c>
      <c r="R60" s="18">
        <f>_xlfn.XLOOKUP(CF_Gen_4[[#This Row],[ICG]],Assumptions[ICG],Assumptions[Premium_Refund_Ratio])</f>
        <v>0.5</v>
      </c>
      <c r="S60" s="18">
        <f>IF(CF_Gen_4[[#This Row],[Contract]]="RC",_xlfn.XLOOKUP(CF_Gen_4[[#This Row],[ICG]],Assumptions[ICG],Assumptions[NPR_Ratio]),0)</f>
        <v>2.8000000000000001E-2</v>
      </c>
      <c r="T60" s="17">
        <f>T59*(1-CF_Gen_4[[#This Row],[Cancellation_Ratio]])</f>
        <v>1.4859733343735432E-2</v>
      </c>
      <c r="U60" s="19">
        <f>IF(CF_Gen_4[[#This Row],[Incurred]]&lt;=CF_Gen_4[[#This Row],[Valuation]],CF_Gen_4[[#This Row],[Expected_Premium]],-CF_Gen_4[[#This Row],[Probability_of_Inforce]]*CF_Gen_4[[#This Row],[Premium_Refund_Ratio]]*CF_Gen_4[[#This Row],[Cancellation_Ratio]]*SUM(K60:K$105))</f>
        <v>4070194.3610066893</v>
      </c>
      <c r="V6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Row],[Cancellation_Ratio]]*SUM(L60:L$105))</f>
        <v>-1322813.167327174</v>
      </c>
      <c r="W60" s="19">
        <f>CF_Gen_4[[#This Row],[Expected_Acquisition]]</f>
        <v>0</v>
      </c>
      <c r="X6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0" s="19">
        <f>-CF_Gen_4[[#This Row],[Probability_of_Inforce]]*CF_Gen_4[[#This Row],[Earned_Premium]]*(1-CF_Gen_4[[#This Row],[Cancellation_Ratio]])*CF_Gen_4[[#This Row],[Loss_Ratio]]</f>
        <v>2163017.5747064115</v>
      </c>
      <c r="Z60" s="19">
        <f>CF_Gen_4[[#This Row],[Exp_Claim]]*CF_Gen_4[[#This Row],[Risk_Adjustment_Ratio]]</f>
        <v>281192.28471183352</v>
      </c>
      <c r="AA60" s="19">
        <f>IF(CF_Gen_4[[#This Row],[Contract]]="RC",-CF_Gen_4[[#This Row],[NPR_Ratio]]*CF_Gen_4[[#This Row],[Exp_Claim]],0)</f>
        <v>-60564.492091779524</v>
      </c>
      <c r="AB60" s="19">
        <f>SUMIFS(Actual_CF[Actual_Premium],Actual_CF[ICG],CF_Gen_4[[#This Row],[ICG]],Actual_CF[Incurred],CF_Gen_4[[#This Row],[Incurred]])</f>
        <v>0</v>
      </c>
      <c r="AC60" s="19">
        <f>SUMIFS(Actual_CF[Actual_Commission],Actual_CF[ICG],CF_Gen_4[[#This Row],[ICG]],Actual_CF[Incurred],CF_Gen_4[[#This Row],[Incurred]])</f>
        <v>0</v>
      </c>
      <c r="AD60" s="19">
        <f>SUMIFS(Actual_CF[Actual_Acquisition],Actual_CF[ICG],CF_Gen_4[[#This Row],[ICG]],Actual_CF[Incurred],CF_Gen_4[[#This Row],[Incurred]])</f>
        <v>0</v>
      </c>
    </row>
    <row r="61" spans="1:30">
      <c r="A61" t="str">
        <f t="shared" si="1"/>
        <v>#2025#RC-Property</v>
      </c>
      <c r="B61">
        <f>_xlfn.XLOOKUP(CF_Gen_4[[#This Row],[ICG]],ICG[ICG],ICG[Cohort])</f>
        <v>2025</v>
      </c>
      <c r="C61" t="str">
        <f>_xlfn.XLOOKUP(CF_Gen_4[[#This Row],[ICG]],ICG[ICG],ICG[Portfolio])</f>
        <v>RC-Property</v>
      </c>
      <c r="D61" t="str">
        <f>_xlfn.XLOOKUP(CF_Gen_4[[#This Row],[ICG]],ICG[ICG],ICG[Contract])</f>
        <v>RC</v>
      </c>
      <c r="E61" s="2">
        <f t="shared" si="0"/>
        <v>45930</v>
      </c>
      <c r="F61">
        <v>60</v>
      </c>
      <c r="G61" s="2">
        <f>EOMONTH(DATE(YEAR(CF_Gen_4[[#This Row],[Valuation]])-1,12,31),CF_Gen_4[[#This Row],['#Incurred]]*3)</f>
        <v>51135</v>
      </c>
      <c r="H61" s="14">
        <f>SUMIFS(Expected_CF[Expected_Premium],Expected_CF[ICG],CF_Gen_4[[#This Row],[ICG]],Expected_CF[Incurred],CF_Gen_4[[#This Row],[Incurred]])</f>
        <v>0</v>
      </c>
      <c r="I61" s="14">
        <f>SUMIFS(Expected_CF[Expected_Commission],Expected_CF[ICG],CF_Gen_4[[#This Row],[ICG]],Expected_CF[Incurred],CF_Gen_4[[#This Row],[Incurred]])</f>
        <v>0</v>
      </c>
      <c r="J61" s="14">
        <f>IF(CF_Gen_4[[#This Row],[Contract]]="IC",SUMIFS(Expected_CF[Expected_Acquisition],Expected_CF[ICG],CF_Gen_4[[#This Row],[ICG]],Expected_CF[Incurred],CF_Gen_4[[#This Row],[Incurred]]),0)</f>
        <v>0</v>
      </c>
      <c r="K61" s="14">
        <f>SUMIFS(Earned[Earned_Premium],Earned[ICG],CF_Gen_4[[#This Row],[ICG]],Earned[Incurred],CF_Gen_4[[#This Row],[Incurred]])</f>
        <v>-411891174.79355907</v>
      </c>
      <c r="L61" s="14">
        <f>SUMIFS(Earned[Earned_Commission],Earned[ICG],CF_Gen_4[[#This Row],[ICG]],Earned[Incurred],CF_Gen_4[[#This Row],[Incurred]])</f>
        <v>133864631.80790672</v>
      </c>
      <c r="M61" s="18">
        <f>_xlfn.XLOOKUP(CF_Gen_4[[#This Row],[ICG]],Assumptions[ICG],Assumptions[Loss_Ratio])</f>
        <v>0.38</v>
      </c>
      <c r="N61" s="18">
        <f>_xlfn.XLOOKUP(CF_Gen_4[[#This Row],[ICG]],Assumptions[ICG],Assumptions[Risk_Adjustment_Ratio])</f>
        <v>0.13</v>
      </c>
      <c r="O61" s="18">
        <f>_xlfn.XLOOKUP(CF_Gen_4[[#This Row],[ICG]],Assumptions[ICG],Assumptions[PME_Ratio])</f>
        <v>0</v>
      </c>
      <c r="P61" s="18">
        <f>_xlfn.XLOOKUP(CF_Gen_4[[#This Row],[ICG]],Assumptions[ICG],Assumptions[ULAE_Ratio])</f>
        <v>0</v>
      </c>
      <c r="Q61" s="18">
        <f>_xlfn.XLOOKUP(CF_Gen_4[[#This Row],[ICG]],Assumptions[ICG],Assumptions[Cancellation_Ratio])</f>
        <v>7.0000000000000007E-2</v>
      </c>
      <c r="R61" s="18">
        <f>_xlfn.XLOOKUP(CF_Gen_4[[#This Row],[ICG]],Assumptions[ICG],Assumptions[Premium_Refund_Ratio])</f>
        <v>0.5</v>
      </c>
      <c r="S61" s="18">
        <f>IF(CF_Gen_4[[#This Row],[Contract]]="RC",_xlfn.XLOOKUP(CF_Gen_4[[#This Row],[ICG]],Assumptions[ICG],Assumptions[NPR_Ratio]),0)</f>
        <v>2.8000000000000001E-2</v>
      </c>
      <c r="T61" s="17">
        <f>T60*(1-CF_Gen_4[[#This Row],[Cancellation_Ratio]])</f>
        <v>1.3819552009673951E-2</v>
      </c>
      <c r="U61" s="19">
        <f>IF(CF_Gen_4[[#This Row],[Incurred]]&lt;=CF_Gen_4[[#This Row],[Valuation]],CF_Gen_4[[#This Row],[Expected_Premium]],-CF_Gen_4[[#This Row],[Probability_of_Inforce]]*CF_Gen_4[[#This Row],[Premium_Refund_Ratio]]*CF_Gen_4[[#This Row],[Cancellation_Ratio]]*SUM(K61:K$105))</f>
        <v>3586055.4528027358</v>
      </c>
      <c r="V6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Row],[Cancellation_Ratio]]*SUM(L61:L$105))</f>
        <v>-1165468.0221608893</v>
      </c>
      <c r="W61" s="19">
        <f>CF_Gen_4[[#This Row],[Expected_Acquisition]]</f>
        <v>0</v>
      </c>
      <c r="X6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1" s="19">
        <f>-CF_Gen_4[[#This Row],[Probability_of_Inforce]]*CF_Gen_4[[#This Row],[Earned_Premium]]*(1-CF_Gen_4[[#This Row],[Cancellation_Ratio]])*CF_Gen_4[[#This Row],[Loss_Ratio]]</f>
        <v>2011606.3444769629</v>
      </c>
      <c r="Z61" s="19">
        <f>CF_Gen_4[[#This Row],[Exp_Claim]]*CF_Gen_4[[#This Row],[Risk_Adjustment_Ratio]]</f>
        <v>261508.82478200519</v>
      </c>
      <c r="AA61" s="19">
        <f>IF(CF_Gen_4[[#This Row],[Contract]]="RC",-CF_Gen_4[[#This Row],[NPR_Ratio]]*CF_Gen_4[[#This Row],[Exp_Claim]],0)</f>
        <v>-56324.977645354964</v>
      </c>
      <c r="AB61" s="19">
        <f>SUMIFS(Actual_CF[Actual_Premium],Actual_CF[ICG],CF_Gen_4[[#This Row],[ICG]],Actual_CF[Incurred],CF_Gen_4[[#This Row],[Incurred]])</f>
        <v>0</v>
      </c>
      <c r="AC61" s="19">
        <f>SUMIFS(Actual_CF[Actual_Commission],Actual_CF[ICG],CF_Gen_4[[#This Row],[ICG]],Actual_CF[Incurred],CF_Gen_4[[#This Row],[Incurred]])</f>
        <v>0</v>
      </c>
      <c r="AD61" s="19">
        <f>SUMIFS(Actual_CF[Actual_Acquisition],Actual_CF[ICG],CF_Gen_4[[#This Row],[ICG]],Actual_CF[Incurred],CF_Gen_4[[#This Row],[Incurred]])</f>
        <v>0</v>
      </c>
    </row>
    <row r="62" spans="1:30">
      <c r="A62" t="str">
        <f t="shared" si="1"/>
        <v>#2025#RC-Property</v>
      </c>
      <c r="B62">
        <f>_xlfn.XLOOKUP(CF_Gen_4[[#This Row],[ICG]],ICG[ICG],ICG[Cohort])</f>
        <v>2025</v>
      </c>
      <c r="C62" t="str">
        <f>_xlfn.XLOOKUP(CF_Gen_4[[#This Row],[ICG]],ICG[ICG],ICG[Portfolio])</f>
        <v>RC-Property</v>
      </c>
      <c r="D62" t="str">
        <f>_xlfn.XLOOKUP(CF_Gen_4[[#This Row],[ICG]],ICG[ICG],ICG[Contract])</f>
        <v>RC</v>
      </c>
      <c r="E62" s="2">
        <f t="shared" si="0"/>
        <v>45930</v>
      </c>
      <c r="F62">
        <v>61</v>
      </c>
      <c r="G62" s="2">
        <f>EOMONTH(DATE(YEAR(CF_Gen_4[[#This Row],[Valuation]])-1,12,31),CF_Gen_4[[#This Row],['#Incurred]]*3)</f>
        <v>51226</v>
      </c>
      <c r="H62" s="14">
        <f>SUMIFS(Expected_CF[Expected_Premium],Expected_CF[ICG],CF_Gen_4[[#This Row],[ICG]],Expected_CF[Incurred],CF_Gen_4[[#This Row],[Incurred]])</f>
        <v>0</v>
      </c>
      <c r="I62" s="14">
        <f>SUMIFS(Expected_CF[Expected_Commission],Expected_CF[ICG],CF_Gen_4[[#This Row],[ICG]],Expected_CF[Incurred],CF_Gen_4[[#This Row],[Incurred]])</f>
        <v>0</v>
      </c>
      <c r="J62" s="14">
        <f>IF(CF_Gen_4[[#This Row],[Contract]]="IC",SUMIFS(Expected_CF[Expected_Acquisition],Expected_CF[ICG],CF_Gen_4[[#This Row],[ICG]],Expected_CF[Incurred],CF_Gen_4[[#This Row],[Incurred]]),0)</f>
        <v>0</v>
      </c>
      <c r="K62" s="14">
        <f>SUMIFS(Earned[Earned_Premium],Earned[ICG],CF_Gen_4[[#This Row],[ICG]],Earned[Incurred],CF_Gen_4[[#This Row],[Incurred]])</f>
        <v>-396635946.0975014</v>
      </c>
      <c r="L62" s="14">
        <f>SUMIFS(Earned[Earned_Commission],Earned[ICG],CF_Gen_4[[#This Row],[ICG]],Earned[Incurred],CF_Gen_4[[#This Row],[Incurred]])</f>
        <v>128906682.48168798</v>
      </c>
      <c r="M62" s="18">
        <f>_xlfn.XLOOKUP(CF_Gen_4[[#This Row],[ICG]],Assumptions[ICG],Assumptions[Loss_Ratio])</f>
        <v>0.38</v>
      </c>
      <c r="N62" s="18">
        <f>_xlfn.XLOOKUP(CF_Gen_4[[#This Row],[ICG]],Assumptions[ICG],Assumptions[Risk_Adjustment_Ratio])</f>
        <v>0.13</v>
      </c>
      <c r="O62" s="18">
        <f>_xlfn.XLOOKUP(CF_Gen_4[[#This Row],[ICG]],Assumptions[ICG],Assumptions[PME_Ratio])</f>
        <v>0</v>
      </c>
      <c r="P62" s="18">
        <f>_xlfn.XLOOKUP(CF_Gen_4[[#This Row],[ICG]],Assumptions[ICG],Assumptions[ULAE_Ratio])</f>
        <v>0</v>
      </c>
      <c r="Q62" s="18">
        <f>_xlfn.XLOOKUP(CF_Gen_4[[#This Row],[ICG]],Assumptions[ICG],Assumptions[Cancellation_Ratio])</f>
        <v>7.0000000000000007E-2</v>
      </c>
      <c r="R62" s="18">
        <f>_xlfn.XLOOKUP(CF_Gen_4[[#This Row],[ICG]],Assumptions[ICG],Assumptions[Premium_Refund_Ratio])</f>
        <v>0.5</v>
      </c>
      <c r="S62" s="18">
        <f>IF(CF_Gen_4[[#This Row],[Contract]]="RC",_xlfn.XLOOKUP(CF_Gen_4[[#This Row],[ICG]],Assumptions[ICG],Assumptions[NPR_Ratio]),0)</f>
        <v>2.8000000000000001E-2</v>
      </c>
      <c r="T62" s="17">
        <f>T61*(1-CF_Gen_4[[#This Row],[Cancellation_Ratio]])</f>
        <v>1.2852183368996774E-2</v>
      </c>
      <c r="U62" s="19">
        <f>IF(CF_Gen_4[[#This Row],[Incurred]]&lt;=CF_Gen_4[[#This Row],[Valuation]],CF_Gen_4[[#This Row],[Expected_Premium]],-CF_Gen_4[[#This Row],[Probability_of_Inforce]]*CF_Gen_4[[#This Row],[Premium_Refund_Ratio]]*CF_Gen_4[[#This Row],[Cancellation_Ratio]]*SUM(K62:K$105))</f>
        <v>3149752.0393784023</v>
      </c>
      <c r="V6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Row],[Cancellation_Ratio]]*SUM(L62:L$105))</f>
        <v>-1023669.4127979809</v>
      </c>
      <c r="W62" s="19">
        <f>CF_Gen_4[[#This Row],[Expected_Acquisition]]</f>
        <v>0</v>
      </c>
      <c r="X6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2" s="19">
        <f>-CF_Gen_4[[#This Row],[Probability_of_Inforce]]*CF_Gen_4[[#This Row],[Earned_Premium]]*(1-CF_Gen_4[[#This Row],[Cancellation_Ratio]])*CF_Gen_4[[#This Row],[Loss_Ratio]]</f>
        <v>1801505.2373871468</v>
      </c>
      <c r="Z62" s="19">
        <f>CF_Gen_4[[#This Row],[Exp_Claim]]*CF_Gen_4[[#This Row],[Risk_Adjustment_Ratio]]</f>
        <v>234195.6808603291</v>
      </c>
      <c r="AA62" s="19">
        <f>IF(CF_Gen_4[[#This Row],[Contract]]="RC",-CF_Gen_4[[#This Row],[NPR_Ratio]]*CF_Gen_4[[#This Row],[Exp_Claim]],0)</f>
        <v>-50442.146646840112</v>
      </c>
      <c r="AB62" s="19">
        <f>SUMIFS(Actual_CF[Actual_Premium],Actual_CF[ICG],CF_Gen_4[[#This Row],[ICG]],Actual_CF[Incurred],CF_Gen_4[[#This Row],[Incurred]])</f>
        <v>0</v>
      </c>
      <c r="AC62" s="19">
        <f>SUMIFS(Actual_CF[Actual_Commission],Actual_CF[ICG],CF_Gen_4[[#This Row],[ICG]],Actual_CF[Incurred],CF_Gen_4[[#This Row],[Incurred]])</f>
        <v>0</v>
      </c>
      <c r="AD62" s="19">
        <f>SUMIFS(Actual_CF[Actual_Acquisition],Actual_CF[ICG],CF_Gen_4[[#This Row],[ICG]],Actual_CF[Incurred],CF_Gen_4[[#This Row],[Incurred]])</f>
        <v>0</v>
      </c>
    </row>
    <row r="63" spans="1:30">
      <c r="A63" t="str">
        <f t="shared" si="1"/>
        <v>#2025#RC-Property</v>
      </c>
      <c r="B63">
        <f>_xlfn.XLOOKUP(CF_Gen_4[[#This Row],[ICG]],ICG[ICG],ICG[Cohort])</f>
        <v>2025</v>
      </c>
      <c r="C63" t="str">
        <f>_xlfn.XLOOKUP(CF_Gen_4[[#This Row],[ICG]],ICG[ICG],ICG[Portfolio])</f>
        <v>RC-Property</v>
      </c>
      <c r="D63" t="str">
        <f>_xlfn.XLOOKUP(CF_Gen_4[[#This Row],[ICG]],ICG[ICG],ICG[Contract])</f>
        <v>RC</v>
      </c>
      <c r="E63" s="2">
        <f t="shared" si="0"/>
        <v>45930</v>
      </c>
      <c r="F63">
        <v>62</v>
      </c>
      <c r="G63" s="2">
        <f>EOMONTH(DATE(YEAR(CF_Gen_4[[#This Row],[Valuation]])-1,12,31),CF_Gen_4[[#This Row],['#Incurred]]*3)</f>
        <v>51317</v>
      </c>
      <c r="H63" s="14">
        <f>SUMIFS(Expected_CF[Expected_Premium],Expected_CF[ICG],CF_Gen_4[[#This Row],[ICG]],Expected_CF[Incurred],CF_Gen_4[[#This Row],[Incurred]])</f>
        <v>0</v>
      </c>
      <c r="I63" s="14">
        <f>SUMIFS(Expected_CF[Expected_Commission],Expected_CF[ICG],CF_Gen_4[[#This Row],[ICG]],Expected_CF[Incurred],CF_Gen_4[[#This Row],[Incurred]])</f>
        <v>0</v>
      </c>
      <c r="J63" s="14">
        <f>IF(CF_Gen_4[[#This Row],[Contract]]="IC",SUMIFS(Expected_CF[Expected_Acquisition],Expected_CF[ICG],CF_Gen_4[[#This Row],[ICG]],Expected_CF[Incurred],CF_Gen_4[[#This Row],[Incurred]]),0)</f>
        <v>0</v>
      </c>
      <c r="K63" s="14">
        <f>SUMIFS(Earned[Earned_Premium],Earned[ICG],CF_Gen_4[[#This Row],[ICG]],Earned[Incurred],CF_Gen_4[[#This Row],[Incurred]])</f>
        <v>-381380717.4014436</v>
      </c>
      <c r="L63" s="14">
        <f>SUMIFS(Earned[Earned_Commission],Earned[ICG],CF_Gen_4[[#This Row],[ICG]],Earned[Incurred],CF_Gen_4[[#This Row],[Incurred]])</f>
        <v>123948733.15546918</v>
      </c>
      <c r="M63" s="18">
        <f>_xlfn.XLOOKUP(CF_Gen_4[[#This Row],[ICG]],Assumptions[ICG],Assumptions[Loss_Ratio])</f>
        <v>0.38</v>
      </c>
      <c r="N63" s="18">
        <f>_xlfn.XLOOKUP(CF_Gen_4[[#This Row],[ICG]],Assumptions[ICG],Assumptions[Risk_Adjustment_Ratio])</f>
        <v>0.13</v>
      </c>
      <c r="O63" s="18">
        <f>_xlfn.XLOOKUP(CF_Gen_4[[#This Row],[ICG]],Assumptions[ICG],Assumptions[PME_Ratio])</f>
        <v>0</v>
      </c>
      <c r="P63" s="18">
        <f>_xlfn.XLOOKUP(CF_Gen_4[[#This Row],[ICG]],Assumptions[ICG],Assumptions[ULAE_Ratio])</f>
        <v>0</v>
      </c>
      <c r="Q63" s="18">
        <f>_xlfn.XLOOKUP(CF_Gen_4[[#This Row],[ICG]],Assumptions[ICG],Assumptions[Cancellation_Ratio])</f>
        <v>7.0000000000000007E-2</v>
      </c>
      <c r="R63" s="18">
        <f>_xlfn.XLOOKUP(CF_Gen_4[[#This Row],[ICG]],Assumptions[ICG],Assumptions[Premium_Refund_Ratio])</f>
        <v>0.5</v>
      </c>
      <c r="S63" s="18">
        <f>IF(CF_Gen_4[[#This Row],[Contract]]="RC",_xlfn.XLOOKUP(CF_Gen_4[[#This Row],[ICG]],Assumptions[ICG],Assumptions[NPR_Ratio]),0)</f>
        <v>2.8000000000000001E-2</v>
      </c>
      <c r="T63" s="17">
        <f>T62*(1-CF_Gen_4[[#This Row],[Cancellation_Ratio]])</f>
        <v>1.1952530533167E-2</v>
      </c>
      <c r="U63" s="19">
        <f>IF(CF_Gen_4[[#This Row],[Incurred]]&lt;=CF_Gen_4[[#This Row],[Valuation]],CF_Gen_4[[#This Row],[Expected_Premium]],-CF_Gen_4[[#This Row],[Probability_of_Inforce]]*CF_Gen_4[[#This Row],[Premium_Refund_Ratio]]*CF_Gen_4[[#This Row],[Cancellation_Ratio]]*SUM(K63:K$105))</f>
        <v>2763341.2826520451</v>
      </c>
      <c r="V6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Row],[Cancellation_Ratio]]*SUM(L63:L$105))</f>
        <v>-898085.9168619148</v>
      </c>
      <c r="W63" s="19">
        <f>CF_Gen_4[[#This Row],[Expected_Acquisition]]</f>
        <v>0</v>
      </c>
      <c r="X6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3" s="19">
        <f>-CF_Gen_4[[#This Row],[Probability_of_Inforce]]*CF_Gen_4[[#This Row],[Earned_Premium]]*(1-CF_Gen_4[[#This Row],[Cancellation_Ratio]])*CF_Gen_4[[#This Row],[Loss_Ratio]]</f>
        <v>1610961.4142019679</v>
      </c>
      <c r="Z63" s="19">
        <f>CF_Gen_4[[#This Row],[Exp_Claim]]*CF_Gen_4[[#This Row],[Risk_Adjustment_Ratio]]</f>
        <v>209424.98384625584</v>
      </c>
      <c r="AA63" s="19">
        <f>IF(CF_Gen_4[[#This Row],[Contract]]="RC",-CF_Gen_4[[#This Row],[NPR_Ratio]]*CF_Gen_4[[#This Row],[Exp_Claim]],0)</f>
        <v>-45106.919597655098</v>
      </c>
      <c r="AB63" s="19">
        <f>SUMIFS(Actual_CF[Actual_Premium],Actual_CF[ICG],CF_Gen_4[[#This Row],[ICG]],Actual_CF[Incurred],CF_Gen_4[[#This Row],[Incurred]])</f>
        <v>0</v>
      </c>
      <c r="AC63" s="19">
        <f>SUMIFS(Actual_CF[Actual_Commission],Actual_CF[ICG],CF_Gen_4[[#This Row],[ICG]],Actual_CF[Incurred],CF_Gen_4[[#This Row],[Incurred]])</f>
        <v>0</v>
      </c>
      <c r="AD63" s="19">
        <f>SUMIFS(Actual_CF[Actual_Acquisition],Actual_CF[ICG],CF_Gen_4[[#This Row],[ICG]],Actual_CF[Incurred],CF_Gen_4[[#This Row],[Incurred]])</f>
        <v>0</v>
      </c>
    </row>
    <row r="64" spans="1:30">
      <c r="A64" t="str">
        <f t="shared" si="1"/>
        <v>#2025#RC-Property</v>
      </c>
      <c r="B64">
        <f>_xlfn.XLOOKUP(CF_Gen_4[[#This Row],[ICG]],ICG[ICG],ICG[Cohort])</f>
        <v>2025</v>
      </c>
      <c r="C64" t="str">
        <f>_xlfn.XLOOKUP(CF_Gen_4[[#This Row],[ICG]],ICG[ICG],ICG[Portfolio])</f>
        <v>RC-Property</v>
      </c>
      <c r="D64" t="str">
        <f>_xlfn.XLOOKUP(CF_Gen_4[[#This Row],[ICG]],ICG[ICG],ICG[Contract])</f>
        <v>RC</v>
      </c>
      <c r="E64" s="2">
        <f t="shared" si="0"/>
        <v>45930</v>
      </c>
      <c r="F64">
        <v>63</v>
      </c>
      <c r="G64" s="2">
        <f>EOMONTH(DATE(YEAR(CF_Gen_4[[#This Row],[Valuation]])-1,12,31),CF_Gen_4[[#This Row],['#Incurred]]*3)</f>
        <v>51409</v>
      </c>
      <c r="H64" s="14">
        <f>SUMIFS(Expected_CF[Expected_Premium],Expected_CF[ICG],CF_Gen_4[[#This Row],[ICG]],Expected_CF[Incurred],CF_Gen_4[[#This Row],[Incurred]])</f>
        <v>0</v>
      </c>
      <c r="I64" s="14">
        <f>SUMIFS(Expected_CF[Expected_Commission],Expected_CF[ICG],CF_Gen_4[[#This Row],[ICG]],Expected_CF[Incurred],CF_Gen_4[[#This Row],[Incurred]])</f>
        <v>0</v>
      </c>
      <c r="J64" s="14">
        <f>IF(CF_Gen_4[[#This Row],[Contract]]="IC",SUMIFS(Expected_CF[Expected_Acquisition],Expected_CF[ICG],CF_Gen_4[[#This Row],[ICG]],Expected_CF[Incurred],CF_Gen_4[[#This Row],[Incurred]]),0)</f>
        <v>0</v>
      </c>
      <c r="K64" s="14">
        <f>SUMIFS(Earned[Earned_Premium],Earned[ICG],CF_Gen_4[[#This Row],[ICG]],Earned[Incurred],CF_Gen_4[[#This Row],[Incurred]])</f>
        <v>-366125488.7053858</v>
      </c>
      <c r="L64" s="14">
        <f>SUMIFS(Earned[Earned_Commission],Earned[ICG],CF_Gen_4[[#This Row],[ICG]],Earned[Incurred],CF_Gen_4[[#This Row],[Incurred]])</f>
        <v>118990783.82925041</v>
      </c>
      <c r="M64" s="18">
        <f>_xlfn.XLOOKUP(CF_Gen_4[[#This Row],[ICG]],Assumptions[ICG],Assumptions[Loss_Ratio])</f>
        <v>0.38</v>
      </c>
      <c r="N64" s="18">
        <f>_xlfn.XLOOKUP(CF_Gen_4[[#This Row],[ICG]],Assumptions[ICG],Assumptions[Risk_Adjustment_Ratio])</f>
        <v>0.13</v>
      </c>
      <c r="O64" s="18">
        <f>_xlfn.XLOOKUP(CF_Gen_4[[#This Row],[ICG]],Assumptions[ICG],Assumptions[PME_Ratio])</f>
        <v>0</v>
      </c>
      <c r="P64" s="18">
        <f>_xlfn.XLOOKUP(CF_Gen_4[[#This Row],[ICG]],Assumptions[ICG],Assumptions[ULAE_Ratio])</f>
        <v>0</v>
      </c>
      <c r="Q64" s="18">
        <f>_xlfn.XLOOKUP(CF_Gen_4[[#This Row],[ICG]],Assumptions[ICG],Assumptions[Cancellation_Ratio])</f>
        <v>7.0000000000000007E-2</v>
      </c>
      <c r="R64" s="18">
        <f>_xlfn.XLOOKUP(CF_Gen_4[[#This Row],[ICG]],Assumptions[ICG],Assumptions[Premium_Refund_Ratio])</f>
        <v>0.5</v>
      </c>
      <c r="S64" s="18">
        <f>IF(CF_Gen_4[[#This Row],[Contract]]="RC",_xlfn.XLOOKUP(CF_Gen_4[[#This Row],[ICG]],Assumptions[ICG],Assumptions[NPR_Ratio]),0)</f>
        <v>2.8000000000000001E-2</v>
      </c>
      <c r="T64" s="17">
        <f>T63*(1-CF_Gen_4[[#This Row],[Cancellation_Ratio]])</f>
        <v>1.1115853395845308E-2</v>
      </c>
      <c r="U64" s="19">
        <f>IF(CF_Gen_4[[#This Row],[Incurred]]&lt;=CF_Gen_4[[#This Row],[Valuation]],CF_Gen_4[[#This Row],[Expected_Premium]],-CF_Gen_4[[#This Row],[Probability_of_Inforce]]*CF_Gen_4[[#This Row],[Premium_Refund_Ratio]]*CF_Gen_4[[#This Row],[Cancellation_Ratio]]*SUM(K64:K$105))</f>
        <v>2421529.3678741152</v>
      </c>
      <c r="V6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Row],[Cancellation_Ratio]]*SUM(L64:L$105))</f>
        <v>-786997.04455908772</v>
      </c>
      <c r="W64" s="19">
        <f>CF_Gen_4[[#This Row],[Expected_Acquisition]]</f>
        <v>0</v>
      </c>
      <c r="X6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4" s="19">
        <f>-CF_Gen_4[[#This Row],[Probability_of_Inforce]]*CF_Gen_4[[#This Row],[Earned_Premium]]*(1-CF_Gen_4[[#This Row],[Cancellation_Ratio]])*CF_Gen_4[[#This Row],[Loss_Ratio]]</f>
        <v>1438266.3505995164</v>
      </c>
      <c r="Z64" s="19">
        <f>CF_Gen_4[[#This Row],[Exp_Claim]]*CF_Gen_4[[#This Row],[Risk_Adjustment_Ratio]]</f>
        <v>186974.62557793714</v>
      </c>
      <c r="AA64" s="19">
        <f>IF(CF_Gen_4[[#This Row],[Contract]]="RC",-CF_Gen_4[[#This Row],[NPR_Ratio]]*CF_Gen_4[[#This Row],[Exp_Claim]],0)</f>
        <v>-40271.45781678646</v>
      </c>
      <c r="AB64" s="19">
        <f>SUMIFS(Actual_CF[Actual_Premium],Actual_CF[ICG],CF_Gen_4[[#This Row],[ICG]],Actual_CF[Incurred],CF_Gen_4[[#This Row],[Incurred]])</f>
        <v>0</v>
      </c>
      <c r="AC64" s="19">
        <f>SUMIFS(Actual_CF[Actual_Commission],Actual_CF[ICG],CF_Gen_4[[#This Row],[ICG]],Actual_CF[Incurred],CF_Gen_4[[#This Row],[Incurred]])</f>
        <v>0</v>
      </c>
      <c r="AD64" s="19">
        <f>SUMIFS(Actual_CF[Actual_Acquisition],Actual_CF[ICG],CF_Gen_4[[#This Row],[ICG]],Actual_CF[Incurred],CF_Gen_4[[#This Row],[Incurred]])</f>
        <v>0</v>
      </c>
    </row>
    <row r="65" spans="1:30">
      <c r="A65" t="str">
        <f t="shared" si="1"/>
        <v>#2025#RC-Property</v>
      </c>
      <c r="B65">
        <f>_xlfn.XLOOKUP(CF_Gen_4[[#This Row],[ICG]],ICG[ICG],ICG[Cohort])</f>
        <v>2025</v>
      </c>
      <c r="C65" t="str">
        <f>_xlfn.XLOOKUP(CF_Gen_4[[#This Row],[ICG]],ICG[ICG],ICG[Portfolio])</f>
        <v>RC-Property</v>
      </c>
      <c r="D65" t="str">
        <f>_xlfn.XLOOKUP(CF_Gen_4[[#This Row],[ICG]],ICG[ICG],ICG[Contract])</f>
        <v>RC</v>
      </c>
      <c r="E65" s="2">
        <f t="shared" si="0"/>
        <v>45930</v>
      </c>
      <c r="F65">
        <v>64</v>
      </c>
      <c r="G65" s="2">
        <f>EOMONTH(DATE(YEAR(CF_Gen_4[[#This Row],[Valuation]])-1,12,31),CF_Gen_4[[#This Row],['#Incurred]]*3)</f>
        <v>51501</v>
      </c>
      <c r="H65" s="14">
        <f>SUMIFS(Expected_CF[Expected_Premium],Expected_CF[ICG],CF_Gen_4[[#This Row],[ICG]],Expected_CF[Incurred],CF_Gen_4[[#This Row],[Incurred]])</f>
        <v>0</v>
      </c>
      <c r="I65" s="14">
        <f>SUMIFS(Expected_CF[Expected_Commission],Expected_CF[ICG],CF_Gen_4[[#This Row],[ICG]],Expected_CF[Incurred],CF_Gen_4[[#This Row],[Incurred]])</f>
        <v>0</v>
      </c>
      <c r="J65" s="14">
        <f>IF(CF_Gen_4[[#This Row],[Contract]]="IC",SUMIFS(Expected_CF[Expected_Acquisition],Expected_CF[ICG],CF_Gen_4[[#This Row],[ICG]],Expected_CF[Incurred],CF_Gen_4[[#This Row],[Incurred]]),0)</f>
        <v>0</v>
      </c>
      <c r="K65" s="14">
        <f>SUMIFS(Earned[Earned_Premium],Earned[ICG],CF_Gen_4[[#This Row],[ICG]],Earned[Incurred],CF_Gen_4[[#This Row],[Incurred]])</f>
        <v>-366125488.7053858</v>
      </c>
      <c r="L65" s="14">
        <f>SUMIFS(Earned[Earned_Commission],Earned[ICG],CF_Gen_4[[#This Row],[ICG]],Earned[Incurred],CF_Gen_4[[#This Row],[Incurred]])</f>
        <v>118990783.82925041</v>
      </c>
      <c r="M65" s="18">
        <f>_xlfn.XLOOKUP(CF_Gen_4[[#This Row],[ICG]],Assumptions[ICG],Assumptions[Loss_Ratio])</f>
        <v>0.38</v>
      </c>
      <c r="N65" s="18">
        <f>_xlfn.XLOOKUP(CF_Gen_4[[#This Row],[ICG]],Assumptions[ICG],Assumptions[Risk_Adjustment_Ratio])</f>
        <v>0.13</v>
      </c>
      <c r="O65" s="18">
        <f>_xlfn.XLOOKUP(CF_Gen_4[[#This Row],[ICG]],Assumptions[ICG],Assumptions[PME_Ratio])</f>
        <v>0</v>
      </c>
      <c r="P65" s="18">
        <f>_xlfn.XLOOKUP(CF_Gen_4[[#This Row],[ICG]],Assumptions[ICG],Assumptions[ULAE_Ratio])</f>
        <v>0</v>
      </c>
      <c r="Q65" s="18">
        <f>_xlfn.XLOOKUP(CF_Gen_4[[#This Row],[ICG]],Assumptions[ICG],Assumptions[Cancellation_Ratio])</f>
        <v>7.0000000000000007E-2</v>
      </c>
      <c r="R65" s="18">
        <f>_xlfn.XLOOKUP(CF_Gen_4[[#This Row],[ICG]],Assumptions[ICG],Assumptions[Premium_Refund_Ratio])</f>
        <v>0.5</v>
      </c>
      <c r="S65" s="18">
        <f>IF(CF_Gen_4[[#This Row],[Contract]]="RC",_xlfn.XLOOKUP(CF_Gen_4[[#This Row],[ICG]],Assumptions[ICG],Assumptions[NPR_Ratio]),0)</f>
        <v>2.8000000000000001E-2</v>
      </c>
      <c r="T65" s="17">
        <f>T64*(1-CF_Gen_4[[#This Row],[Cancellation_Ratio]])</f>
        <v>1.0337743658136136E-2</v>
      </c>
      <c r="U65" s="19">
        <f>IF(CF_Gen_4[[#This Row],[Incurred]]&lt;=CF_Gen_4[[#This Row],[Valuation]],CF_Gen_4[[#This Row],[Expected_Premium]],-CF_Gen_4[[#This Row],[Probability_of_Inforce]]*CF_Gen_4[[#This Row],[Premium_Refund_Ratio]]*CF_Gen_4[[#This Row],[Cancellation_Ratio]]*SUM(K65:K$105))</f>
        <v>2119550.4114098134</v>
      </c>
      <c r="V6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Row],[Cancellation_Ratio]]*SUM(L65:L$105))</f>
        <v>-688853.88370818947</v>
      </c>
      <c r="W65" s="19">
        <f>CF_Gen_4[[#This Row],[Expected_Acquisition]]</f>
        <v>0</v>
      </c>
      <c r="X6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5" s="19">
        <f>-CF_Gen_4[[#This Row],[Probability_of_Inforce]]*CF_Gen_4[[#This Row],[Earned_Premium]]*(1-CF_Gen_4[[#This Row],[Cancellation_Ratio]])*CF_Gen_4[[#This Row],[Loss_Ratio]]</f>
        <v>1337587.7060575502</v>
      </c>
      <c r="Z65" s="19">
        <f>CF_Gen_4[[#This Row],[Exp_Claim]]*CF_Gen_4[[#This Row],[Risk_Adjustment_Ratio]]</f>
        <v>173886.40178748153</v>
      </c>
      <c r="AA65" s="19">
        <f>IF(CF_Gen_4[[#This Row],[Contract]]="RC",-CF_Gen_4[[#This Row],[NPR_Ratio]]*CF_Gen_4[[#This Row],[Exp_Claim]],0)</f>
        <v>-37452.455769611406</v>
      </c>
      <c r="AB65" s="19">
        <f>SUMIFS(Actual_CF[Actual_Premium],Actual_CF[ICG],CF_Gen_4[[#This Row],[ICG]],Actual_CF[Incurred],CF_Gen_4[[#This Row],[Incurred]])</f>
        <v>0</v>
      </c>
      <c r="AC65" s="19">
        <f>SUMIFS(Actual_CF[Actual_Commission],Actual_CF[ICG],CF_Gen_4[[#This Row],[ICG]],Actual_CF[Incurred],CF_Gen_4[[#This Row],[Incurred]])</f>
        <v>0</v>
      </c>
      <c r="AD65" s="19">
        <f>SUMIFS(Actual_CF[Actual_Acquisition],Actual_CF[ICG],CF_Gen_4[[#This Row],[ICG]],Actual_CF[Incurred],CF_Gen_4[[#This Row],[Incurred]])</f>
        <v>0</v>
      </c>
    </row>
    <row r="66" spans="1:30">
      <c r="A66" t="str">
        <f t="shared" si="1"/>
        <v>#2025#RC-Property</v>
      </c>
      <c r="B66">
        <f>_xlfn.XLOOKUP(CF_Gen_4[[#This Row],[ICG]],ICG[ICG],ICG[Cohort])</f>
        <v>2025</v>
      </c>
      <c r="C66" t="str">
        <f>_xlfn.XLOOKUP(CF_Gen_4[[#This Row],[ICG]],ICG[ICG],ICG[Portfolio])</f>
        <v>RC-Property</v>
      </c>
      <c r="D66" t="str">
        <f>_xlfn.XLOOKUP(CF_Gen_4[[#This Row],[ICG]],ICG[ICG],ICG[Contract])</f>
        <v>RC</v>
      </c>
      <c r="E66" s="2">
        <f t="shared" ref="E66:E105" si="2">ValuationDate</f>
        <v>45930</v>
      </c>
      <c r="F66">
        <v>65</v>
      </c>
      <c r="G66" s="2">
        <f>EOMONTH(DATE(YEAR(CF_Gen_4[[#This Row],[Valuation]])-1,12,31),CF_Gen_4[[#This Row],['#Incurred]]*3)</f>
        <v>51591</v>
      </c>
      <c r="H66" s="14">
        <f>SUMIFS(Expected_CF[Expected_Premium],Expected_CF[ICG],CF_Gen_4[[#This Row],[ICG]],Expected_CF[Incurred],CF_Gen_4[[#This Row],[Incurred]])</f>
        <v>0</v>
      </c>
      <c r="I66" s="14">
        <f>SUMIFS(Expected_CF[Expected_Commission],Expected_CF[ICG],CF_Gen_4[[#This Row],[ICG]],Expected_CF[Incurred],CF_Gen_4[[#This Row],[Incurred]])</f>
        <v>0</v>
      </c>
      <c r="J66" s="14">
        <f>IF(CF_Gen_4[[#This Row],[Contract]]="IC",SUMIFS(Expected_CF[Expected_Acquisition],Expected_CF[ICG],CF_Gen_4[[#This Row],[ICG]],Expected_CF[Incurred],CF_Gen_4[[#This Row],[Incurred]]),0)</f>
        <v>0</v>
      </c>
      <c r="K66" s="14">
        <f>SUMIFS(Earned[Earned_Premium],Earned[ICG],CF_Gen_4[[#This Row],[ICG]],Earned[Incurred],CF_Gen_4[[#This Row],[Incurred]])</f>
        <v>-350870260.00932807</v>
      </c>
      <c r="L66" s="14">
        <f>SUMIFS(Earned[Earned_Commission],Earned[ICG],CF_Gen_4[[#This Row],[ICG]],Earned[Incurred],CF_Gen_4[[#This Row],[Incurred]])</f>
        <v>114032834.50303164</v>
      </c>
      <c r="M66" s="18">
        <f>_xlfn.XLOOKUP(CF_Gen_4[[#This Row],[ICG]],Assumptions[ICG],Assumptions[Loss_Ratio])</f>
        <v>0.38</v>
      </c>
      <c r="N66" s="18">
        <f>_xlfn.XLOOKUP(CF_Gen_4[[#This Row],[ICG]],Assumptions[ICG],Assumptions[Risk_Adjustment_Ratio])</f>
        <v>0.13</v>
      </c>
      <c r="O66" s="18">
        <f>_xlfn.XLOOKUP(CF_Gen_4[[#This Row],[ICG]],Assumptions[ICG],Assumptions[PME_Ratio])</f>
        <v>0</v>
      </c>
      <c r="P66" s="18">
        <f>_xlfn.XLOOKUP(CF_Gen_4[[#This Row],[ICG]],Assumptions[ICG],Assumptions[ULAE_Ratio])</f>
        <v>0</v>
      </c>
      <c r="Q66" s="18">
        <f>_xlfn.XLOOKUP(CF_Gen_4[[#This Row],[ICG]],Assumptions[ICG],Assumptions[Cancellation_Ratio])</f>
        <v>7.0000000000000007E-2</v>
      </c>
      <c r="R66" s="18">
        <f>_xlfn.XLOOKUP(CF_Gen_4[[#This Row],[ICG]],Assumptions[ICG],Assumptions[Premium_Refund_Ratio])</f>
        <v>0.5</v>
      </c>
      <c r="S66" s="18">
        <f>IF(CF_Gen_4[[#This Row],[Contract]]="RC",_xlfn.XLOOKUP(CF_Gen_4[[#This Row],[ICG]],Assumptions[ICG],Assumptions[NPR_Ratio]),0)</f>
        <v>2.8000000000000001E-2</v>
      </c>
      <c r="T66" s="17">
        <f>T65*(1-CF_Gen_4[[#This Row],[Cancellation_Ratio]])</f>
        <v>9.6141016020666048E-3</v>
      </c>
      <c r="U66" s="19">
        <f>IF(CF_Gen_4[[#This Row],[Incurred]]&lt;=CF_Gen_4[[#This Row],[Valuation]],CF_Gen_4[[#This Row],[Expected_Premium]],-CF_Gen_4[[#This Row],[Probability_of_Inforce]]*CF_Gen_4[[#This Row],[Premium_Refund_Ratio]]*CF_Gen_4[[#This Row],[Cancellation_Ratio]]*SUM(K66:K$105))</f>
        <v>1847983.014947931</v>
      </c>
      <c r="V6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Row],[Cancellation_Ratio]]*SUM(L66:L$105))</f>
        <v>-600594.47985807771</v>
      </c>
      <c r="W66" s="19">
        <f>CF_Gen_4[[#This Row],[Expected_Acquisition]]</f>
        <v>0</v>
      </c>
      <c r="X6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6" s="19">
        <f>-CF_Gen_4[[#This Row],[Probability_of_Inforce]]*CF_Gen_4[[#This Row],[Earned_Premium]]*(1-CF_Gen_4[[#This Row],[Cancellation_Ratio]])*CF_Gen_4[[#This Row],[Loss_Ratio]]</f>
        <v>1192125.0430237914</v>
      </c>
      <c r="Z66" s="19">
        <f>CF_Gen_4[[#This Row],[Exp_Claim]]*CF_Gen_4[[#This Row],[Risk_Adjustment_Ratio]]</f>
        <v>154976.25559309288</v>
      </c>
      <c r="AA66" s="19">
        <f>IF(CF_Gen_4[[#This Row],[Contract]]="RC",-CF_Gen_4[[#This Row],[NPR_Ratio]]*CF_Gen_4[[#This Row],[Exp_Claim]],0)</f>
        <v>-33379.501204666158</v>
      </c>
      <c r="AB66" s="19">
        <f>SUMIFS(Actual_CF[Actual_Premium],Actual_CF[ICG],CF_Gen_4[[#This Row],[ICG]],Actual_CF[Incurred],CF_Gen_4[[#This Row],[Incurred]])</f>
        <v>0</v>
      </c>
      <c r="AC66" s="19">
        <f>SUMIFS(Actual_CF[Actual_Commission],Actual_CF[ICG],CF_Gen_4[[#This Row],[ICG]],Actual_CF[Incurred],CF_Gen_4[[#This Row],[Incurred]])</f>
        <v>0</v>
      </c>
      <c r="AD66" s="19">
        <f>SUMIFS(Actual_CF[Actual_Acquisition],Actual_CF[ICG],CF_Gen_4[[#This Row],[ICG]],Actual_CF[Incurred],CF_Gen_4[[#This Row],[Incurred]])</f>
        <v>0</v>
      </c>
    </row>
    <row r="67" spans="1:30">
      <c r="A67" t="str">
        <f t="shared" si="1"/>
        <v>#2025#RC-Property</v>
      </c>
      <c r="B67">
        <f>_xlfn.XLOOKUP(CF_Gen_4[[#This Row],[ICG]],ICG[ICG],ICG[Cohort])</f>
        <v>2025</v>
      </c>
      <c r="C67" t="str">
        <f>_xlfn.XLOOKUP(CF_Gen_4[[#This Row],[ICG]],ICG[ICG],ICG[Portfolio])</f>
        <v>RC-Property</v>
      </c>
      <c r="D67" t="str">
        <f>_xlfn.XLOOKUP(CF_Gen_4[[#This Row],[ICG]],ICG[ICG],ICG[Contract])</f>
        <v>RC</v>
      </c>
      <c r="E67" s="2">
        <f t="shared" si="2"/>
        <v>45930</v>
      </c>
      <c r="F67">
        <v>66</v>
      </c>
      <c r="G67" s="2">
        <f>EOMONTH(DATE(YEAR(CF_Gen_4[[#This Row],[Valuation]])-1,12,31),CF_Gen_4[[#This Row],['#Incurred]]*3)</f>
        <v>51682</v>
      </c>
      <c r="H67" s="14">
        <f>SUMIFS(Expected_CF[Expected_Premium],Expected_CF[ICG],CF_Gen_4[[#This Row],[ICG]],Expected_CF[Incurred],CF_Gen_4[[#This Row],[Incurred]])</f>
        <v>0</v>
      </c>
      <c r="I67" s="14">
        <f>SUMIFS(Expected_CF[Expected_Commission],Expected_CF[ICG],CF_Gen_4[[#This Row],[ICG]],Expected_CF[Incurred],CF_Gen_4[[#This Row],[Incurred]])</f>
        <v>0</v>
      </c>
      <c r="J67" s="14">
        <f>IF(CF_Gen_4[[#This Row],[Contract]]="IC",SUMIFS(Expected_CF[Expected_Acquisition],Expected_CF[ICG],CF_Gen_4[[#This Row],[ICG]],Expected_CF[Incurred],CF_Gen_4[[#This Row],[Incurred]]),0)</f>
        <v>0</v>
      </c>
      <c r="K67" s="14">
        <f>SUMIFS(Earned[Earned_Premium],Earned[ICG],CF_Gen_4[[#This Row],[ICG]],Earned[Incurred],CF_Gen_4[[#This Row],[Incurred]])</f>
        <v>-335615031.31327039</v>
      </c>
      <c r="L67" s="14">
        <f>SUMIFS(Earned[Earned_Commission],Earned[ICG],CF_Gen_4[[#This Row],[ICG]],Earned[Incurred],CF_Gen_4[[#This Row],[Incurred]])</f>
        <v>109074885.17681289</v>
      </c>
      <c r="M67" s="18">
        <f>_xlfn.XLOOKUP(CF_Gen_4[[#This Row],[ICG]],Assumptions[ICG],Assumptions[Loss_Ratio])</f>
        <v>0.38</v>
      </c>
      <c r="N67" s="18">
        <f>_xlfn.XLOOKUP(CF_Gen_4[[#This Row],[ICG]],Assumptions[ICG],Assumptions[Risk_Adjustment_Ratio])</f>
        <v>0.13</v>
      </c>
      <c r="O67" s="18">
        <f>_xlfn.XLOOKUP(CF_Gen_4[[#This Row],[ICG]],Assumptions[ICG],Assumptions[PME_Ratio])</f>
        <v>0</v>
      </c>
      <c r="P67" s="18">
        <f>_xlfn.XLOOKUP(CF_Gen_4[[#This Row],[ICG]],Assumptions[ICG],Assumptions[ULAE_Ratio])</f>
        <v>0</v>
      </c>
      <c r="Q67" s="18">
        <f>_xlfn.XLOOKUP(CF_Gen_4[[#This Row],[ICG]],Assumptions[ICG],Assumptions[Cancellation_Ratio])</f>
        <v>7.0000000000000007E-2</v>
      </c>
      <c r="R67" s="18">
        <f>_xlfn.XLOOKUP(CF_Gen_4[[#This Row],[ICG]],Assumptions[ICG],Assumptions[Premium_Refund_Ratio])</f>
        <v>0.5</v>
      </c>
      <c r="S67" s="18">
        <f>IF(CF_Gen_4[[#This Row],[Contract]]="RC",_xlfn.XLOOKUP(CF_Gen_4[[#This Row],[ICG]],Assumptions[ICG],Assumptions[NPR_Ratio]),0)</f>
        <v>2.8000000000000001E-2</v>
      </c>
      <c r="T67" s="17">
        <f>T66*(1-CF_Gen_4[[#This Row],[Cancellation_Ratio]])</f>
        <v>8.9411144899219416E-3</v>
      </c>
      <c r="U67" s="19">
        <f>IF(CF_Gen_4[[#This Row],[Incurred]]&lt;=CF_Gen_4[[#This Row],[Valuation]],CF_Gen_4[[#This Row],[Expected_Premium]],-CF_Gen_4[[#This Row],[Probability_of_Inforce]]*CF_Gen_4[[#This Row],[Premium_Refund_Ratio]]*CF_Gen_4[[#This Row],[Cancellation_Ratio]]*SUM(K67:K$105))</f>
        <v>1608823.2130967535</v>
      </c>
      <c r="V6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Row],[Cancellation_Ratio]]*SUM(L67:L$105))</f>
        <v>-522867.54425644473</v>
      </c>
      <c r="W67" s="19">
        <f>CF_Gen_4[[#This Row],[Expected_Acquisition]]</f>
        <v>0</v>
      </c>
      <c r="X6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7" s="19">
        <f>-CF_Gen_4[[#This Row],[Probability_of_Inforce]]*CF_Gen_4[[#This Row],[Earned_Premium]]*(1-CF_Gen_4[[#This Row],[Cancellation_Ratio]])*CF_Gen_4[[#This Row],[Loss_Ratio]]</f>
        <v>1060472.9730550773</v>
      </c>
      <c r="Z67" s="19">
        <f>CF_Gen_4[[#This Row],[Exp_Claim]]*CF_Gen_4[[#This Row],[Risk_Adjustment_Ratio]]</f>
        <v>137861.48649716005</v>
      </c>
      <c r="AA67" s="19">
        <f>IF(CF_Gen_4[[#This Row],[Contract]]="RC",-CF_Gen_4[[#This Row],[NPR_Ratio]]*CF_Gen_4[[#This Row],[Exp_Claim]],0)</f>
        <v>-29693.243245542162</v>
      </c>
      <c r="AB67" s="19">
        <f>SUMIFS(Actual_CF[Actual_Premium],Actual_CF[ICG],CF_Gen_4[[#This Row],[ICG]],Actual_CF[Incurred],CF_Gen_4[[#This Row],[Incurred]])</f>
        <v>0</v>
      </c>
      <c r="AC67" s="19">
        <f>SUMIFS(Actual_CF[Actual_Commission],Actual_CF[ICG],CF_Gen_4[[#This Row],[ICG]],Actual_CF[Incurred],CF_Gen_4[[#This Row],[Incurred]])</f>
        <v>0</v>
      </c>
      <c r="AD67" s="19">
        <f>SUMIFS(Actual_CF[Actual_Acquisition],Actual_CF[ICG],CF_Gen_4[[#This Row],[ICG]],Actual_CF[Incurred],CF_Gen_4[[#This Row],[Incurred]])</f>
        <v>0</v>
      </c>
    </row>
    <row r="68" spans="1:30">
      <c r="A68" t="str">
        <f t="shared" ref="A68:A105" si="3">A67</f>
        <v>#2025#RC-Property</v>
      </c>
      <c r="B68">
        <f>_xlfn.XLOOKUP(CF_Gen_4[[#This Row],[ICG]],ICG[ICG],ICG[Cohort])</f>
        <v>2025</v>
      </c>
      <c r="C68" t="str">
        <f>_xlfn.XLOOKUP(CF_Gen_4[[#This Row],[ICG]],ICG[ICG],ICG[Portfolio])</f>
        <v>RC-Property</v>
      </c>
      <c r="D68" t="str">
        <f>_xlfn.XLOOKUP(CF_Gen_4[[#This Row],[ICG]],ICG[ICG],ICG[Contract])</f>
        <v>RC</v>
      </c>
      <c r="E68" s="2">
        <f t="shared" si="2"/>
        <v>45930</v>
      </c>
      <c r="F68">
        <v>67</v>
      </c>
      <c r="G68" s="2">
        <f>EOMONTH(DATE(YEAR(CF_Gen_4[[#This Row],[Valuation]])-1,12,31),CF_Gen_4[[#This Row],['#Incurred]]*3)</f>
        <v>51774</v>
      </c>
      <c r="H68" s="14">
        <f>SUMIFS(Expected_CF[Expected_Premium],Expected_CF[ICG],CF_Gen_4[[#This Row],[ICG]],Expected_CF[Incurred],CF_Gen_4[[#This Row],[Incurred]])</f>
        <v>0</v>
      </c>
      <c r="I68" s="14">
        <f>SUMIFS(Expected_CF[Expected_Commission],Expected_CF[ICG],CF_Gen_4[[#This Row],[ICG]],Expected_CF[Incurred],CF_Gen_4[[#This Row],[Incurred]])</f>
        <v>0</v>
      </c>
      <c r="J68" s="14">
        <f>IF(CF_Gen_4[[#This Row],[Contract]]="IC",SUMIFS(Expected_CF[Expected_Acquisition],Expected_CF[ICG],CF_Gen_4[[#This Row],[ICG]],Expected_CF[Incurred],CF_Gen_4[[#This Row],[Incurred]]),0)</f>
        <v>0</v>
      </c>
      <c r="K68" s="14">
        <f>SUMIFS(Earned[Earned_Premium],Earned[ICG],CF_Gen_4[[#This Row],[ICG]],Earned[Incurred],CF_Gen_4[[#This Row],[Incurred]])</f>
        <v>-320359802.61721259</v>
      </c>
      <c r="L68" s="14">
        <f>SUMIFS(Earned[Earned_Commission],Earned[ICG],CF_Gen_4[[#This Row],[ICG]],Earned[Incurred],CF_Gen_4[[#This Row],[Incurred]])</f>
        <v>104116935.8505941</v>
      </c>
      <c r="M68" s="18">
        <f>_xlfn.XLOOKUP(CF_Gen_4[[#This Row],[ICG]],Assumptions[ICG],Assumptions[Loss_Ratio])</f>
        <v>0.38</v>
      </c>
      <c r="N68" s="18">
        <f>_xlfn.XLOOKUP(CF_Gen_4[[#This Row],[ICG]],Assumptions[ICG],Assumptions[Risk_Adjustment_Ratio])</f>
        <v>0.13</v>
      </c>
      <c r="O68" s="18">
        <f>_xlfn.XLOOKUP(CF_Gen_4[[#This Row],[ICG]],Assumptions[ICG],Assumptions[PME_Ratio])</f>
        <v>0</v>
      </c>
      <c r="P68" s="18">
        <f>_xlfn.XLOOKUP(CF_Gen_4[[#This Row],[ICG]],Assumptions[ICG],Assumptions[ULAE_Ratio])</f>
        <v>0</v>
      </c>
      <c r="Q68" s="18">
        <f>_xlfn.XLOOKUP(CF_Gen_4[[#This Row],[ICG]],Assumptions[ICG],Assumptions[Cancellation_Ratio])</f>
        <v>7.0000000000000007E-2</v>
      </c>
      <c r="R68" s="18">
        <f>_xlfn.XLOOKUP(CF_Gen_4[[#This Row],[ICG]],Assumptions[ICG],Assumptions[Premium_Refund_Ratio])</f>
        <v>0.5</v>
      </c>
      <c r="S68" s="18">
        <f>IF(CF_Gen_4[[#This Row],[Contract]]="RC",_xlfn.XLOOKUP(CF_Gen_4[[#This Row],[ICG]],Assumptions[ICG],Assumptions[NPR_Ratio]),0)</f>
        <v>2.8000000000000001E-2</v>
      </c>
      <c r="T68" s="17">
        <f>T67*(1-CF_Gen_4[[#This Row],[Cancellation_Ratio]])</f>
        <v>8.3152364756274057E-3</v>
      </c>
      <c r="U68" s="19">
        <f>IF(CF_Gen_4[[#This Row],[Incurred]]&lt;=CF_Gen_4[[#This Row],[Valuation]],CF_Gen_4[[#This Row],[Expected_Premium]],-CF_Gen_4[[#This Row],[Probability_of_Inforce]]*CF_Gen_4[[#This Row],[Premium_Refund_Ratio]]*CF_Gen_4[[#This Row],[Cancellation_Ratio]]*SUM(K68:K$105))</f>
        <v>1398530.4459249075</v>
      </c>
      <c r="V6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Row],[Cancellation_Ratio]]*SUM(L68:L$105))</f>
        <v>-454522.39492559497</v>
      </c>
      <c r="W68" s="19">
        <f>CF_Gen_4[[#This Row],[Expected_Acquisition]]</f>
        <v>0</v>
      </c>
      <c r="X6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8" s="19">
        <f>-CF_Gen_4[[#This Row],[Probability_of_Inforce]]*CF_Gen_4[[#This Row],[Earned_Premium]]*(1-CF_Gen_4[[#This Row],[Cancellation_Ratio]])*CF_Gen_4[[#This Row],[Loss_Ratio]]</f>
        <v>941410.78017116594</v>
      </c>
      <c r="Z68" s="19">
        <f>CF_Gen_4[[#This Row],[Exp_Claim]]*CF_Gen_4[[#This Row],[Risk_Adjustment_Ratio]]</f>
        <v>122383.40142225158</v>
      </c>
      <c r="AA68" s="19">
        <f>IF(CF_Gen_4[[#This Row],[Contract]]="RC",-CF_Gen_4[[#This Row],[NPR_Ratio]]*CF_Gen_4[[#This Row],[Exp_Claim]],0)</f>
        <v>-26359.501844792649</v>
      </c>
      <c r="AB68" s="19">
        <f>SUMIFS(Actual_CF[Actual_Premium],Actual_CF[ICG],CF_Gen_4[[#This Row],[ICG]],Actual_CF[Incurred],CF_Gen_4[[#This Row],[Incurred]])</f>
        <v>0</v>
      </c>
      <c r="AC68" s="19">
        <f>SUMIFS(Actual_CF[Actual_Commission],Actual_CF[ICG],CF_Gen_4[[#This Row],[ICG]],Actual_CF[Incurred],CF_Gen_4[[#This Row],[Incurred]])</f>
        <v>0</v>
      </c>
      <c r="AD68" s="19">
        <f>SUMIFS(Actual_CF[Actual_Acquisition],Actual_CF[ICG],CF_Gen_4[[#This Row],[ICG]],Actual_CF[Incurred],CF_Gen_4[[#This Row],[Incurred]])</f>
        <v>0</v>
      </c>
    </row>
    <row r="69" spans="1:30">
      <c r="A69" t="str">
        <f t="shared" si="3"/>
        <v>#2025#RC-Property</v>
      </c>
      <c r="B69">
        <f>_xlfn.XLOOKUP(CF_Gen_4[[#This Row],[ICG]],ICG[ICG],ICG[Cohort])</f>
        <v>2025</v>
      </c>
      <c r="C69" t="str">
        <f>_xlfn.XLOOKUP(CF_Gen_4[[#This Row],[ICG]],ICG[ICG],ICG[Portfolio])</f>
        <v>RC-Property</v>
      </c>
      <c r="D69" t="str">
        <f>_xlfn.XLOOKUP(CF_Gen_4[[#This Row],[ICG]],ICG[ICG],ICG[Contract])</f>
        <v>RC</v>
      </c>
      <c r="E69" s="2">
        <f t="shared" si="2"/>
        <v>45930</v>
      </c>
      <c r="F69">
        <v>68</v>
      </c>
      <c r="G69" s="2">
        <f>EOMONTH(DATE(YEAR(CF_Gen_4[[#This Row],[Valuation]])-1,12,31),CF_Gen_4[[#This Row],['#Incurred]]*3)</f>
        <v>51866</v>
      </c>
      <c r="H69" s="14">
        <f>SUMIFS(Expected_CF[Expected_Premium],Expected_CF[ICG],CF_Gen_4[[#This Row],[ICG]],Expected_CF[Incurred],CF_Gen_4[[#This Row],[Incurred]])</f>
        <v>0</v>
      </c>
      <c r="I69" s="14">
        <f>SUMIFS(Expected_CF[Expected_Commission],Expected_CF[ICG],CF_Gen_4[[#This Row],[ICG]],Expected_CF[Incurred],CF_Gen_4[[#This Row],[Incurred]])</f>
        <v>0</v>
      </c>
      <c r="J69" s="14">
        <f>IF(CF_Gen_4[[#This Row],[Contract]]="IC",SUMIFS(Expected_CF[Expected_Acquisition],Expected_CF[ICG],CF_Gen_4[[#This Row],[ICG]],Expected_CF[Incurred],CF_Gen_4[[#This Row],[Incurred]]),0)</f>
        <v>0</v>
      </c>
      <c r="K69" s="14">
        <f>SUMIFS(Earned[Earned_Premium],Earned[ICG],CF_Gen_4[[#This Row],[ICG]],Earned[Incurred],CF_Gen_4[[#This Row],[Incurred]])</f>
        <v>-320359802.61721259</v>
      </c>
      <c r="L69" s="14">
        <f>SUMIFS(Earned[Earned_Commission],Earned[ICG],CF_Gen_4[[#This Row],[ICG]],Earned[Incurred],CF_Gen_4[[#This Row],[Incurred]])</f>
        <v>104116935.8505941</v>
      </c>
      <c r="M69" s="18">
        <f>_xlfn.XLOOKUP(CF_Gen_4[[#This Row],[ICG]],Assumptions[ICG],Assumptions[Loss_Ratio])</f>
        <v>0.38</v>
      </c>
      <c r="N69" s="18">
        <f>_xlfn.XLOOKUP(CF_Gen_4[[#This Row],[ICG]],Assumptions[ICG],Assumptions[Risk_Adjustment_Ratio])</f>
        <v>0.13</v>
      </c>
      <c r="O69" s="18">
        <f>_xlfn.XLOOKUP(CF_Gen_4[[#This Row],[ICG]],Assumptions[ICG],Assumptions[PME_Ratio])</f>
        <v>0</v>
      </c>
      <c r="P69" s="18">
        <f>_xlfn.XLOOKUP(CF_Gen_4[[#This Row],[ICG]],Assumptions[ICG],Assumptions[ULAE_Ratio])</f>
        <v>0</v>
      </c>
      <c r="Q69" s="18">
        <f>_xlfn.XLOOKUP(CF_Gen_4[[#This Row],[ICG]],Assumptions[ICG],Assumptions[Cancellation_Ratio])</f>
        <v>7.0000000000000007E-2</v>
      </c>
      <c r="R69" s="18">
        <f>_xlfn.XLOOKUP(CF_Gen_4[[#This Row],[ICG]],Assumptions[ICG],Assumptions[Premium_Refund_Ratio])</f>
        <v>0.5</v>
      </c>
      <c r="S69" s="18">
        <f>IF(CF_Gen_4[[#This Row],[Contract]]="RC",_xlfn.XLOOKUP(CF_Gen_4[[#This Row],[ICG]],Assumptions[ICG],Assumptions[NPR_Ratio]),0)</f>
        <v>2.8000000000000001E-2</v>
      </c>
      <c r="T69" s="17">
        <f>T68*(1-CF_Gen_4[[#This Row],[Cancellation_Ratio]])</f>
        <v>7.7331699223334872E-3</v>
      </c>
      <c r="U69" s="19">
        <f>IF(CF_Gen_4[[#This Row],[Incurred]]&lt;=CF_Gen_4[[#This Row],[Valuation]],CF_Gen_4[[#This Row],[Expected_Premium]],-CF_Gen_4[[#This Row],[Probability_of_Inforce]]*CF_Gen_4[[#This Row],[Premium_Refund_Ratio]]*CF_Gen_4[[#This Row],[Cancellation_Ratio]]*SUM(K69:K$105))</f>
        <v>1213924.4270628195</v>
      </c>
      <c r="V6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Row],[Cancellation_Ratio]]*SUM(L69:L$105))</f>
        <v>-394525.43879541638</v>
      </c>
      <c r="W69" s="19">
        <f>CF_Gen_4[[#This Row],[Expected_Acquisition]]</f>
        <v>0</v>
      </c>
      <c r="X6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69" s="19">
        <f>-CF_Gen_4[[#This Row],[Probability_of_Inforce]]*CF_Gen_4[[#This Row],[Earned_Premium]]*(1-CF_Gen_4[[#This Row],[Cancellation_Ratio]])*CF_Gen_4[[#This Row],[Loss_Ratio]]</f>
        <v>875512.02555918437</v>
      </c>
      <c r="Z69" s="19">
        <f>CF_Gen_4[[#This Row],[Exp_Claim]]*CF_Gen_4[[#This Row],[Risk_Adjustment_Ratio]]</f>
        <v>113816.56332269397</v>
      </c>
      <c r="AA69" s="19">
        <f>IF(CF_Gen_4[[#This Row],[Contract]]="RC",-CF_Gen_4[[#This Row],[NPR_Ratio]]*CF_Gen_4[[#This Row],[Exp_Claim]],0)</f>
        <v>-24514.336715657162</v>
      </c>
      <c r="AB69" s="19">
        <f>SUMIFS(Actual_CF[Actual_Premium],Actual_CF[ICG],CF_Gen_4[[#This Row],[ICG]],Actual_CF[Incurred],CF_Gen_4[[#This Row],[Incurred]])</f>
        <v>0</v>
      </c>
      <c r="AC69" s="19">
        <f>SUMIFS(Actual_CF[Actual_Commission],Actual_CF[ICG],CF_Gen_4[[#This Row],[ICG]],Actual_CF[Incurred],CF_Gen_4[[#This Row],[Incurred]])</f>
        <v>0</v>
      </c>
      <c r="AD69" s="19">
        <f>SUMIFS(Actual_CF[Actual_Acquisition],Actual_CF[ICG],CF_Gen_4[[#This Row],[ICG]],Actual_CF[Incurred],CF_Gen_4[[#This Row],[Incurred]])</f>
        <v>0</v>
      </c>
    </row>
    <row r="70" spans="1:30">
      <c r="A70" t="str">
        <f t="shared" si="3"/>
        <v>#2025#RC-Property</v>
      </c>
      <c r="B70">
        <f>_xlfn.XLOOKUP(CF_Gen_4[[#This Row],[ICG]],ICG[ICG],ICG[Cohort])</f>
        <v>2025</v>
      </c>
      <c r="C70" t="str">
        <f>_xlfn.XLOOKUP(CF_Gen_4[[#This Row],[ICG]],ICG[ICG],ICG[Portfolio])</f>
        <v>RC-Property</v>
      </c>
      <c r="D70" t="str">
        <f>_xlfn.XLOOKUP(CF_Gen_4[[#This Row],[ICG]],ICG[ICG],ICG[Contract])</f>
        <v>RC</v>
      </c>
      <c r="E70" s="2">
        <f t="shared" si="2"/>
        <v>45930</v>
      </c>
      <c r="F70">
        <v>69</v>
      </c>
      <c r="G70" s="2">
        <f>EOMONTH(DATE(YEAR(CF_Gen_4[[#This Row],[Valuation]])-1,12,31),CF_Gen_4[[#This Row],['#Incurred]]*3)</f>
        <v>51956</v>
      </c>
      <c r="H70" s="14">
        <f>SUMIFS(Expected_CF[Expected_Premium],Expected_CF[ICG],CF_Gen_4[[#This Row],[ICG]],Expected_CF[Incurred],CF_Gen_4[[#This Row],[Incurred]])</f>
        <v>0</v>
      </c>
      <c r="I70" s="14">
        <f>SUMIFS(Expected_CF[Expected_Commission],Expected_CF[ICG],CF_Gen_4[[#This Row],[ICG]],Expected_CF[Incurred],CF_Gen_4[[#This Row],[Incurred]])</f>
        <v>0</v>
      </c>
      <c r="J70" s="14">
        <f>IF(CF_Gen_4[[#This Row],[Contract]]="IC",SUMIFS(Expected_CF[Expected_Acquisition],Expected_CF[ICG],CF_Gen_4[[#This Row],[ICG]],Expected_CF[Incurred],CF_Gen_4[[#This Row],[Incurred]]),0)</f>
        <v>0</v>
      </c>
      <c r="K70" s="14">
        <f>SUMIFS(Earned[Earned_Premium],Earned[ICG],CF_Gen_4[[#This Row],[ICG]],Earned[Incurred],CF_Gen_4[[#This Row],[Incurred]])</f>
        <v>-305104573.92115486</v>
      </c>
      <c r="L70" s="14">
        <f>SUMIFS(Earned[Earned_Commission],Earned[ICG],CF_Gen_4[[#This Row],[ICG]],Earned[Incurred],CF_Gen_4[[#This Row],[Incurred]])</f>
        <v>99158986.524375349</v>
      </c>
      <c r="M70" s="18">
        <f>_xlfn.XLOOKUP(CF_Gen_4[[#This Row],[ICG]],Assumptions[ICG],Assumptions[Loss_Ratio])</f>
        <v>0.38</v>
      </c>
      <c r="N70" s="18">
        <f>_xlfn.XLOOKUP(CF_Gen_4[[#This Row],[ICG]],Assumptions[ICG],Assumptions[Risk_Adjustment_Ratio])</f>
        <v>0.13</v>
      </c>
      <c r="O70" s="18">
        <f>_xlfn.XLOOKUP(CF_Gen_4[[#This Row],[ICG]],Assumptions[ICG],Assumptions[PME_Ratio])</f>
        <v>0</v>
      </c>
      <c r="P70" s="18">
        <f>_xlfn.XLOOKUP(CF_Gen_4[[#This Row],[ICG]],Assumptions[ICG],Assumptions[ULAE_Ratio])</f>
        <v>0</v>
      </c>
      <c r="Q70" s="18">
        <f>_xlfn.XLOOKUP(CF_Gen_4[[#This Row],[ICG]],Assumptions[ICG],Assumptions[Cancellation_Ratio])</f>
        <v>7.0000000000000007E-2</v>
      </c>
      <c r="R70" s="18">
        <f>_xlfn.XLOOKUP(CF_Gen_4[[#This Row],[ICG]],Assumptions[ICG],Assumptions[Premium_Refund_Ratio])</f>
        <v>0.5</v>
      </c>
      <c r="S70" s="18">
        <f>IF(CF_Gen_4[[#This Row],[Contract]]="RC",_xlfn.XLOOKUP(CF_Gen_4[[#This Row],[ICG]],Assumptions[ICG],Assumptions[NPR_Ratio]),0)</f>
        <v>2.8000000000000001E-2</v>
      </c>
      <c r="T70" s="17">
        <f>T69*(1-CF_Gen_4[[#This Row],[Cancellation_Ratio]])</f>
        <v>7.1918480277701428E-3</v>
      </c>
      <c r="U70" s="19">
        <f>IF(CF_Gen_4[[#This Row],[Incurred]]&lt;=CF_Gen_4[[#This Row],[Valuation]],CF_Gen_4[[#This Row],[Expected_Premium]],-CF_Gen_4[[#This Row],[Probability_of_Inforce]]*CF_Gen_4[[#This Row],[Premium_Refund_Ratio]]*CF_Gen_4[[#This Row],[Cancellation_Ratio]]*SUM(K70:K$105))</f>
        <v>1048310.4516563923</v>
      </c>
      <c r="V7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Row],[Cancellation_Ratio]]*SUM(L70:L$105))</f>
        <v>-340700.89678832743</v>
      </c>
      <c r="W70" s="19">
        <f>CF_Gen_4[[#This Row],[Expected_Acquisition]]</f>
        <v>0</v>
      </c>
      <c r="X7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0" s="19">
        <f>-CF_Gen_4[[#This Row],[Probability_of_Inforce]]*CF_Gen_4[[#This Row],[Earned_Premium]]*(1-CF_Gen_4[[#This Row],[Cancellation_Ratio]])*CF_Gen_4[[#This Row],[Loss_Ratio]]</f>
        <v>775453.50835242041</v>
      </c>
      <c r="Z70" s="19">
        <f>CF_Gen_4[[#This Row],[Exp_Claim]]*CF_Gen_4[[#This Row],[Risk_Adjustment_Ratio]]</f>
        <v>100808.95608581466</v>
      </c>
      <c r="AA70" s="19">
        <f>IF(CF_Gen_4[[#This Row],[Contract]]="RC",-CF_Gen_4[[#This Row],[NPR_Ratio]]*CF_Gen_4[[#This Row],[Exp_Claim]],0)</f>
        <v>-21712.698233867774</v>
      </c>
      <c r="AB70" s="19">
        <f>SUMIFS(Actual_CF[Actual_Premium],Actual_CF[ICG],CF_Gen_4[[#This Row],[ICG]],Actual_CF[Incurred],CF_Gen_4[[#This Row],[Incurred]])</f>
        <v>0</v>
      </c>
      <c r="AC70" s="19">
        <f>SUMIFS(Actual_CF[Actual_Commission],Actual_CF[ICG],CF_Gen_4[[#This Row],[ICG]],Actual_CF[Incurred],CF_Gen_4[[#This Row],[Incurred]])</f>
        <v>0</v>
      </c>
      <c r="AD70" s="19">
        <f>SUMIFS(Actual_CF[Actual_Acquisition],Actual_CF[ICG],CF_Gen_4[[#This Row],[ICG]],Actual_CF[Incurred],CF_Gen_4[[#This Row],[Incurred]])</f>
        <v>0</v>
      </c>
    </row>
    <row r="71" spans="1:30">
      <c r="A71" t="str">
        <f t="shared" si="3"/>
        <v>#2025#RC-Property</v>
      </c>
      <c r="B71">
        <f>_xlfn.XLOOKUP(CF_Gen_4[[#This Row],[ICG]],ICG[ICG],ICG[Cohort])</f>
        <v>2025</v>
      </c>
      <c r="C71" t="str">
        <f>_xlfn.XLOOKUP(CF_Gen_4[[#This Row],[ICG]],ICG[ICG],ICG[Portfolio])</f>
        <v>RC-Property</v>
      </c>
      <c r="D71" t="str">
        <f>_xlfn.XLOOKUP(CF_Gen_4[[#This Row],[ICG]],ICG[ICG],ICG[Contract])</f>
        <v>RC</v>
      </c>
      <c r="E71" s="2">
        <f t="shared" si="2"/>
        <v>45930</v>
      </c>
      <c r="F71">
        <v>70</v>
      </c>
      <c r="G71" s="2">
        <f>EOMONTH(DATE(YEAR(CF_Gen_4[[#This Row],[Valuation]])-1,12,31),CF_Gen_4[[#This Row],['#Incurred]]*3)</f>
        <v>52047</v>
      </c>
      <c r="H71" s="14">
        <f>SUMIFS(Expected_CF[Expected_Premium],Expected_CF[ICG],CF_Gen_4[[#This Row],[ICG]],Expected_CF[Incurred],CF_Gen_4[[#This Row],[Incurred]])</f>
        <v>0</v>
      </c>
      <c r="I71" s="14">
        <f>SUMIFS(Expected_CF[Expected_Commission],Expected_CF[ICG],CF_Gen_4[[#This Row],[ICG]],Expected_CF[Incurred],CF_Gen_4[[#This Row],[Incurred]])</f>
        <v>0</v>
      </c>
      <c r="J71" s="14">
        <f>IF(CF_Gen_4[[#This Row],[Contract]]="IC",SUMIFS(Expected_CF[Expected_Acquisition],Expected_CF[ICG],CF_Gen_4[[#This Row],[ICG]],Expected_CF[Incurred],CF_Gen_4[[#This Row],[Incurred]]),0)</f>
        <v>0</v>
      </c>
      <c r="K71" s="14">
        <f>SUMIFS(Earned[Earned_Premium],Earned[ICG],CF_Gen_4[[#This Row],[ICG]],Earned[Incurred],CF_Gen_4[[#This Row],[Incurred]])</f>
        <v>-289849345.22509712</v>
      </c>
      <c r="L71" s="14">
        <f>SUMIFS(Earned[Earned_Commission],Earned[ICG],CF_Gen_4[[#This Row],[ICG]],Earned[Incurred],CF_Gen_4[[#This Row],[Incurred]])</f>
        <v>94201037.19815658</v>
      </c>
      <c r="M71" s="18">
        <f>_xlfn.XLOOKUP(CF_Gen_4[[#This Row],[ICG]],Assumptions[ICG],Assumptions[Loss_Ratio])</f>
        <v>0.38</v>
      </c>
      <c r="N71" s="18">
        <f>_xlfn.XLOOKUP(CF_Gen_4[[#This Row],[ICG]],Assumptions[ICG],Assumptions[Risk_Adjustment_Ratio])</f>
        <v>0.13</v>
      </c>
      <c r="O71" s="18">
        <f>_xlfn.XLOOKUP(CF_Gen_4[[#This Row],[ICG]],Assumptions[ICG],Assumptions[PME_Ratio])</f>
        <v>0</v>
      </c>
      <c r="P71" s="18">
        <f>_xlfn.XLOOKUP(CF_Gen_4[[#This Row],[ICG]],Assumptions[ICG],Assumptions[ULAE_Ratio])</f>
        <v>0</v>
      </c>
      <c r="Q71" s="18">
        <f>_xlfn.XLOOKUP(CF_Gen_4[[#This Row],[ICG]],Assumptions[ICG],Assumptions[Cancellation_Ratio])</f>
        <v>7.0000000000000007E-2</v>
      </c>
      <c r="R71" s="18">
        <f>_xlfn.XLOOKUP(CF_Gen_4[[#This Row],[ICG]],Assumptions[ICG],Assumptions[Premium_Refund_Ratio])</f>
        <v>0.5</v>
      </c>
      <c r="S71" s="18">
        <f>IF(CF_Gen_4[[#This Row],[Contract]]="RC",_xlfn.XLOOKUP(CF_Gen_4[[#This Row],[ICG]],Assumptions[ICG],Assumptions[NPR_Ratio]),0)</f>
        <v>2.8000000000000001E-2</v>
      </c>
      <c r="T71" s="17">
        <f>T70*(1-CF_Gen_4[[#This Row],[Cancellation_Ratio]])</f>
        <v>6.6884186658262325E-3</v>
      </c>
      <c r="U71" s="19">
        <f>IF(CF_Gen_4[[#This Row],[Incurred]]&lt;=CF_Gen_4[[#This Row],[Valuation]],CF_Gen_4[[#This Row],[Expected_Premium]],-CF_Gen_4[[#This Row],[Probability_of_Inforce]]*CF_Gen_4[[#This Row],[Premium_Refund_Ratio]]*CF_Gen_4[[#This Row],[Cancellation_Ratio]]*SUM(K71:K$105))</f>
        <v>903505.37058693229</v>
      </c>
      <c r="V7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Row],[Cancellation_Ratio]]*SUM(L71:L$105))</f>
        <v>-293639.24544075294</v>
      </c>
      <c r="W71" s="19">
        <f>CF_Gen_4[[#This Row],[Expected_Acquisition]]</f>
        <v>0</v>
      </c>
      <c r="X7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1" s="19">
        <f>-CF_Gen_4[[#This Row],[Probability_of_Inforce]]*CF_Gen_4[[#This Row],[Earned_Premium]]*(1-CF_Gen_4[[#This Row],[Cancellation_Ratio]])*CF_Gen_4[[#This Row],[Loss_Ratio]]</f>
        <v>685113.17462936346</v>
      </c>
      <c r="Z71" s="19">
        <f>CF_Gen_4[[#This Row],[Exp_Claim]]*CF_Gen_4[[#This Row],[Risk_Adjustment_Ratio]]</f>
        <v>89064.712701817247</v>
      </c>
      <c r="AA71" s="19">
        <f>IF(CF_Gen_4[[#This Row],[Contract]]="RC",-CF_Gen_4[[#This Row],[NPR_Ratio]]*CF_Gen_4[[#This Row],[Exp_Claim]],0)</f>
        <v>-19183.168889622179</v>
      </c>
      <c r="AB71" s="19">
        <f>SUMIFS(Actual_CF[Actual_Premium],Actual_CF[ICG],CF_Gen_4[[#This Row],[ICG]],Actual_CF[Incurred],CF_Gen_4[[#This Row],[Incurred]])</f>
        <v>0</v>
      </c>
      <c r="AC71" s="19">
        <f>SUMIFS(Actual_CF[Actual_Commission],Actual_CF[ICG],CF_Gen_4[[#This Row],[ICG]],Actual_CF[Incurred],CF_Gen_4[[#This Row],[Incurred]])</f>
        <v>0</v>
      </c>
      <c r="AD71" s="19">
        <f>SUMIFS(Actual_CF[Actual_Acquisition],Actual_CF[ICG],CF_Gen_4[[#This Row],[ICG]],Actual_CF[Incurred],CF_Gen_4[[#This Row],[Incurred]])</f>
        <v>0</v>
      </c>
    </row>
    <row r="72" spans="1:30">
      <c r="A72" t="str">
        <f t="shared" si="3"/>
        <v>#2025#RC-Property</v>
      </c>
      <c r="B72">
        <f>_xlfn.XLOOKUP(CF_Gen_4[[#This Row],[ICG]],ICG[ICG],ICG[Cohort])</f>
        <v>2025</v>
      </c>
      <c r="C72" t="str">
        <f>_xlfn.XLOOKUP(CF_Gen_4[[#This Row],[ICG]],ICG[ICG],ICG[Portfolio])</f>
        <v>RC-Property</v>
      </c>
      <c r="D72" t="str">
        <f>_xlfn.XLOOKUP(CF_Gen_4[[#This Row],[ICG]],ICG[ICG],ICG[Contract])</f>
        <v>RC</v>
      </c>
      <c r="E72" s="2">
        <f t="shared" si="2"/>
        <v>45930</v>
      </c>
      <c r="F72">
        <v>71</v>
      </c>
      <c r="G72" s="2">
        <f>EOMONTH(DATE(YEAR(CF_Gen_4[[#This Row],[Valuation]])-1,12,31),CF_Gen_4[[#This Row],['#Incurred]]*3)</f>
        <v>52139</v>
      </c>
      <c r="H72" s="14">
        <f>SUMIFS(Expected_CF[Expected_Premium],Expected_CF[ICG],CF_Gen_4[[#This Row],[ICG]],Expected_CF[Incurred],CF_Gen_4[[#This Row],[Incurred]])</f>
        <v>0</v>
      </c>
      <c r="I72" s="14">
        <f>SUMIFS(Expected_CF[Expected_Commission],Expected_CF[ICG],CF_Gen_4[[#This Row],[ICG]],Expected_CF[Incurred],CF_Gen_4[[#This Row],[Incurred]])</f>
        <v>0</v>
      </c>
      <c r="J72" s="14">
        <f>IF(CF_Gen_4[[#This Row],[Contract]]="IC",SUMIFS(Expected_CF[Expected_Acquisition],Expected_CF[ICG],CF_Gen_4[[#This Row],[ICG]],Expected_CF[Incurred],CF_Gen_4[[#This Row],[Incurred]]),0)</f>
        <v>0</v>
      </c>
      <c r="K72" s="14">
        <f>SUMIFS(Earned[Earned_Premium],Earned[ICG],CF_Gen_4[[#This Row],[ICG]],Earned[Incurred],CF_Gen_4[[#This Row],[Incurred]])</f>
        <v>-274594116.52903938</v>
      </c>
      <c r="L72" s="14">
        <f>SUMIFS(Earned[Earned_Commission],Earned[ICG],CF_Gen_4[[#This Row],[ICG]],Earned[Incurred],CF_Gen_4[[#This Row],[Incurred]])</f>
        <v>89243087.871937811</v>
      </c>
      <c r="M72" s="18">
        <f>_xlfn.XLOOKUP(CF_Gen_4[[#This Row],[ICG]],Assumptions[ICG],Assumptions[Loss_Ratio])</f>
        <v>0.38</v>
      </c>
      <c r="N72" s="18">
        <f>_xlfn.XLOOKUP(CF_Gen_4[[#This Row],[ICG]],Assumptions[ICG],Assumptions[Risk_Adjustment_Ratio])</f>
        <v>0.13</v>
      </c>
      <c r="O72" s="18">
        <f>_xlfn.XLOOKUP(CF_Gen_4[[#This Row],[ICG]],Assumptions[ICG],Assumptions[PME_Ratio])</f>
        <v>0</v>
      </c>
      <c r="P72" s="18">
        <f>_xlfn.XLOOKUP(CF_Gen_4[[#This Row],[ICG]],Assumptions[ICG],Assumptions[ULAE_Ratio])</f>
        <v>0</v>
      </c>
      <c r="Q72" s="18">
        <f>_xlfn.XLOOKUP(CF_Gen_4[[#This Row],[ICG]],Assumptions[ICG],Assumptions[Cancellation_Ratio])</f>
        <v>7.0000000000000007E-2</v>
      </c>
      <c r="R72" s="18">
        <f>_xlfn.XLOOKUP(CF_Gen_4[[#This Row],[ICG]],Assumptions[ICG],Assumptions[Premium_Refund_Ratio])</f>
        <v>0.5</v>
      </c>
      <c r="S72" s="18">
        <f>IF(CF_Gen_4[[#This Row],[Contract]]="RC",_xlfn.XLOOKUP(CF_Gen_4[[#This Row],[ICG]],Assumptions[ICG],Assumptions[NPR_Ratio]),0)</f>
        <v>2.8000000000000001E-2</v>
      </c>
      <c r="T72" s="17">
        <f>T71*(1-CF_Gen_4[[#This Row],[Cancellation_Ratio]])</f>
        <v>6.2202293592183962E-3</v>
      </c>
      <c r="U72" s="19">
        <f>IF(CF_Gen_4[[#This Row],[Incurred]]&lt;=CF_Gen_4[[#This Row],[Valuation]],CF_Gen_4[[#This Row],[Expected_Premium]],-CF_Gen_4[[#This Row],[Probability_of_Inforce]]*CF_Gen_4[[#This Row],[Premium_Refund_Ratio]]*CF_Gen_4[[#This Row],[Cancellation_Ratio]]*SUM(K72:K$105))</f>
        <v>777157.46540366882</v>
      </c>
      <c r="V7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Row],[Cancellation_Ratio]]*SUM(L72:L$105))</f>
        <v>-252576.17625619232</v>
      </c>
      <c r="W72" s="19">
        <f>CF_Gen_4[[#This Row],[Expected_Acquisition]]</f>
        <v>0</v>
      </c>
      <c r="X7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2" s="19">
        <f>-CF_Gen_4[[#This Row],[Probability_of_Inforce]]*CF_Gen_4[[#This Row],[Earned_Premium]]*(1-CF_Gen_4[[#This Row],[Cancellation_Ratio]])*CF_Gen_4[[#This Row],[Loss_Ratio]]</f>
        <v>603620.76543660765</v>
      </c>
      <c r="Z72" s="19">
        <f>CF_Gen_4[[#This Row],[Exp_Claim]]*CF_Gen_4[[#This Row],[Risk_Adjustment_Ratio]]</f>
        <v>78470.699506759003</v>
      </c>
      <c r="AA72" s="19">
        <f>IF(CF_Gen_4[[#This Row],[Contract]]="RC",-CF_Gen_4[[#This Row],[NPR_Ratio]]*CF_Gen_4[[#This Row],[Exp_Claim]],0)</f>
        <v>-16901.381432225015</v>
      </c>
      <c r="AB72" s="19">
        <f>SUMIFS(Actual_CF[Actual_Premium],Actual_CF[ICG],CF_Gen_4[[#This Row],[ICG]],Actual_CF[Incurred],CF_Gen_4[[#This Row],[Incurred]])</f>
        <v>0</v>
      </c>
      <c r="AC72" s="19">
        <f>SUMIFS(Actual_CF[Actual_Commission],Actual_CF[ICG],CF_Gen_4[[#This Row],[ICG]],Actual_CF[Incurred],CF_Gen_4[[#This Row],[Incurred]])</f>
        <v>0</v>
      </c>
      <c r="AD72" s="19">
        <f>SUMIFS(Actual_CF[Actual_Acquisition],Actual_CF[ICG],CF_Gen_4[[#This Row],[ICG]],Actual_CF[Incurred],CF_Gen_4[[#This Row],[Incurred]])</f>
        <v>0</v>
      </c>
    </row>
    <row r="73" spans="1:30">
      <c r="A73" t="str">
        <f t="shared" si="3"/>
        <v>#2025#RC-Property</v>
      </c>
      <c r="B73">
        <f>_xlfn.XLOOKUP(CF_Gen_4[[#This Row],[ICG]],ICG[ICG],ICG[Cohort])</f>
        <v>2025</v>
      </c>
      <c r="C73" t="str">
        <f>_xlfn.XLOOKUP(CF_Gen_4[[#This Row],[ICG]],ICG[ICG],ICG[Portfolio])</f>
        <v>RC-Property</v>
      </c>
      <c r="D73" t="str">
        <f>_xlfn.XLOOKUP(CF_Gen_4[[#This Row],[ICG]],ICG[ICG],ICG[Contract])</f>
        <v>RC</v>
      </c>
      <c r="E73" s="2">
        <f t="shared" si="2"/>
        <v>45930</v>
      </c>
      <c r="F73">
        <v>72</v>
      </c>
      <c r="G73" s="2">
        <f>EOMONTH(DATE(YEAR(CF_Gen_4[[#This Row],[Valuation]])-1,12,31),CF_Gen_4[[#This Row],['#Incurred]]*3)</f>
        <v>52231</v>
      </c>
      <c r="H73" s="14">
        <f>SUMIFS(Expected_CF[Expected_Premium],Expected_CF[ICG],CF_Gen_4[[#This Row],[ICG]],Expected_CF[Incurred],CF_Gen_4[[#This Row],[Incurred]])</f>
        <v>0</v>
      </c>
      <c r="I73" s="14">
        <f>SUMIFS(Expected_CF[Expected_Commission],Expected_CF[ICG],CF_Gen_4[[#This Row],[ICG]],Expected_CF[Incurred],CF_Gen_4[[#This Row],[Incurred]])</f>
        <v>0</v>
      </c>
      <c r="J73" s="14">
        <f>IF(CF_Gen_4[[#This Row],[Contract]]="IC",SUMIFS(Expected_CF[Expected_Acquisition],Expected_CF[ICG],CF_Gen_4[[#This Row],[ICG]],Expected_CF[Incurred],CF_Gen_4[[#This Row],[Incurred]]),0)</f>
        <v>0</v>
      </c>
      <c r="K73" s="14">
        <f>SUMIFS(Earned[Earned_Premium],Earned[ICG],CF_Gen_4[[#This Row],[ICG]],Earned[Incurred],CF_Gen_4[[#This Row],[Incurred]])</f>
        <v>-274594116.52903938</v>
      </c>
      <c r="L73" s="14">
        <f>SUMIFS(Earned[Earned_Commission],Earned[ICG],CF_Gen_4[[#This Row],[ICG]],Earned[Incurred],CF_Gen_4[[#This Row],[Incurred]])</f>
        <v>89243087.871937811</v>
      </c>
      <c r="M73" s="18">
        <f>_xlfn.XLOOKUP(CF_Gen_4[[#This Row],[ICG]],Assumptions[ICG],Assumptions[Loss_Ratio])</f>
        <v>0.38</v>
      </c>
      <c r="N73" s="18">
        <f>_xlfn.XLOOKUP(CF_Gen_4[[#This Row],[ICG]],Assumptions[ICG],Assumptions[Risk_Adjustment_Ratio])</f>
        <v>0.13</v>
      </c>
      <c r="O73" s="18">
        <f>_xlfn.XLOOKUP(CF_Gen_4[[#This Row],[ICG]],Assumptions[ICG],Assumptions[PME_Ratio])</f>
        <v>0</v>
      </c>
      <c r="P73" s="18">
        <f>_xlfn.XLOOKUP(CF_Gen_4[[#This Row],[ICG]],Assumptions[ICG],Assumptions[ULAE_Ratio])</f>
        <v>0</v>
      </c>
      <c r="Q73" s="18">
        <f>_xlfn.XLOOKUP(CF_Gen_4[[#This Row],[ICG]],Assumptions[ICG],Assumptions[Cancellation_Ratio])</f>
        <v>7.0000000000000007E-2</v>
      </c>
      <c r="R73" s="18">
        <f>_xlfn.XLOOKUP(CF_Gen_4[[#This Row],[ICG]],Assumptions[ICG],Assumptions[Premium_Refund_Ratio])</f>
        <v>0.5</v>
      </c>
      <c r="S73" s="18">
        <f>IF(CF_Gen_4[[#This Row],[Contract]]="RC",_xlfn.XLOOKUP(CF_Gen_4[[#This Row],[ICG]],Assumptions[ICG],Assumptions[NPR_Ratio]),0)</f>
        <v>2.8000000000000001E-2</v>
      </c>
      <c r="T73" s="17">
        <f>T72*(1-CF_Gen_4[[#This Row],[Cancellation_Ratio]])</f>
        <v>5.7848133040731085E-3</v>
      </c>
      <c r="U73" s="19">
        <f>IF(CF_Gen_4[[#This Row],[Incurred]]&lt;=CF_Gen_4[[#This Row],[Valuation]],CF_Gen_4[[#This Row],[Expected_Premium]],-CF_Gen_4[[#This Row],[Probability_of_Inforce]]*CF_Gen_4[[#This Row],[Premium_Refund_Ratio]]*CF_Gen_4[[#This Row],[Cancellation_Ratio]]*SUM(K73:K$105))</f>
        <v>667159.7933773034</v>
      </c>
      <c r="V7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Row],[Cancellation_Ratio]]*SUM(L73:L$105))</f>
        <v>-216826.9328476236</v>
      </c>
      <c r="W73" s="19">
        <f>CF_Gen_4[[#This Row],[Expected_Acquisition]]</f>
        <v>0</v>
      </c>
      <c r="X7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3" s="19">
        <f>-CF_Gen_4[[#This Row],[Probability_of_Inforce]]*CF_Gen_4[[#This Row],[Earned_Premium]]*(1-CF_Gen_4[[#This Row],[Cancellation_Ratio]])*CF_Gen_4[[#This Row],[Loss_Ratio]]</f>
        <v>561367.31185604504</v>
      </c>
      <c r="Z73" s="19">
        <f>CF_Gen_4[[#This Row],[Exp_Claim]]*CF_Gen_4[[#This Row],[Risk_Adjustment_Ratio]]</f>
        <v>72977.750541285859</v>
      </c>
      <c r="AA73" s="19">
        <f>IF(CF_Gen_4[[#This Row],[Contract]]="RC",-CF_Gen_4[[#This Row],[NPR_Ratio]]*CF_Gen_4[[#This Row],[Exp_Claim]],0)</f>
        <v>-15718.284731969261</v>
      </c>
      <c r="AB73" s="19">
        <f>SUMIFS(Actual_CF[Actual_Premium],Actual_CF[ICG],CF_Gen_4[[#This Row],[ICG]],Actual_CF[Incurred],CF_Gen_4[[#This Row],[Incurred]])</f>
        <v>0</v>
      </c>
      <c r="AC73" s="19">
        <f>SUMIFS(Actual_CF[Actual_Commission],Actual_CF[ICG],CF_Gen_4[[#This Row],[ICG]],Actual_CF[Incurred],CF_Gen_4[[#This Row],[Incurred]])</f>
        <v>0</v>
      </c>
      <c r="AD73" s="19">
        <f>SUMIFS(Actual_CF[Actual_Acquisition],Actual_CF[ICG],CF_Gen_4[[#This Row],[ICG]],Actual_CF[Incurred],CF_Gen_4[[#This Row],[Incurred]])</f>
        <v>0</v>
      </c>
    </row>
    <row r="74" spans="1:30">
      <c r="A74" t="str">
        <f t="shared" si="3"/>
        <v>#2025#RC-Property</v>
      </c>
      <c r="B74">
        <f>_xlfn.XLOOKUP(CF_Gen_4[[#This Row],[ICG]],ICG[ICG],ICG[Cohort])</f>
        <v>2025</v>
      </c>
      <c r="C74" t="str">
        <f>_xlfn.XLOOKUP(CF_Gen_4[[#This Row],[ICG]],ICG[ICG],ICG[Portfolio])</f>
        <v>RC-Property</v>
      </c>
      <c r="D74" t="str">
        <f>_xlfn.XLOOKUP(CF_Gen_4[[#This Row],[ICG]],ICG[ICG],ICG[Contract])</f>
        <v>RC</v>
      </c>
      <c r="E74" s="2">
        <f t="shared" si="2"/>
        <v>45930</v>
      </c>
      <c r="F74">
        <v>73</v>
      </c>
      <c r="G74" s="2">
        <f>EOMONTH(DATE(YEAR(CF_Gen_4[[#This Row],[Valuation]])-1,12,31),CF_Gen_4[[#This Row],['#Incurred]]*3)</f>
        <v>52321</v>
      </c>
      <c r="H74" s="14">
        <f>SUMIFS(Expected_CF[Expected_Premium],Expected_CF[ICG],CF_Gen_4[[#This Row],[ICG]],Expected_CF[Incurred],CF_Gen_4[[#This Row],[Incurred]])</f>
        <v>0</v>
      </c>
      <c r="I74" s="14">
        <f>SUMIFS(Expected_CF[Expected_Commission],Expected_CF[ICG],CF_Gen_4[[#This Row],[ICG]],Expected_CF[Incurred],CF_Gen_4[[#This Row],[Incurred]])</f>
        <v>0</v>
      </c>
      <c r="J74" s="14">
        <f>IF(CF_Gen_4[[#This Row],[Contract]]="IC",SUMIFS(Expected_CF[Expected_Acquisition],Expected_CF[ICG],CF_Gen_4[[#This Row],[ICG]],Expected_CF[Incurred],CF_Gen_4[[#This Row],[Incurred]]),0)</f>
        <v>0</v>
      </c>
      <c r="K74" s="14">
        <f>SUMIFS(Earned[Earned_Premium],Earned[ICG],CF_Gen_4[[#This Row],[ICG]],Earned[Incurred],CF_Gen_4[[#This Row],[Incurred]])</f>
        <v>-259338887.83298165</v>
      </c>
      <c r="L74" s="14">
        <f>SUMIFS(Earned[Earned_Commission],Earned[ICG],CF_Gen_4[[#This Row],[ICG]],Earned[Incurred],CF_Gen_4[[#This Row],[Incurred]])</f>
        <v>84285138.545719042</v>
      </c>
      <c r="M74" s="18">
        <f>_xlfn.XLOOKUP(CF_Gen_4[[#This Row],[ICG]],Assumptions[ICG],Assumptions[Loss_Ratio])</f>
        <v>0.38</v>
      </c>
      <c r="N74" s="18">
        <f>_xlfn.XLOOKUP(CF_Gen_4[[#This Row],[ICG]],Assumptions[ICG],Assumptions[Risk_Adjustment_Ratio])</f>
        <v>0.13</v>
      </c>
      <c r="O74" s="18">
        <f>_xlfn.XLOOKUP(CF_Gen_4[[#This Row],[ICG]],Assumptions[ICG],Assumptions[PME_Ratio])</f>
        <v>0</v>
      </c>
      <c r="P74" s="18">
        <f>_xlfn.XLOOKUP(CF_Gen_4[[#This Row],[ICG]],Assumptions[ICG],Assumptions[ULAE_Ratio])</f>
        <v>0</v>
      </c>
      <c r="Q74" s="18">
        <f>_xlfn.XLOOKUP(CF_Gen_4[[#This Row],[ICG]],Assumptions[ICG],Assumptions[Cancellation_Ratio])</f>
        <v>7.0000000000000007E-2</v>
      </c>
      <c r="R74" s="18">
        <f>_xlfn.XLOOKUP(CF_Gen_4[[#This Row],[ICG]],Assumptions[ICG],Assumptions[Premium_Refund_Ratio])</f>
        <v>0.5</v>
      </c>
      <c r="S74" s="18">
        <f>IF(CF_Gen_4[[#This Row],[Contract]]="RC",_xlfn.XLOOKUP(CF_Gen_4[[#This Row],[ICG]],Assumptions[ICG],Assumptions[NPR_Ratio]),0)</f>
        <v>2.8000000000000001E-2</v>
      </c>
      <c r="T74" s="17">
        <f>T73*(1-CF_Gen_4[[#This Row],[Cancellation_Ratio]])</f>
        <v>5.3798763727879902E-3</v>
      </c>
      <c r="U74" s="19">
        <f>IF(CF_Gen_4[[#This Row],[Incurred]]&lt;=CF_Gen_4[[#This Row],[Valuation]],CF_Gen_4[[#This Row],[Expected_Premium]],-CF_Gen_4[[#This Row],[Probability_of_Inforce]]*CF_Gen_4[[#This Row],[Premium_Refund_Ratio]]*CF_Gen_4[[#This Row],[Cancellation_Ratio]]*SUM(K74:K$105))</f>
        <v>568753.72385415097</v>
      </c>
      <c r="V7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Row],[Cancellation_Ratio]]*SUM(L74:L$105))</f>
        <v>-184844.96025259906</v>
      </c>
      <c r="W74" s="19">
        <f>CF_Gen_4[[#This Row],[Expected_Acquisition]]</f>
        <v>0</v>
      </c>
      <c r="X7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4" s="19">
        <f>-CF_Gen_4[[#This Row],[Probability_of_Inforce]]*CF_Gen_4[[#This Row],[Earned_Premium]]*(1-CF_Gen_4[[#This Row],[Cancellation_Ratio]])*CF_Gen_4[[#This Row],[Loss_Ratio]]</f>
        <v>493067.62224689289</v>
      </c>
      <c r="Z74" s="19">
        <f>CF_Gen_4[[#This Row],[Exp_Claim]]*CF_Gen_4[[#This Row],[Risk_Adjustment_Ratio]]</f>
        <v>64098.790892096076</v>
      </c>
      <c r="AA74" s="19">
        <f>IF(CF_Gen_4[[#This Row],[Contract]]="RC",-CF_Gen_4[[#This Row],[NPR_Ratio]]*CF_Gen_4[[#This Row],[Exp_Claim]],0)</f>
        <v>-13805.893422913001</v>
      </c>
      <c r="AB74" s="19">
        <f>SUMIFS(Actual_CF[Actual_Premium],Actual_CF[ICG],CF_Gen_4[[#This Row],[ICG]],Actual_CF[Incurred],CF_Gen_4[[#This Row],[Incurred]])</f>
        <v>0</v>
      </c>
      <c r="AC74" s="19">
        <f>SUMIFS(Actual_CF[Actual_Commission],Actual_CF[ICG],CF_Gen_4[[#This Row],[ICG]],Actual_CF[Incurred],CF_Gen_4[[#This Row],[Incurred]])</f>
        <v>0</v>
      </c>
      <c r="AD74" s="19">
        <f>SUMIFS(Actual_CF[Actual_Acquisition],Actual_CF[ICG],CF_Gen_4[[#This Row],[ICG]],Actual_CF[Incurred],CF_Gen_4[[#This Row],[Incurred]])</f>
        <v>0</v>
      </c>
    </row>
    <row r="75" spans="1:30">
      <c r="A75" t="str">
        <f t="shared" si="3"/>
        <v>#2025#RC-Property</v>
      </c>
      <c r="B75">
        <f>_xlfn.XLOOKUP(CF_Gen_4[[#This Row],[ICG]],ICG[ICG],ICG[Cohort])</f>
        <v>2025</v>
      </c>
      <c r="C75" t="str">
        <f>_xlfn.XLOOKUP(CF_Gen_4[[#This Row],[ICG]],ICG[ICG],ICG[Portfolio])</f>
        <v>RC-Property</v>
      </c>
      <c r="D75" t="str">
        <f>_xlfn.XLOOKUP(CF_Gen_4[[#This Row],[ICG]],ICG[ICG],ICG[Contract])</f>
        <v>RC</v>
      </c>
      <c r="E75" s="2">
        <f t="shared" si="2"/>
        <v>45930</v>
      </c>
      <c r="F75">
        <v>74</v>
      </c>
      <c r="G75" s="2">
        <f>EOMONTH(DATE(YEAR(CF_Gen_4[[#This Row],[Valuation]])-1,12,31),CF_Gen_4[[#This Row],['#Incurred]]*3)</f>
        <v>52412</v>
      </c>
      <c r="H75" s="14">
        <f>SUMIFS(Expected_CF[Expected_Premium],Expected_CF[ICG],CF_Gen_4[[#This Row],[ICG]],Expected_CF[Incurred],CF_Gen_4[[#This Row],[Incurred]])</f>
        <v>0</v>
      </c>
      <c r="I75" s="14">
        <f>SUMIFS(Expected_CF[Expected_Commission],Expected_CF[ICG],CF_Gen_4[[#This Row],[ICG]],Expected_CF[Incurred],CF_Gen_4[[#This Row],[Incurred]])</f>
        <v>0</v>
      </c>
      <c r="J75" s="14">
        <f>IF(CF_Gen_4[[#This Row],[Contract]]="IC",SUMIFS(Expected_CF[Expected_Acquisition],Expected_CF[ICG],CF_Gen_4[[#This Row],[ICG]],Expected_CF[Incurred],CF_Gen_4[[#This Row],[Incurred]]),0)</f>
        <v>0</v>
      </c>
      <c r="K75" s="14">
        <f>SUMIFS(Earned[Earned_Premium],Earned[ICG],CF_Gen_4[[#This Row],[ICG]],Earned[Incurred],CF_Gen_4[[#This Row],[Incurred]])</f>
        <v>-244083659.13692391</v>
      </c>
      <c r="L75" s="14">
        <f>SUMIFS(Earned[Earned_Commission],Earned[ICG],CF_Gen_4[[#This Row],[ICG]],Earned[Incurred],CF_Gen_4[[#This Row],[Incurred]])</f>
        <v>79327189.219500288</v>
      </c>
      <c r="M75" s="18">
        <f>_xlfn.XLOOKUP(CF_Gen_4[[#This Row],[ICG]],Assumptions[ICG],Assumptions[Loss_Ratio])</f>
        <v>0.38</v>
      </c>
      <c r="N75" s="18">
        <f>_xlfn.XLOOKUP(CF_Gen_4[[#This Row],[ICG]],Assumptions[ICG],Assumptions[Risk_Adjustment_Ratio])</f>
        <v>0.13</v>
      </c>
      <c r="O75" s="18">
        <f>_xlfn.XLOOKUP(CF_Gen_4[[#This Row],[ICG]],Assumptions[ICG],Assumptions[PME_Ratio])</f>
        <v>0</v>
      </c>
      <c r="P75" s="18">
        <f>_xlfn.XLOOKUP(CF_Gen_4[[#This Row],[ICG]],Assumptions[ICG],Assumptions[ULAE_Ratio])</f>
        <v>0</v>
      </c>
      <c r="Q75" s="18">
        <f>_xlfn.XLOOKUP(CF_Gen_4[[#This Row],[ICG]],Assumptions[ICG],Assumptions[Cancellation_Ratio])</f>
        <v>7.0000000000000007E-2</v>
      </c>
      <c r="R75" s="18">
        <f>_xlfn.XLOOKUP(CF_Gen_4[[#This Row],[ICG]],Assumptions[ICG],Assumptions[Premium_Refund_Ratio])</f>
        <v>0.5</v>
      </c>
      <c r="S75" s="18">
        <f>IF(CF_Gen_4[[#This Row],[Contract]]="RC",_xlfn.XLOOKUP(CF_Gen_4[[#This Row],[ICG]],Assumptions[ICG],Assumptions[NPR_Ratio]),0)</f>
        <v>2.8000000000000001E-2</v>
      </c>
      <c r="T75" s="17">
        <f>T74*(1-CF_Gen_4[[#This Row],[Cancellation_Ratio]])</f>
        <v>5.0032850266928308E-3</v>
      </c>
      <c r="U75" s="19">
        <f>IF(CF_Gen_4[[#This Row],[Incurred]]&lt;=CF_Gen_4[[#This Row],[Valuation]],CF_Gen_4[[#This Row],[Expected_Premium]],-CF_Gen_4[[#This Row],[Probability_of_Inforce]]*CF_Gen_4[[#This Row],[Premium_Refund_Ratio]]*CF_Gen_4[[#This Row],[Cancellation_Ratio]]*SUM(K75:K$105))</f>
        <v>483526.84008267289</v>
      </c>
      <c r="V7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Row],[Cancellation_Ratio]]*SUM(L75:L$105))</f>
        <v>-157146.22302686868</v>
      </c>
      <c r="W75" s="19">
        <f>CF_Gen_4[[#This Row],[Expected_Acquisition]]</f>
        <v>0</v>
      </c>
      <c r="X7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5" s="19">
        <f>-CF_Gen_4[[#This Row],[Probability_of_Inforce]]*CF_Gen_4[[#This Row],[Earned_Premium]]*(1-CF_Gen_4[[#This Row],[Cancellation_Ratio]])*CF_Gen_4[[#This Row],[Loss_Ratio]]</f>
        <v>431579.1893549274</v>
      </c>
      <c r="Z75" s="19">
        <f>CF_Gen_4[[#This Row],[Exp_Claim]]*CF_Gen_4[[#This Row],[Risk_Adjustment_Ratio]]</f>
        <v>56105.294616140563</v>
      </c>
      <c r="AA75" s="19">
        <f>IF(CF_Gen_4[[#This Row],[Contract]]="RC",-CF_Gen_4[[#This Row],[NPR_Ratio]]*CF_Gen_4[[#This Row],[Exp_Claim]],0)</f>
        <v>-12084.217301937968</v>
      </c>
      <c r="AB75" s="19">
        <f>SUMIFS(Actual_CF[Actual_Premium],Actual_CF[ICG],CF_Gen_4[[#This Row],[ICG]],Actual_CF[Incurred],CF_Gen_4[[#This Row],[Incurred]])</f>
        <v>0</v>
      </c>
      <c r="AC75" s="19">
        <f>SUMIFS(Actual_CF[Actual_Commission],Actual_CF[ICG],CF_Gen_4[[#This Row],[ICG]],Actual_CF[Incurred],CF_Gen_4[[#This Row],[Incurred]])</f>
        <v>0</v>
      </c>
      <c r="AD75" s="19">
        <f>SUMIFS(Actual_CF[Actual_Acquisition],Actual_CF[ICG],CF_Gen_4[[#This Row],[ICG]],Actual_CF[Incurred],CF_Gen_4[[#This Row],[Incurred]])</f>
        <v>0</v>
      </c>
    </row>
    <row r="76" spans="1:30">
      <c r="A76" t="str">
        <f t="shared" si="3"/>
        <v>#2025#RC-Property</v>
      </c>
      <c r="B76">
        <f>_xlfn.XLOOKUP(CF_Gen_4[[#This Row],[ICG]],ICG[ICG],ICG[Cohort])</f>
        <v>2025</v>
      </c>
      <c r="C76" t="str">
        <f>_xlfn.XLOOKUP(CF_Gen_4[[#This Row],[ICG]],ICG[ICG],ICG[Portfolio])</f>
        <v>RC-Property</v>
      </c>
      <c r="D76" t="str">
        <f>_xlfn.XLOOKUP(CF_Gen_4[[#This Row],[ICG]],ICG[ICG],ICG[Contract])</f>
        <v>RC</v>
      </c>
      <c r="E76" s="2">
        <f t="shared" si="2"/>
        <v>45930</v>
      </c>
      <c r="F76">
        <v>75</v>
      </c>
      <c r="G76" s="2">
        <f>EOMONTH(DATE(YEAR(CF_Gen_4[[#This Row],[Valuation]])-1,12,31),CF_Gen_4[[#This Row],['#Incurred]]*3)</f>
        <v>52504</v>
      </c>
      <c r="H76" s="14">
        <f>SUMIFS(Expected_CF[Expected_Premium],Expected_CF[ICG],CF_Gen_4[[#This Row],[ICG]],Expected_CF[Incurred],CF_Gen_4[[#This Row],[Incurred]])</f>
        <v>0</v>
      </c>
      <c r="I76" s="14">
        <f>SUMIFS(Expected_CF[Expected_Commission],Expected_CF[ICG],CF_Gen_4[[#This Row],[ICG]],Expected_CF[Incurred],CF_Gen_4[[#This Row],[Incurred]])</f>
        <v>0</v>
      </c>
      <c r="J76" s="14">
        <f>IF(CF_Gen_4[[#This Row],[Contract]]="IC",SUMIFS(Expected_CF[Expected_Acquisition],Expected_CF[ICG],CF_Gen_4[[#This Row],[ICG]],Expected_CF[Incurred],CF_Gen_4[[#This Row],[Incurred]]),0)</f>
        <v>0</v>
      </c>
      <c r="K76" s="14">
        <f>SUMIFS(Earned[Earned_Premium],Earned[ICG],CF_Gen_4[[#This Row],[ICG]],Earned[Incurred],CF_Gen_4[[#This Row],[Incurred]])</f>
        <v>-228828430.44086614</v>
      </c>
      <c r="L76" s="14">
        <f>SUMIFS(Earned[Earned_Commission],Earned[ICG],CF_Gen_4[[#This Row],[ICG]],Earned[Incurred],CF_Gen_4[[#This Row],[Incurred]])</f>
        <v>74369239.893281505</v>
      </c>
      <c r="M76" s="18">
        <f>_xlfn.XLOOKUP(CF_Gen_4[[#This Row],[ICG]],Assumptions[ICG],Assumptions[Loss_Ratio])</f>
        <v>0.38</v>
      </c>
      <c r="N76" s="18">
        <f>_xlfn.XLOOKUP(CF_Gen_4[[#This Row],[ICG]],Assumptions[ICG],Assumptions[Risk_Adjustment_Ratio])</f>
        <v>0.13</v>
      </c>
      <c r="O76" s="18">
        <f>_xlfn.XLOOKUP(CF_Gen_4[[#This Row],[ICG]],Assumptions[ICG],Assumptions[PME_Ratio])</f>
        <v>0</v>
      </c>
      <c r="P76" s="18">
        <f>_xlfn.XLOOKUP(CF_Gen_4[[#This Row],[ICG]],Assumptions[ICG],Assumptions[ULAE_Ratio])</f>
        <v>0</v>
      </c>
      <c r="Q76" s="18">
        <f>_xlfn.XLOOKUP(CF_Gen_4[[#This Row],[ICG]],Assumptions[ICG],Assumptions[Cancellation_Ratio])</f>
        <v>7.0000000000000007E-2</v>
      </c>
      <c r="R76" s="18">
        <f>_xlfn.XLOOKUP(CF_Gen_4[[#This Row],[ICG]],Assumptions[ICG],Assumptions[Premium_Refund_Ratio])</f>
        <v>0.5</v>
      </c>
      <c r="S76" s="18">
        <f>IF(CF_Gen_4[[#This Row],[Contract]]="RC",_xlfn.XLOOKUP(CF_Gen_4[[#This Row],[ICG]],Assumptions[ICG],Assumptions[NPR_Ratio]),0)</f>
        <v>2.8000000000000001E-2</v>
      </c>
      <c r="T76" s="17">
        <f>T75*(1-CF_Gen_4[[#This Row],[Cancellation_Ratio]])</f>
        <v>4.6530550748243322E-3</v>
      </c>
      <c r="U76" s="19">
        <f>IF(CF_Gen_4[[#This Row],[Incurred]]&lt;=CF_Gen_4[[#This Row],[Valuation]],CF_Gen_4[[#This Row],[Expected_Premium]],-CF_Gen_4[[#This Row],[Probability_of_Inforce]]*CF_Gen_4[[#This Row],[Premium_Refund_Ratio]]*CF_Gen_4[[#This Row],[Cancellation_Ratio]]*SUM(K76:K$105))</f>
        <v>409929.24646787927</v>
      </c>
      <c r="V7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Row],[Cancellation_Ratio]]*SUM(L76:L$105))</f>
        <v>-133227.00510206079</v>
      </c>
      <c r="W76" s="19">
        <f>CF_Gen_4[[#This Row],[Expected_Acquisition]]</f>
        <v>0</v>
      </c>
      <c r="X7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6" s="19">
        <f>-CF_Gen_4[[#This Row],[Probability_of_Inforce]]*CF_Gen_4[[#This Row],[Earned_Premium]]*(1-CF_Gen_4[[#This Row],[Cancellation_Ratio]])*CF_Gen_4[[#This Row],[Loss_Ratio]]</f>
        <v>376283.10571882728</v>
      </c>
      <c r="Z76" s="19">
        <f>CF_Gen_4[[#This Row],[Exp_Claim]]*CF_Gen_4[[#This Row],[Risk_Adjustment_Ratio]]</f>
        <v>48916.803743447548</v>
      </c>
      <c r="AA76" s="19">
        <f>IF(CF_Gen_4[[#This Row],[Contract]]="RC",-CF_Gen_4[[#This Row],[NPR_Ratio]]*CF_Gen_4[[#This Row],[Exp_Claim]],0)</f>
        <v>-10535.926960127164</v>
      </c>
      <c r="AB76" s="19">
        <f>SUMIFS(Actual_CF[Actual_Premium],Actual_CF[ICG],CF_Gen_4[[#This Row],[ICG]],Actual_CF[Incurred],CF_Gen_4[[#This Row],[Incurred]])</f>
        <v>0</v>
      </c>
      <c r="AC76" s="19">
        <f>SUMIFS(Actual_CF[Actual_Commission],Actual_CF[ICG],CF_Gen_4[[#This Row],[ICG]],Actual_CF[Incurred],CF_Gen_4[[#This Row],[Incurred]])</f>
        <v>0</v>
      </c>
      <c r="AD76" s="19">
        <f>SUMIFS(Actual_CF[Actual_Acquisition],Actual_CF[ICG],CF_Gen_4[[#This Row],[ICG]],Actual_CF[Incurred],CF_Gen_4[[#This Row],[Incurred]])</f>
        <v>0</v>
      </c>
    </row>
    <row r="77" spans="1:30">
      <c r="A77" t="str">
        <f t="shared" si="3"/>
        <v>#2025#RC-Property</v>
      </c>
      <c r="B77">
        <f>_xlfn.XLOOKUP(CF_Gen_4[[#This Row],[ICG]],ICG[ICG],ICG[Cohort])</f>
        <v>2025</v>
      </c>
      <c r="C77" t="str">
        <f>_xlfn.XLOOKUP(CF_Gen_4[[#This Row],[ICG]],ICG[ICG],ICG[Portfolio])</f>
        <v>RC-Property</v>
      </c>
      <c r="D77" t="str">
        <f>_xlfn.XLOOKUP(CF_Gen_4[[#This Row],[ICG]],ICG[ICG],ICG[Contract])</f>
        <v>RC</v>
      </c>
      <c r="E77" s="2">
        <f t="shared" si="2"/>
        <v>45930</v>
      </c>
      <c r="F77">
        <v>76</v>
      </c>
      <c r="G77" s="2">
        <f>EOMONTH(DATE(YEAR(CF_Gen_4[[#This Row],[Valuation]])-1,12,31),CF_Gen_4[[#This Row],['#Incurred]]*3)</f>
        <v>52596</v>
      </c>
      <c r="H77" s="14">
        <f>SUMIFS(Expected_CF[Expected_Premium],Expected_CF[ICG],CF_Gen_4[[#This Row],[ICG]],Expected_CF[Incurred],CF_Gen_4[[#This Row],[Incurred]])</f>
        <v>0</v>
      </c>
      <c r="I77" s="14">
        <f>SUMIFS(Expected_CF[Expected_Commission],Expected_CF[ICG],CF_Gen_4[[#This Row],[ICG]],Expected_CF[Incurred],CF_Gen_4[[#This Row],[Incurred]])</f>
        <v>0</v>
      </c>
      <c r="J77" s="14">
        <f>IF(CF_Gen_4[[#This Row],[Contract]]="IC",SUMIFS(Expected_CF[Expected_Acquisition],Expected_CF[ICG],CF_Gen_4[[#This Row],[ICG]],Expected_CF[Incurred],CF_Gen_4[[#This Row],[Incurred]]),0)</f>
        <v>0</v>
      </c>
      <c r="K77" s="14">
        <f>SUMIFS(Earned[Earned_Premium],Earned[ICG],CF_Gen_4[[#This Row],[ICG]],Earned[Incurred],CF_Gen_4[[#This Row],[Incurred]])</f>
        <v>-228828430.44086614</v>
      </c>
      <c r="L77" s="14">
        <f>SUMIFS(Earned[Earned_Commission],Earned[ICG],CF_Gen_4[[#This Row],[ICG]],Earned[Incurred],CF_Gen_4[[#This Row],[Incurred]])</f>
        <v>74369239.893281505</v>
      </c>
      <c r="M77" s="18">
        <f>_xlfn.XLOOKUP(CF_Gen_4[[#This Row],[ICG]],Assumptions[ICG],Assumptions[Loss_Ratio])</f>
        <v>0.38</v>
      </c>
      <c r="N77" s="18">
        <f>_xlfn.XLOOKUP(CF_Gen_4[[#This Row],[ICG]],Assumptions[ICG],Assumptions[Risk_Adjustment_Ratio])</f>
        <v>0.13</v>
      </c>
      <c r="O77" s="18">
        <f>_xlfn.XLOOKUP(CF_Gen_4[[#This Row],[ICG]],Assumptions[ICG],Assumptions[PME_Ratio])</f>
        <v>0</v>
      </c>
      <c r="P77" s="18">
        <f>_xlfn.XLOOKUP(CF_Gen_4[[#This Row],[ICG]],Assumptions[ICG],Assumptions[ULAE_Ratio])</f>
        <v>0</v>
      </c>
      <c r="Q77" s="18">
        <f>_xlfn.XLOOKUP(CF_Gen_4[[#This Row],[ICG]],Assumptions[ICG],Assumptions[Cancellation_Ratio])</f>
        <v>7.0000000000000007E-2</v>
      </c>
      <c r="R77" s="18">
        <f>_xlfn.XLOOKUP(CF_Gen_4[[#This Row],[ICG]],Assumptions[ICG],Assumptions[Premium_Refund_Ratio])</f>
        <v>0.5</v>
      </c>
      <c r="S77" s="18">
        <f>IF(CF_Gen_4[[#This Row],[Contract]]="RC",_xlfn.XLOOKUP(CF_Gen_4[[#This Row],[ICG]],Assumptions[ICG],Assumptions[NPR_Ratio]),0)</f>
        <v>2.8000000000000001E-2</v>
      </c>
      <c r="T77" s="17">
        <f>T76*(1-CF_Gen_4[[#This Row],[Cancellation_Ratio]])</f>
        <v>4.3273412195866286E-3</v>
      </c>
      <c r="U77" s="19">
        <f>IF(CF_Gen_4[[#This Row],[Incurred]]&lt;=CF_Gen_4[[#This Row],[Valuation]],CF_Gen_4[[#This Row],[Expected_Premium]],-CF_Gen_4[[#This Row],[Probability_of_Inforce]]*CF_Gen_4[[#This Row],[Premium_Refund_Ratio]]*CF_Gen_4[[#This Row],[Cancellation_Ratio]]*SUM(K77:K$105))</f>
        <v>346576.54474102525</v>
      </c>
      <c r="V7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Row],[Cancellation_Ratio]]*SUM(L77:L$105))</f>
        <v>-112637.37704083319</v>
      </c>
      <c r="W77" s="19">
        <f>CF_Gen_4[[#This Row],[Expected_Acquisition]]</f>
        <v>0</v>
      </c>
      <c r="X7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7" s="19">
        <f>-CF_Gen_4[[#This Row],[Probability_of_Inforce]]*CF_Gen_4[[#This Row],[Earned_Premium]]*(1-CF_Gen_4[[#This Row],[Cancellation_Ratio]])*CF_Gen_4[[#This Row],[Loss_Ratio]]</f>
        <v>349943.28831850935</v>
      </c>
      <c r="Z77" s="19">
        <f>CF_Gen_4[[#This Row],[Exp_Claim]]*CF_Gen_4[[#This Row],[Risk_Adjustment_Ratio]]</f>
        <v>45492.62748140622</v>
      </c>
      <c r="AA77" s="19">
        <f>IF(CF_Gen_4[[#This Row],[Contract]]="RC",-CF_Gen_4[[#This Row],[NPR_Ratio]]*CF_Gen_4[[#This Row],[Exp_Claim]],0)</f>
        <v>-9798.4120729182614</v>
      </c>
      <c r="AB77" s="19">
        <f>SUMIFS(Actual_CF[Actual_Premium],Actual_CF[ICG],CF_Gen_4[[#This Row],[ICG]],Actual_CF[Incurred],CF_Gen_4[[#This Row],[Incurred]])</f>
        <v>0</v>
      </c>
      <c r="AC77" s="19">
        <f>SUMIFS(Actual_CF[Actual_Commission],Actual_CF[ICG],CF_Gen_4[[#This Row],[ICG]],Actual_CF[Incurred],CF_Gen_4[[#This Row],[Incurred]])</f>
        <v>0</v>
      </c>
      <c r="AD77" s="19">
        <f>SUMIFS(Actual_CF[Actual_Acquisition],Actual_CF[ICG],CF_Gen_4[[#This Row],[ICG]],Actual_CF[Incurred],CF_Gen_4[[#This Row],[Incurred]])</f>
        <v>0</v>
      </c>
    </row>
    <row r="78" spans="1:30">
      <c r="A78" t="str">
        <f t="shared" si="3"/>
        <v>#2025#RC-Property</v>
      </c>
      <c r="B78">
        <f>_xlfn.XLOOKUP(CF_Gen_4[[#This Row],[ICG]],ICG[ICG],ICG[Cohort])</f>
        <v>2025</v>
      </c>
      <c r="C78" t="str">
        <f>_xlfn.XLOOKUP(CF_Gen_4[[#This Row],[ICG]],ICG[ICG],ICG[Portfolio])</f>
        <v>RC-Property</v>
      </c>
      <c r="D78" t="str">
        <f>_xlfn.XLOOKUP(CF_Gen_4[[#This Row],[ICG]],ICG[ICG],ICG[Contract])</f>
        <v>RC</v>
      </c>
      <c r="E78" s="2">
        <f t="shared" si="2"/>
        <v>45930</v>
      </c>
      <c r="F78">
        <v>77</v>
      </c>
      <c r="G78" s="2">
        <f>EOMONTH(DATE(YEAR(CF_Gen_4[[#This Row],[Valuation]])-1,12,31),CF_Gen_4[[#This Row],['#Incurred]]*3)</f>
        <v>52687</v>
      </c>
      <c r="H78" s="14">
        <f>SUMIFS(Expected_CF[Expected_Premium],Expected_CF[ICG],CF_Gen_4[[#This Row],[ICG]],Expected_CF[Incurred],CF_Gen_4[[#This Row],[Incurred]])</f>
        <v>0</v>
      </c>
      <c r="I78" s="14">
        <f>SUMIFS(Expected_CF[Expected_Commission],Expected_CF[ICG],CF_Gen_4[[#This Row],[ICG]],Expected_CF[Incurred],CF_Gen_4[[#This Row],[Incurred]])</f>
        <v>0</v>
      </c>
      <c r="J78" s="14">
        <f>IF(CF_Gen_4[[#This Row],[Contract]]="IC",SUMIFS(Expected_CF[Expected_Acquisition],Expected_CF[ICG],CF_Gen_4[[#This Row],[ICG]],Expected_CF[Incurred],CF_Gen_4[[#This Row],[Incurred]]),0)</f>
        <v>0</v>
      </c>
      <c r="K78" s="14">
        <f>SUMIFS(Earned[Earned_Premium],Earned[ICG],CF_Gen_4[[#This Row],[ICG]],Earned[Incurred],CF_Gen_4[[#This Row],[Incurred]])</f>
        <v>-213573201.74480844</v>
      </c>
      <c r="L78" s="14">
        <f>SUMIFS(Earned[Earned_Commission],Earned[ICG],CF_Gen_4[[#This Row],[ICG]],Earned[Incurred],CF_Gen_4[[#This Row],[Incurred]])</f>
        <v>69411290.56706275</v>
      </c>
      <c r="M78" s="18">
        <f>_xlfn.XLOOKUP(CF_Gen_4[[#This Row],[ICG]],Assumptions[ICG],Assumptions[Loss_Ratio])</f>
        <v>0.38</v>
      </c>
      <c r="N78" s="18">
        <f>_xlfn.XLOOKUP(CF_Gen_4[[#This Row],[ICG]],Assumptions[ICG],Assumptions[Risk_Adjustment_Ratio])</f>
        <v>0.13</v>
      </c>
      <c r="O78" s="18">
        <f>_xlfn.XLOOKUP(CF_Gen_4[[#This Row],[ICG]],Assumptions[ICG],Assumptions[PME_Ratio])</f>
        <v>0</v>
      </c>
      <c r="P78" s="18">
        <f>_xlfn.XLOOKUP(CF_Gen_4[[#This Row],[ICG]],Assumptions[ICG],Assumptions[ULAE_Ratio])</f>
        <v>0</v>
      </c>
      <c r="Q78" s="18">
        <f>_xlfn.XLOOKUP(CF_Gen_4[[#This Row],[ICG]],Assumptions[ICG],Assumptions[Cancellation_Ratio])</f>
        <v>7.0000000000000007E-2</v>
      </c>
      <c r="R78" s="18">
        <f>_xlfn.XLOOKUP(CF_Gen_4[[#This Row],[ICG]],Assumptions[ICG],Assumptions[Premium_Refund_Ratio])</f>
        <v>0.5</v>
      </c>
      <c r="S78" s="18">
        <f>IF(CF_Gen_4[[#This Row],[Contract]]="RC",_xlfn.XLOOKUP(CF_Gen_4[[#This Row],[ICG]],Assumptions[ICG],Assumptions[NPR_Ratio]),0)</f>
        <v>2.8000000000000001E-2</v>
      </c>
      <c r="T78" s="17">
        <f>T77*(1-CF_Gen_4[[#This Row],[Cancellation_Ratio]])</f>
        <v>4.0244273342155646E-3</v>
      </c>
      <c r="U78" s="19">
        <f>IF(CF_Gen_4[[#This Row],[Incurred]]&lt;=CF_Gen_4[[#This Row],[Valuation]],CF_Gen_4[[#This Row],[Expected_Premium]],-CF_Gen_4[[#This Row],[Probability_of_Inforce]]*CF_Gen_4[[#This Row],[Premium_Refund_Ratio]]*CF_Gen_4[[#This Row],[Cancellation_Ratio]]*SUM(K78:K$105))</f>
        <v>290084.56794823811</v>
      </c>
      <c r="V7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Row],[Cancellation_Ratio]]*SUM(L78:L$105))</f>
        <v>-94277.484583177386</v>
      </c>
      <c r="W78" s="19">
        <f>CF_Gen_4[[#This Row],[Expected_Acquisition]]</f>
        <v>0</v>
      </c>
      <c r="X7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8" s="19">
        <f>-CF_Gen_4[[#This Row],[Probability_of_Inforce]]*CF_Gen_4[[#This Row],[Earned_Premium]]*(1-CF_Gen_4[[#This Row],[Cancellation_Ratio]])*CF_Gen_4[[#This Row],[Loss_Ratio]]</f>
        <v>303750.77426046616</v>
      </c>
      <c r="Z78" s="19">
        <f>CF_Gen_4[[#This Row],[Exp_Claim]]*CF_Gen_4[[#This Row],[Risk_Adjustment_Ratio]]</f>
        <v>39487.600653860602</v>
      </c>
      <c r="AA78" s="19">
        <f>IF(CF_Gen_4[[#This Row],[Contract]]="RC",-CF_Gen_4[[#This Row],[NPR_Ratio]]*CF_Gen_4[[#This Row],[Exp_Claim]],0)</f>
        <v>-8505.0216792930532</v>
      </c>
      <c r="AB78" s="19">
        <f>SUMIFS(Actual_CF[Actual_Premium],Actual_CF[ICG],CF_Gen_4[[#This Row],[ICG]],Actual_CF[Incurred],CF_Gen_4[[#This Row],[Incurred]])</f>
        <v>0</v>
      </c>
      <c r="AC78" s="19">
        <f>SUMIFS(Actual_CF[Actual_Commission],Actual_CF[ICG],CF_Gen_4[[#This Row],[ICG]],Actual_CF[Incurred],CF_Gen_4[[#This Row],[Incurred]])</f>
        <v>0</v>
      </c>
      <c r="AD78" s="19">
        <f>SUMIFS(Actual_CF[Actual_Acquisition],Actual_CF[ICG],CF_Gen_4[[#This Row],[ICG]],Actual_CF[Incurred],CF_Gen_4[[#This Row],[Incurred]])</f>
        <v>0</v>
      </c>
    </row>
    <row r="79" spans="1:30">
      <c r="A79" t="str">
        <f t="shared" si="3"/>
        <v>#2025#RC-Property</v>
      </c>
      <c r="B79">
        <f>_xlfn.XLOOKUP(CF_Gen_4[[#This Row],[ICG]],ICG[ICG],ICG[Cohort])</f>
        <v>2025</v>
      </c>
      <c r="C79" t="str">
        <f>_xlfn.XLOOKUP(CF_Gen_4[[#This Row],[ICG]],ICG[ICG],ICG[Portfolio])</f>
        <v>RC-Property</v>
      </c>
      <c r="D79" t="str">
        <f>_xlfn.XLOOKUP(CF_Gen_4[[#This Row],[ICG]],ICG[ICG],ICG[Contract])</f>
        <v>RC</v>
      </c>
      <c r="E79" s="2">
        <f t="shared" si="2"/>
        <v>45930</v>
      </c>
      <c r="F79">
        <v>78</v>
      </c>
      <c r="G79" s="2">
        <f>EOMONTH(DATE(YEAR(CF_Gen_4[[#This Row],[Valuation]])-1,12,31),CF_Gen_4[[#This Row],['#Incurred]]*3)</f>
        <v>52778</v>
      </c>
      <c r="H79" s="14">
        <f>SUMIFS(Expected_CF[Expected_Premium],Expected_CF[ICG],CF_Gen_4[[#This Row],[ICG]],Expected_CF[Incurred],CF_Gen_4[[#This Row],[Incurred]])</f>
        <v>0</v>
      </c>
      <c r="I79" s="14">
        <f>SUMIFS(Expected_CF[Expected_Commission],Expected_CF[ICG],CF_Gen_4[[#This Row],[ICG]],Expected_CF[Incurred],CF_Gen_4[[#This Row],[Incurred]])</f>
        <v>0</v>
      </c>
      <c r="J79" s="14">
        <f>IF(CF_Gen_4[[#This Row],[Contract]]="IC",SUMIFS(Expected_CF[Expected_Acquisition],Expected_CF[ICG],CF_Gen_4[[#This Row],[ICG]],Expected_CF[Incurred],CF_Gen_4[[#This Row],[Incurred]]),0)</f>
        <v>0</v>
      </c>
      <c r="K79" s="14">
        <f>SUMIFS(Earned[Earned_Premium],Earned[ICG],CF_Gen_4[[#This Row],[ICG]],Earned[Incurred],CF_Gen_4[[#This Row],[Incurred]])</f>
        <v>-198317973.0487507</v>
      </c>
      <c r="L79" s="14">
        <f>SUMIFS(Earned[Earned_Commission],Earned[ICG],CF_Gen_4[[#This Row],[ICG]],Earned[Incurred],CF_Gen_4[[#This Row],[Incurred]])</f>
        <v>64453341.240843989</v>
      </c>
      <c r="M79" s="18">
        <f>_xlfn.XLOOKUP(CF_Gen_4[[#This Row],[ICG]],Assumptions[ICG],Assumptions[Loss_Ratio])</f>
        <v>0.38</v>
      </c>
      <c r="N79" s="18">
        <f>_xlfn.XLOOKUP(CF_Gen_4[[#This Row],[ICG]],Assumptions[ICG],Assumptions[Risk_Adjustment_Ratio])</f>
        <v>0.13</v>
      </c>
      <c r="O79" s="18">
        <f>_xlfn.XLOOKUP(CF_Gen_4[[#This Row],[ICG]],Assumptions[ICG],Assumptions[PME_Ratio])</f>
        <v>0</v>
      </c>
      <c r="P79" s="18">
        <f>_xlfn.XLOOKUP(CF_Gen_4[[#This Row],[ICG]],Assumptions[ICG],Assumptions[ULAE_Ratio])</f>
        <v>0</v>
      </c>
      <c r="Q79" s="18">
        <f>_xlfn.XLOOKUP(CF_Gen_4[[#This Row],[ICG]],Assumptions[ICG],Assumptions[Cancellation_Ratio])</f>
        <v>7.0000000000000007E-2</v>
      </c>
      <c r="R79" s="18">
        <f>_xlfn.XLOOKUP(CF_Gen_4[[#This Row],[ICG]],Assumptions[ICG],Assumptions[Premium_Refund_Ratio])</f>
        <v>0.5</v>
      </c>
      <c r="S79" s="18">
        <f>IF(CF_Gen_4[[#This Row],[Contract]]="RC",_xlfn.XLOOKUP(CF_Gen_4[[#This Row],[ICG]],Assumptions[ICG],Assumptions[NPR_Ratio]),0)</f>
        <v>2.8000000000000001E-2</v>
      </c>
      <c r="T79" s="17">
        <f>T78*(1-CF_Gen_4[[#This Row],[Cancellation_Ratio]])</f>
        <v>3.7427174208204748E-3</v>
      </c>
      <c r="U79" s="19">
        <f>IF(CF_Gen_4[[#This Row],[Incurred]]&lt;=CF_Gen_4[[#This Row],[Valuation]],CF_Gen_4[[#This Row],[Expected_Premium]],-CF_Gen_4[[#This Row],[Probability_of_Inforce]]*CF_Gen_4[[#This Row],[Premium_Refund_Ratio]]*CF_Gen_4[[#This Row],[Cancellation_Ratio]]*SUM(K79:K$105))</f>
        <v>241801.60319418687</v>
      </c>
      <c r="V7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Row],[Cancellation_Ratio]]*SUM(L79:L$105))</f>
        <v>-78585.521038110746</v>
      </c>
      <c r="W79" s="19">
        <f>CF_Gen_4[[#This Row],[Expected_Acquisition]]</f>
        <v>0</v>
      </c>
      <c r="X7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79" s="19">
        <f>-CF_Gen_4[[#This Row],[Probability_of_Inforce]]*CF_Gen_4[[#This Row],[Earned_Premium]]*(1-CF_Gen_4[[#This Row],[Cancellation_Ratio]])*CF_Gen_4[[#This Row],[Loss_Ratio]]</f>
        <v>262310.49005778827</v>
      </c>
      <c r="Z79" s="19">
        <f>CF_Gen_4[[#This Row],[Exp_Claim]]*CF_Gen_4[[#This Row],[Risk_Adjustment_Ratio]]</f>
        <v>34100.363707512479</v>
      </c>
      <c r="AA79" s="19">
        <f>IF(CF_Gen_4[[#This Row],[Contract]]="RC",-CF_Gen_4[[#This Row],[NPR_Ratio]]*CF_Gen_4[[#This Row],[Exp_Claim]],0)</f>
        <v>-7344.6937216180713</v>
      </c>
      <c r="AB79" s="19">
        <f>SUMIFS(Actual_CF[Actual_Premium],Actual_CF[ICG],CF_Gen_4[[#This Row],[ICG]],Actual_CF[Incurred],CF_Gen_4[[#This Row],[Incurred]])</f>
        <v>0</v>
      </c>
      <c r="AC79" s="19">
        <f>SUMIFS(Actual_CF[Actual_Commission],Actual_CF[ICG],CF_Gen_4[[#This Row],[ICG]],Actual_CF[Incurred],CF_Gen_4[[#This Row],[Incurred]])</f>
        <v>0</v>
      </c>
      <c r="AD79" s="19">
        <f>SUMIFS(Actual_CF[Actual_Acquisition],Actual_CF[ICG],CF_Gen_4[[#This Row],[ICG]],Actual_CF[Incurred],CF_Gen_4[[#This Row],[Incurred]])</f>
        <v>0</v>
      </c>
    </row>
    <row r="80" spans="1:30">
      <c r="A80" t="str">
        <f t="shared" si="3"/>
        <v>#2025#RC-Property</v>
      </c>
      <c r="B80">
        <f>_xlfn.XLOOKUP(CF_Gen_4[[#This Row],[ICG]],ICG[ICG],ICG[Cohort])</f>
        <v>2025</v>
      </c>
      <c r="C80" t="str">
        <f>_xlfn.XLOOKUP(CF_Gen_4[[#This Row],[ICG]],ICG[ICG],ICG[Portfolio])</f>
        <v>RC-Property</v>
      </c>
      <c r="D80" t="str">
        <f>_xlfn.XLOOKUP(CF_Gen_4[[#This Row],[ICG]],ICG[ICG],ICG[Contract])</f>
        <v>RC</v>
      </c>
      <c r="E80" s="2">
        <f t="shared" si="2"/>
        <v>45930</v>
      </c>
      <c r="F80">
        <v>79</v>
      </c>
      <c r="G80" s="2">
        <f>EOMONTH(DATE(YEAR(CF_Gen_4[[#This Row],[Valuation]])-1,12,31),CF_Gen_4[[#This Row],['#Incurred]]*3)</f>
        <v>52870</v>
      </c>
      <c r="H80" s="14">
        <f>SUMIFS(Expected_CF[Expected_Premium],Expected_CF[ICG],CF_Gen_4[[#This Row],[ICG]],Expected_CF[Incurred],CF_Gen_4[[#This Row],[Incurred]])</f>
        <v>0</v>
      </c>
      <c r="I80" s="14">
        <f>SUMIFS(Expected_CF[Expected_Commission],Expected_CF[ICG],CF_Gen_4[[#This Row],[ICG]],Expected_CF[Incurred],CF_Gen_4[[#This Row],[Incurred]])</f>
        <v>0</v>
      </c>
      <c r="J80" s="14">
        <f>IF(CF_Gen_4[[#This Row],[Contract]]="IC",SUMIFS(Expected_CF[Expected_Acquisition],Expected_CF[ICG],CF_Gen_4[[#This Row],[ICG]],Expected_CF[Incurred],CF_Gen_4[[#This Row],[Incurred]]),0)</f>
        <v>0</v>
      </c>
      <c r="K80" s="14">
        <f>SUMIFS(Earned[Earned_Premium],Earned[ICG],CF_Gen_4[[#This Row],[ICG]],Earned[Incurred],CF_Gen_4[[#This Row],[Incurred]])</f>
        <v>-183062744.35269296</v>
      </c>
      <c r="L80" s="14">
        <f>SUMIFS(Earned[Earned_Commission],Earned[ICG],CF_Gen_4[[#This Row],[ICG]],Earned[Incurred],CF_Gen_4[[#This Row],[Incurred]])</f>
        <v>59495391.91462522</v>
      </c>
      <c r="M80" s="18">
        <f>_xlfn.XLOOKUP(CF_Gen_4[[#This Row],[ICG]],Assumptions[ICG],Assumptions[Loss_Ratio])</f>
        <v>0.38</v>
      </c>
      <c r="N80" s="18">
        <f>_xlfn.XLOOKUP(CF_Gen_4[[#This Row],[ICG]],Assumptions[ICG],Assumptions[Risk_Adjustment_Ratio])</f>
        <v>0.13</v>
      </c>
      <c r="O80" s="18">
        <f>_xlfn.XLOOKUP(CF_Gen_4[[#This Row],[ICG]],Assumptions[ICG],Assumptions[PME_Ratio])</f>
        <v>0</v>
      </c>
      <c r="P80" s="18">
        <f>_xlfn.XLOOKUP(CF_Gen_4[[#This Row],[ICG]],Assumptions[ICG],Assumptions[ULAE_Ratio])</f>
        <v>0</v>
      </c>
      <c r="Q80" s="18">
        <f>_xlfn.XLOOKUP(CF_Gen_4[[#This Row],[ICG]],Assumptions[ICG],Assumptions[Cancellation_Ratio])</f>
        <v>7.0000000000000007E-2</v>
      </c>
      <c r="R80" s="18">
        <f>_xlfn.XLOOKUP(CF_Gen_4[[#This Row],[ICG]],Assumptions[ICG],Assumptions[Premium_Refund_Ratio])</f>
        <v>0.5</v>
      </c>
      <c r="S80" s="18">
        <f>IF(CF_Gen_4[[#This Row],[Contract]]="RC",_xlfn.XLOOKUP(CF_Gen_4[[#This Row],[ICG]],Assumptions[ICG],Assumptions[NPR_Ratio]),0)</f>
        <v>2.8000000000000001E-2</v>
      </c>
      <c r="T80" s="17">
        <f>T79*(1-CF_Gen_4[[#This Row],[Cancellation_Ratio]])</f>
        <v>3.4807272013630416E-3</v>
      </c>
      <c r="U80" s="19">
        <f>IF(CF_Gen_4[[#This Row],[Incurred]]&lt;=CF_Gen_4[[#This Row],[Valuation]],CF_Gen_4[[#This Row],[Expected_Premium]],-CF_Gen_4[[#This Row],[Probability_of_Inforce]]*CF_Gen_4[[#This Row],[Premium_Refund_Ratio]]*CF_Gen_4[[#This Row],[Cancellation_Ratio]]*SUM(K80:K$105))</f>
        <v>200715.31425474491</v>
      </c>
      <c r="V8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Row],[Cancellation_Ratio]]*SUM(L80:L$105))</f>
        <v>-65232.477132792097</v>
      </c>
      <c r="W80" s="19">
        <f>CF_Gen_4[[#This Row],[Expected_Acquisition]]</f>
        <v>0</v>
      </c>
      <c r="X8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0" s="19">
        <f>-CF_Gen_4[[#This Row],[Probability_of_Inforce]]*CF_Gen_4[[#This Row],[Earned_Premium]]*(1-CF_Gen_4[[#This Row],[Cancellation_Ratio]])*CF_Gen_4[[#This Row],[Loss_Ratio]]</f>
        <v>225183.46684960902</v>
      </c>
      <c r="Z80" s="19">
        <f>CF_Gen_4[[#This Row],[Exp_Claim]]*CF_Gen_4[[#This Row],[Risk_Adjustment_Ratio]]</f>
        <v>29273.850690449173</v>
      </c>
      <c r="AA80" s="19">
        <f>IF(CF_Gen_4[[#This Row],[Contract]]="RC",-CF_Gen_4[[#This Row],[NPR_Ratio]]*CF_Gen_4[[#This Row],[Exp_Claim]],0)</f>
        <v>-6305.1370717890522</v>
      </c>
      <c r="AB80" s="19">
        <f>SUMIFS(Actual_CF[Actual_Premium],Actual_CF[ICG],CF_Gen_4[[#This Row],[ICG]],Actual_CF[Incurred],CF_Gen_4[[#This Row],[Incurred]])</f>
        <v>0</v>
      </c>
      <c r="AC80" s="19">
        <f>SUMIFS(Actual_CF[Actual_Commission],Actual_CF[ICG],CF_Gen_4[[#This Row],[ICG]],Actual_CF[Incurred],CF_Gen_4[[#This Row],[Incurred]])</f>
        <v>0</v>
      </c>
      <c r="AD80" s="19">
        <f>SUMIFS(Actual_CF[Actual_Acquisition],Actual_CF[ICG],CF_Gen_4[[#This Row],[ICG]],Actual_CF[Incurred],CF_Gen_4[[#This Row],[Incurred]])</f>
        <v>0</v>
      </c>
    </row>
    <row r="81" spans="1:30">
      <c r="A81" t="str">
        <f t="shared" si="3"/>
        <v>#2025#RC-Property</v>
      </c>
      <c r="B81">
        <f>_xlfn.XLOOKUP(CF_Gen_4[[#This Row],[ICG]],ICG[ICG],ICG[Cohort])</f>
        <v>2025</v>
      </c>
      <c r="C81" t="str">
        <f>_xlfn.XLOOKUP(CF_Gen_4[[#This Row],[ICG]],ICG[ICG],ICG[Portfolio])</f>
        <v>RC-Property</v>
      </c>
      <c r="D81" t="str">
        <f>_xlfn.XLOOKUP(CF_Gen_4[[#This Row],[ICG]],ICG[ICG],ICG[Contract])</f>
        <v>RC</v>
      </c>
      <c r="E81" s="2">
        <f t="shared" si="2"/>
        <v>45930</v>
      </c>
      <c r="F81">
        <v>80</v>
      </c>
      <c r="G81" s="2">
        <f>EOMONTH(DATE(YEAR(CF_Gen_4[[#This Row],[Valuation]])-1,12,31),CF_Gen_4[[#This Row],['#Incurred]]*3)</f>
        <v>52962</v>
      </c>
      <c r="H81" s="14">
        <f>SUMIFS(Expected_CF[Expected_Premium],Expected_CF[ICG],CF_Gen_4[[#This Row],[ICG]],Expected_CF[Incurred],CF_Gen_4[[#This Row],[Incurred]])</f>
        <v>0</v>
      </c>
      <c r="I81" s="14">
        <f>SUMIFS(Expected_CF[Expected_Commission],Expected_CF[ICG],CF_Gen_4[[#This Row],[ICG]],Expected_CF[Incurred],CF_Gen_4[[#This Row],[Incurred]])</f>
        <v>0</v>
      </c>
      <c r="J81" s="14">
        <f>IF(CF_Gen_4[[#This Row],[Contract]]="IC",SUMIFS(Expected_CF[Expected_Acquisition],Expected_CF[ICG],CF_Gen_4[[#This Row],[ICG]],Expected_CF[Incurred],CF_Gen_4[[#This Row],[Incurred]]),0)</f>
        <v>0</v>
      </c>
      <c r="K81" s="14">
        <f>SUMIFS(Earned[Earned_Premium],Earned[ICG],CF_Gen_4[[#This Row],[ICG]],Earned[Incurred],CF_Gen_4[[#This Row],[Incurred]])</f>
        <v>-183062744.35269296</v>
      </c>
      <c r="L81" s="14">
        <f>SUMIFS(Earned[Earned_Commission],Earned[ICG],CF_Gen_4[[#This Row],[ICG]],Earned[Incurred],CF_Gen_4[[#This Row],[Incurred]])</f>
        <v>59495391.91462522</v>
      </c>
      <c r="M81" s="18">
        <f>_xlfn.XLOOKUP(CF_Gen_4[[#This Row],[ICG]],Assumptions[ICG],Assumptions[Loss_Ratio])</f>
        <v>0.38</v>
      </c>
      <c r="N81" s="18">
        <f>_xlfn.XLOOKUP(CF_Gen_4[[#This Row],[ICG]],Assumptions[ICG],Assumptions[Risk_Adjustment_Ratio])</f>
        <v>0.13</v>
      </c>
      <c r="O81" s="18">
        <f>_xlfn.XLOOKUP(CF_Gen_4[[#This Row],[ICG]],Assumptions[ICG],Assumptions[PME_Ratio])</f>
        <v>0</v>
      </c>
      <c r="P81" s="18">
        <f>_xlfn.XLOOKUP(CF_Gen_4[[#This Row],[ICG]],Assumptions[ICG],Assumptions[ULAE_Ratio])</f>
        <v>0</v>
      </c>
      <c r="Q81" s="18">
        <f>_xlfn.XLOOKUP(CF_Gen_4[[#This Row],[ICG]],Assumptions[ICG],Assumptions[Cancellation_Ratio])</f>
        <v>7.0000000000000007E-2</v>
      </c>
      <c r="R81" s="18">
        <f>_xlfn.XLOOKUP(CF_Gen_4[[#This Row],[ICG]],Assumptions[ICG],Assumptions[Premium_Refund_Ratio])</f>
        <v>0.5</v>
      </c>
      <c r="S81" s="18">
        <f>IF(CF_Gen_4[[#This Row],[Contract]]="RC",_xlfn.XLOOKUP(CF_Gen_4[[#This Row],[ICG]],Assumptions[ICG],Assumptions[NPR_Ratio]),0)</f>
        <v>2.8000000000000001E-2</v>
      </c>
      <c r="T81" s="17">
        <f>T80*(1-CF_Gen_4[[#This Row],[Cancellation_Ratio]])</f>
        <v>3.2370762972676282E-3</v>
      </c>
      <c r="U81" s="19">
        <f>IF(CF_Gen_4[[#This Row],[Incurred]]&lt;=CF_Gen_4[[#This Row],[Valuation]],CF_Gen_4[[#This Row],[Expected_Premium]],-CF_Gen_4[[#This Row],[Probability_of_Inforce]]*CF_Gen_4[[#This Row],[Premium_Refund_Ratio]]*CF_Gen_4[[#This Row],[Cancellation_Ratio]]*SUM(K81:K$105))</f>
        <v>165924.6597839224</v>
      </c>
      <c r="V8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Row],[Cancellation_Ratio]]*SUM(L81:L$105))</f>
        <v>-53925.51442977479</v>
      </c>
      <c r="W81" s="19">
        <f>CF_Gen_4[[#This Row],[Expected_Acquisition]]</f>
        <v>0</v>
      </c>
      <c r="X8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1" s="19">
        <f>-CF_Gen_4[[#This Row],[Probability_of_Inforce]]*CF_Gen_4[[#This Row],[Earned_Premium]]*(1-CF_Gen_4[[#This Row],[Cancellation_Ratio]])*CF_Gen_4[[#This Row],[Loss_Ratio]]</f>
        <v>209420.62417013632</v>
      </c>
      <c r="Z81" s="19">
        <f>CF_Gen_4[[#This Row],[Exp_Claim]]*CF_Gen_4[[#This Row],[Risk_Adjustment_Ratio]]</f>
        <v>27224.681142117723</v>
      </c>
      <c r="AA81" s="19">
        <f>IF(CF_Gen_4[[#This Row],[Contract]]="RC",-CF_Gen_4[[#This Row],[NPR_Ratio]]*CF_Gen_4[[#This Row],[Exp_Claim]],0)</f>
        <v>-5863.7774767638166</v>
      </c>
      <c r="AB81" s="19">
        <f>SUMIFS(Actual_CF[Actual_Premium],Actual_CF[ICG],CF_Gen_4[[#This Row],[ICG]],Actual_CF[Incurred],CF_Gen_4[[#This Row],[Incurred]])</f>
        <v>0</v>
      </c>
      <c r="AC81" s="19">
        <f>SUMIFS(Actual_CF[Actual_Commission],Actual_CF[ICG],CF_Gen_4[[#This Row],[ICG]],Actual_CF[Incurred],CF_Gen_4[[#This Row],[Incurred]])</f>
        <v>0</v>
      </c>
      <c r="AD81" s="19">
        <f>SUMIFS(Actual_CF[Actual_Acquisition],Actual_CF[ICG],CF_Gen_4[[#This Row],[ICG]],Actual_CF[Incurred],CF_Gen_4[[#This Row],[Incurred]])</f>
        <v>0</v>
      </c>
    </row>
    <row r="82" spans="1:30">
      <c r="A82" t="str">
        <f t="shared" si="3"/>
        <v>#2025#RC-Property</v>
      </c>
      <c r="B82">
        <f>_xlfn.XLOOKUP(CF_Gen_4[[#This Row],[ICG]],ICG[ICG],ICG[Cohort])</f>
        <v>2025</v>
      </c>
      <c r="C82" t="str">
        <f>_xlfn.XLOOKUP(CF_Gen_4[[#This Row],[ICG]],ICG[ICG],ICG[Portfolio])</f>
        <v>RC-Property</v>
      </c>
      <c r="D82" t="str">
        <f>_xlfn.XLOOKUP(CF_Gen_4[[#This Row],[ICG]],ICG[ICG],ICG[Contract])</f>
        <v>RC</v>
      </c>
      <c r="E82" s="2">
        <f t="shared" si="2"/>
        <v>45930</v>
      </c>
      <c r="F82">
        <v>81</v>
      </c>
      <c r="G82" s="2">
        <f>EOMONTH(DATE(YEAR(CF_Gen_4[[#This Row],[Valuation]])-1,12,31),CF_Gen_4[[#This Row],['#Incurred]]*3)</f>
        <v>53052</v>
      </c>
      <c r="H82" s="14">
        <f>SUMIFS(Expected_CF[Expected_Premium],Expected_CF[ICG],CF_Gen_4[[#This Row],[ICG]],Expected_CF[Incurred],CF_Gen_4[[#This Row],[Incurred]])</f>
        <v>0</v>
      </c>
      <c r="I82" s="14">
        <f>SUMIFS(Expected_CF[Expected_Commission],Expected_CF[ICG],CF_Gen_4[[#This Row],[ICG]],Expected_CF[Incurred],CF_Gen_4[[#This Row],[Incurred]])</f>
        <v>0</v>
      </c>
      <c r="J82" s="14">
        <f>IF(CF_Gen_4[[#This Row],[Contract]]="IC",SUMIFS(Expected_CF[Expected_Acquisition],Expected_CF[ICG],CF_Gen_4[[#This Row],[ICG]],Expected_CF[Incurred],CF_Gen_4[[#This Row],[Incurred]]),0)</f>
        <v>0</v>
      </c>
      <c r="K82" s="14">
        <f>SUMIFS(Earned[Earned_Premium],Earned[ICG],CF_Gen_4[[#This Row],[ICG]],Earned[Incurred],CF_Gen_4[[#This Row],[Incurred]])</f>
        <v>-167807515.6566352</v>
      </c>
      <c r="L82" s="14">
        <f>SUMIFS(Earned[Earned_Commission],Earned[ICG],CF_Gen_4[[#This Row],[ICG]],Earned[Incurred],CF_Gen_4[[#This Row],[Incurred]])</f>
        <v>54537442.588406451</v>
      </c>
      <c r="M82" s="18">
        <f>_xlfn.XLOOKUP(CF_Gen_4[[#This Row],[ICG]],Assumptions[ICG],Assumptions[Loss_Ratio])</f>
        <v>0.38</v>
      </c>
      <c r="N82" s="18">
        <f>_xlfn.XLOOKUP(CF_Gen_4[[#This Row],[ICG]],Assumptions[ICG],Assumptions[Risk_Adjustment_Ratio])</f>
        <v>0.13</v>
      </c>
      <c r="O82" s="18">
        <f>_xlfn.XLOOKUP(CF_Gen_4[[#This Row],[ICG]],Assumptions[ICG],Assumptions[PME_Ratio])</f>
        <v>0</v>
      </c>
      <c r="P82" s="18">
        <f>_xlfn.XLOOKUP(CF_Gen_4[[#This Row],[ICG]],Assumptions[ICG],Assumptions[ULAE_Ratio])</f>
        <v>0</v>
      </c>
      <c r="Q82" s="18">
        <f>_xlfn.XLOOKUP(CF_Gen_4[[#This Row],[ICG]],Assumptions[ICG],Assumptions[Cancellation_Ratio])</f>
        <v>7.0000000000000007E-2</v>
      </c>
      <c r="R82" s="18">
        <f>_xlfn.XLOOKUP(CF_Gen_4[[#This Row],[ICG]],Assumptions[ICG],Assumptions[Premium_Refund_Ratio])</f>
        <v>0.5</v>
      </c>
      <c r="S82" s="18">
        <f>IF(CF_Gen_4[[#This Row],[Contract]]="RC",_xlfn.XLOOKUP(CF_Gen_4[[#This Row],[ICG]],Assumptions[ICG],Assumptions[NPR_Ratio]),0)</f>
        <v>2.8000000000000001E-2</v>
      </c>
      <c r="T82" s="17">
        <f>T81*(1-CF_Gen_4[[#This Row],[Cancellation_Ratio]])</f>
        <v>3.0104809564588941E-3</v>
      </c>
      <c r="U82" s="19">
        <f>IF(CF_Gen_4[[#This Row],[Incurred]]&lt;=CF_Gen_4[[#This Row],[Valuation]],CF_Gen_4[[#This Row],[Expected_Premium]],-CF_Gen_4[[#This Row],[Probability_of_Inforce]]*CF_Gen_4[[#This Row],[Premium_Refund_Ratio]]*CF_Gen_4[[#This Row],[Cancellation_Ratio]]*SUM(K82:K$105))</f>
        <v>135021.19189916685</v>
      </c>
      <c r="V8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Row],[Cancellation_Ratio]]*SUM(L82:L$105))</f>
        <v>-43881.887367229232</v>
      </c>
      <c r="W82" s="19">
        <f>CF_Gen_4[[#This Row],[Expected_Acquisition]]</f>
        <v>0</v>
      </c>
      <c r="X8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2" s="19">
        <f>-CF_Gen_4[[#This Row],[Probability_of_Inforce]]*CF_Gen_4[[#This Row],[Earned_Premium]]*(1-CF_Gen_4[[#This Row],[Cancellation_Ratio]])*CF_Gen_4[[#This Row],[Loss_Ratio]]</f>
        <v>178531.08210504122</v>
      </c>
      <c r="Z82" s="19">
        <f>CF_Gen_4[[#This Row],[Exp_Claim]]*CF_Gen_4[[#This Row],[Risk_Adjustment_Ratio]]</f>
        <v>23209.04067365536</v>
      </c>
      <c r="AA82" s="19">
        <f>IF(CF_Gen_4[[#This Row],[Contract]]="RC",-CF_Gen_4[[#This Row],[NPR_Ratio]]*CF_Gen_4[[#This Row],[Exp_Claim]],0)</f>
        <v>-4998.870298941154</v>
      </c>
      <c r="AB82" s="19">
        <f>SUMIFS(Actual_CF[Actual_Premium],Actual_CF[ICG],CF_Gen_4[[#This Row],[ICG]],Actual_CF[Incurred],CF_Gen_4[[#This Row],[Incurred]])</f>
        <v>0</v>
      </c>
      <c r="AC82" s="19">
        <f>SUMIFS(Actual_CF[Actual_Commission],Actual_CF[ICG],CF_Gen_4[[#This Row],[ICG]],Actual_CF[Incurred],CF_Gen_4[[#This Row],[Incurred]])</f>
        <v>0</v>
      </c>
      <c r="AD82" s="19">
        <f>SUMIFS(Actual_CF[Actual_Acquisition],Actual_CF[ICG],CF_Gen_4[[#This Row],[ICG]],Actual_CF[Incurred],CF_Gen_4[[#This Row],[Incurred]])</f>
        <v>0</v>
      </c>
    </row>
    <row r="83" spans="1:30">
      <c r="A83" t="str">
        <f t="shared" si="3"/>
        <v>#2025#RC-Property</v>
      </c>
      <c r="B83">
        <f>_xlfn.XLOOKUP(CF_Gen_4[[#This Row],[ICG]],ICG[ICG],ICG[Cohort])</f>
        <v>2025</v>
      </c>
      <c r="C83" t="str">
        <f>_xlfn.XLOOKUP(CF_Gen_4[[#This Row],[ICG]],ICG[ICG],ICG[Portfolio])</f>
        <v>RC-Property</v>
      </c>
      <c r="D83" t="str">
        <f>_xlfn.XLOOKUP(CF_Gen_4[[#This Row],[ICG]],ICG[ICG],ICG[Contract])</f>
        <v>RC</v>
      </c>
      <c r="E83" s="2">
        <f t="shared" si="2"/>
        <v>45930</v>
      </c>
      <c r="F83">
        <v>82</v>
      </c>
      <c r="G83" s="2">
        <f>EOMONTH(DATE(YEAR(CF_Gen_4[[#This Row],[Valuation]])-1,12,31),CF_Gen_4[[#This Row],['#Incurred]]*3)</f>
        <v>53143</v>
      </c>
      <c r="H83" s="14">
        <f>SUMIFS(Expected_CF[Expected_Premium],Expected_CF[ICG],CF_Gen_4[[#This Row],[ICG]],Expected_CF[Incurred],CF_Gen_4[[#This Row],[Incurred]])</f>
        <v>0</v>
      </c>
      <c r="I83" s="14">
        <f>SUMIFS(Expected_CF[Expected_Commission],Expected_CF[ICG],CF_Gen_4[[#This Row],[ICG]],Expected_CF[Incurred],CF_Gen_4[[#This Row],[Incurred]])</f>
        <v>0</v>
      </c>
      <c r="J83" s="14">
        <f>IF(CF_Gen_4[[#This Row],[Contract]]="IC",SUMIFS(Expected_CF[Expected_Acquisition],Expected_CF[ICG],CF_Gen_4[[#This Row],[ICG]],Expected_CF[Incurred],CF_Gen_4[[#This Row],[Incurred]]),0)</f>
        <v>0</v>
      </c>
      <c r="K83" s="14">
        <f>SUMIFS(Earned[Earned_Premium],Earned[ICG],CF_Gen_4[[#This Row],[ICG]],Earned[Incurred],CF_Gen_4[[#This Row],[Incurred]])</f>
        <v>-152552286.96057746</v>
      </c>
      <c r="L83" s="14">
        <f>SUMIFS(Earned[Earned_Commission],Earned[ICG],CF_Gen_4[[#This Row],[ICG]],Earned[Incurred],CF_Gen_4[[#This Row],[Incurred]])</f>
        <v>49579493.262187682</v>
      </c>
      <c r="M83" s="18">
        <f>_xlfn.XLOOKUP(CF_Gen_4[[#This Row],[ICG]],Assumptions[ICG],Assumptions[Loss_Ratio])</f>
        <v>0.38</v>
      </c>
      <c r="N83" s="18">
        <f>_xlfn.XLOOKUP(CF_Gen_4[[#This Row],[ICG]],Assumptions[ICG],Assumptions[Risk_Adjustment_Ratio])</f>
        <v>0.13</v>
      </c>
      <c r="O83" s="18">
        <f>_xlfn.XLOOKUP(CF_Gen_4[[#This Row],[ICG]],Assumptions[ICG],Assumptions[PME_Ratio])</f>
        <v>0</v>
      </c>
      <c r="P83" s="18">
        <f>_xlfn.XLOOKUP(CF_Gen_4[[#This Row],[ICG]],Assumptions[ICG],Assumptions[ULAE_Ratio])</f>
        <v>0</v>
      </c>
      <c r="Q83" s="18">
        <f>_xlfn.XLOOKUP(CF_Gen_4[[#This Row],[ICG]],Assumptions[ICG],Assumptions[Cancellation_Ratio])</f>
        <v>7.0000000000000007E-2</v>
      </c>
      <c r="R83" s="18">
        <f>_xlfn.XLOOKUP(CF_Gen_4[[#This Row],[ICG]],Assumptions[ICG],Assumptions[Premium_Refund_Ratio])</f>
        <v>0.5</v>
      </c>
      <c r="S83" s="18">
        <f>IF(CF_Gen_4[[#This Row],[Contract]]="RC",_xlfn.XLOOKUP(CF_Gen_4[[#This Row],[ICG]],Assumptions[ICG],Assumptions[NPR_Ratio]),0)</f>
        <v>2.8000000000000001E-2</v>
      </c>
      <c r="T83" s="17">
        <f>T82*(1-CF_Gen_4[[#This Row],[Cancellation_Ratio]])</f>
        <v>2.7997472895067714E-3</v>
      </c>
      <c r="U83" s="19">
        <f>IF(CF_Gen_4[[#This Row],[Incurred]]&lt;=CF_Gen_4[[#This Row],[Valuation]],CF_Gen_4[[#This Row],[Expected_Premium]],-CF_Gen_4[[#This Row],[Probability_of_Inforce]]*CF_Gen_4[[#This Row],[Premium_Refund_Ratio]]*CF_Gen_4[[#This Row],[Cancellation_Ratio]]*SUM(K83:K$105))</f>
        <v>109126.05616707665</v>
      </c>
      <c r="V8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Row],[Cancellation_Ratio]]*SUM(L83:L$105))</f>
        <v>-35465.968254299914</v>
      </c>
      <c r="W83" s="19">
        <f>CF_Gen_4[[#This Row],[Expected_Acquisition]]</f>
        <v>0</v>
      </c>
      <c r="X8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3" s="19">
        <f>-CF_Gen_4[[#This Row],[Probability_of_Inforce]]*CF_Gen_4[[#This Row],[Earned_Premium]]*(1-CF_Gen_4[[#This Row],[Cancellation_Ratio]])*CF_Gen_4[[#This Row],[Loss_Ratio]]</f>
        <v>150939.91487062577</v>
      </c>
      <c r="Z83" s="19">
        <f>CF_Gen_4[[#This Row],[Exp_Claim]]*CF_Gen_4[[#This Row],[Risk_Adjustment_Ratio]]</f>
        <v>19622.188933181351</v>
      </c>
      <c r="AA83" s="19">
        <f>IF(CF_Gen_4[[#This Row],[Contract]]="RC",-CF_Gen_4[[#This Row],[NPR_Ratio]]*CF_Gen_4[[#This Row],[Exp_Claim]],0)</f>
        <v>-4226.3176163775215</v>
      </c>
      <c r="AB83" s="19">
        <f>SUMIFS(Actual_CF[Actual_Premium],Actual_CF[ICG],CF_Gen_4[[#This Row],[ICG]],Actual_CF[Incurred],CF_Gen_4[[#This Row],[Incurred]])</f>
        <v>0</v>
      </c>
      <c r="AC83" s="19">
        <f>SUMIFS(Actual_CF[Actual_Commission],Actual_CF[ICG],CF_Gen_4[[#This Row],[ICG]],Actual_CF[Incurred],CF_Gen_4[[#This Row],[Incurred]])</f>
        <v>0</v>
      </c>
      <c r="AD83" s="19">
        <f>SUMIFS(Actual_CF[Actual_Acquisition],Actual_CF[ICG],CF_Gen_4[[#This Row],[ICG]],Actual_CF[Incurred],CF_Gen_4[[#This Row],[Incurred]])</f>
        <v>0</v>
      </c>
    </row>
    <row r="84" spans="1:30">
      <c r="A84" t="str">
        <f t="shared" si="3"/>
        <v>#2025#RC-Property</v>
      </c>
      <c r="B84">
        <f>_xlfn.XLOOKUP(CF_Gen_4[[#This Row],[ICG]],ICG[ICG],ICG[Cohort])</f>
        <v>2025</v>
      </c>
      <c r="C84" t="str">
        <f>_xlfn.XLOOKUP(CF_Gen_4[[#This Row],[ICG]],ICG[ICG],ICG[Portfolio])</f>
        <v>RC-Property</v>
      </c>
      <c r="D84" t="str">
        <f>_xlfn.XLOOKUP(CF_Gen_4[[#This Row],[ICG]],ICG[ICG],ICG[Contract])</f>
        <v>RC</v>
      </c>
      <c r="E84" s="2">
        <f t="shared" si="2"/>
        <v>45930</v>
      </c>
      <c r="F84">
        <v>83</v>
      </c>
      <c r="G84" s="2">
        <f>EOMONTH(DATE(YEAR(CF_Gen_4[[#This Row],[Valuation]])-1,12,31),CF_Gen_4[[#This Row],['#Incurred]]*3)</f>
        <v>53235</v>
      </c>
      <c r="H84" s="14">
        <f>SUMIFS(Expected_CF[Expected_Premium],Expected_CF[ICG],CF_Gen_4[[#This Row],[ICG]],Expected_CF[Incurred],CF_Gen_4[[#This Row],[Incurred]])</f>
        <v>0</v>
      </c>
      <c r="I84" s="14">
        <f>SUMIFS(Expected_CF[Expected_Commission],Expected_CF[ICG],CF_Gen_4[[#This Row],[ICG]],Expected_CF[Incurred],CF_Gen_4[[#This Row],[Incurred]])</f>
        <v>0</v>
      </c>
      <c r="J84" s="14">
        <f>IF(CF_Gen_4[[#This Row],[Contract]]="IC",SUMIFS(Expected_CF[Expected_Acquisition],Expected_CF[ICG],CF_Gen_4[[#This Row],[ICG]],Expected_CF[Incurred],CF_Gen_4[[#This Row],[Incurred]]),0)</f>
        <v>0</v>
      </c>
      <c r="K84" s="14">
        <f>SUMIFS(Earned[Earned_Premium],Earned[ICG],CF_Gen_4[[#This Row],[ICG]],Earned[Incurred],CF_Gen_4[[#This Row],[Incurred]])</f>
        <v>-137297058.26451972</v>
      </c>
      <c r="L84" s="14">
        <f>SUMIFS(Earned[Earned_Commission],Earned[ICG],CF_Gen_4[[#This Row],[ICG]],Earned[Incurred],CF_Gen_4[[#This Row],[Incurred]])</f>
        <v>44621543.935968921</v>
      </c>
      <c r="M84" s="18">
        <f>_xlfn.XLOOKUP(CF_Gen_4[[#This Row],[ICG]],Assumptions[ICG],Assumptions[Loss_Ratio])</f>
        <v>0.38</v>
      </c>
      <c r="N84" s="18">
        <f>_xlfn.XLOOKUP(CF_Gen_4[[#This Row],[ICG]],Assumptions[ICG],Assumptions[Risk_Adjustment_Ratio])</f>
        <v>0.13</v>
      </c>
      <c r="O84" s="18">
        <f>_xlfn.XLOOKUP(CF_Gen_4[[#This Row],[ICG]],Assumptions[ICG],Assumptions[PME_Ratio])</f>
        <v>0</v>
      </c>
      <c r="P84" s="18">
        <f>_xlfn.XLOOKUP(CF_Gen_4[[#This Row],[ICG]],Assumptions[ICG],Assumptions[ULAE_Ratio])</f>
        <v>0</v>
      </c>
      <c r="Q84" s="18">
        <f>_xlfn.XLOOKUP(CF_Gen_4[[#This Row],[ICG]],Assumptions[ICG],Assumptions[Cancellation_Ratio])</f>
        <v>7.0000000000000007E-2</v>
      </c>
      <c r="R84" s="18">
        <f>_xlfn.XLOOKUP(CF_Gen_4[[#This Row],[ICG]],Assumptions[ICG],Assumptions[Premium_Refund_Ratio])</f>
        <v>0.5</v>
      </c>
      <c r="S84" s="18">
        <f>IF(CF_Gen_4[[#This Row],[Contract]]="RC",_xlfn.XLOOKUP(CF_Gen_4[[#This Row],[ICG]],Assumptions[ICG],Assumptions[NPR_Ratio]),0)</f>
        <v>2.8000000000000001E-2</v>
      </c>
      <c r="T84" s="17">
        <f>T83*(1-CF_Gen_4[[#This Row],[Cancellation_Ratio]])</f>
        <v>2.6037649792412972E-3</v>
      </c>
      <c r="U84" s="19">
        <f>IF(CF_Gen_4[[#This Row],[Incurred]]&lt;=CF_Gen_4[[#This Row],[Valuation]],CF_Gen_4[[#This Row],[Expected_Premium]],-CF_Gen_4[[#This Row],[Probability_of_Inforce]]*CF_Gen_4[[#This Row],[Premium_Refund_Ratio]]*CF_Gen_4[[#This Row],[Cancellation_Ratio]]*SUM(K84:K$105))</f>
        <v>87584.871655192066</v>
      </c>
      <c r="V8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Row],[Cancellation_Ratio]]*SUM(L84:L$105))</f>
        <v>-28465.083287937421</v>
      </c>
      <c r="W84" s="19">
        <f>CF_Gen_4[[#This Row],[Expected_Acquisition]]</f>
        <v>0</v>
      </c>
      <c r="X8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4" s="19">
        <f>-CF_Gen_4[[#This Row],[Probability_of_Inforce]]*CF_Gen_4[[#This Row],[Earned_Premium]]*(1-CF_Gen_4[[#This Row],[Cancellation_Ratio]])*CF_Gen_4[[#This Row],[Loss_Ratio]]</f>
        <v>126336.70874671375</v>
      </c>
      <c r="Z84" s="19">
        <f>CF_Gen_4[[#This Row],[Exp_Claim]]*CF_Gen_4[[#This Row],[Risk_Adjustment_Ratio]]</f>
        <v>16423.772137072789</v>
      </c>
      <c r="AA84" s="19">
        <f>IF(CF_Gen_4[[#This Row],[Contract]]="RC",-CF_Gen_4[[#This Row],[NPR_Ratio]]*CF_Gen_4[[#This Row],[Exp_Claim]],0)</f>
        <v>-3537.4278449079848</v>
      </c>
      <c r="AB84" s="19">
        <f>SUMIFS(Actual_CF[Actual_Premium],Actual_CF[ICG],CF_Gen_4[[#This Row],[ICG]],Actual_CF[Incurred],CF_Gen_4[[#This Row],[Incurred]])</f>
        <v>0</v>
      </c>
      <c r="AC84" s="19">
        <f>SUMIFS(Actual_CF[Actual_Commission],Actual_CF[ICG],CF_Gen_4[[#This Row],[ICG]],Actual_CF[Incurred],CF_Gen_4[[#This Row],[Incurred]])</f>
        <v>0</v>
      </c>
      <c r="AD84" s="19">
        <f>SUMIFS(Actual_CF[Actual_Acquisition],Actual_CF[ICG],CF_Gen_4[[#This Row],[ICG]],Actual_CF[Incurred],CF_Gen_4[[#This Row],[Incurred]])</f>
        <v>0</v>
      </c>
    </row>
    <row r="85" spans="1:30">
      <c r="A85" t="str">
        <f t="shared" si="3"/>
        <v>#2025#RC-Property</v>
      </c>
      <c r="B85">
        <f>_xlfn.XLOOKUP(CF_Gen_4[[#This Row],[ICG]],ICG[ICG],ICG[Cohort])</f>
        <v>2025</v>
      </c>
      <c r="C85" t="str">
        <f>_xlfn.XLOOKUP(CF_Gen_4[[#This Row],[ICG]],ICG[ICG],ICG[Portfolio])</f>
        <v>RC-Property</v>
      </c>
      <c r="D85" t="str">
        <f>_xlfn.XLOOKUP(CF_Gen_4[[#This Row],[ICG]],ICG[ICG],ICG[Contract])</f>
        <v>RC</v>
      </c>
      <c r="E85" s="2">
        <f t="shared" si="2"/>
        <v>45930</v>
      </c>
      <c r="F85">
        <v>84</v>
      </c>
      <c r="G85" s="2">
        <f>EOMONTH(DATE(YEAR(CF_Gen_4[[#This Row],[Valuation]])-1,12,31),CF_Gen_4[[#This Row],['#Incurred]]*3)</f>
        <v>53327</v>
      </c>
      <c r="H85" s="14">
        <f>SUMIFS(Expected_CF[Expected_Premium],Expected_CF[ICG],CF_Gen_4[[#This Row],[ICG]],Expected_CF[Incurred],CF_Gen_4[[#This Row],[Incurred]])</f>
        <v>0</v>
      </c>
      <c r="I85" s="14">
        <f>SUMIFS(Expected_CF[Expected_Commission],Expected_CF[ICG],CF_Gen_4[[#This Row],[ICG]],Expected_CF[Incurred],CF_Gen_4[[#This Row],[Incurred]])</f>
        <v>0</v>
      </c>
      <c r="J85" s="14">
        <f>IF(CF_Gen_4[[#This Row],[Contract]]="IC",SUMIFS(Expected_CF[Expected_Acquisition],Expected_CF[ICG],CF_Gen_4[[#This Row],[ICG]],Expected_CF[Incurred],CF_Gen_4[[#This Row],[Incurred]]),0)</f>
        <v>0</v>
      </c>
      <c r="K85" s="14">
        <f>SUMIFS(Earned[Earned_Premium],Earned[ICG],CF_Gen_4[[#This Row],[ICG]],Earned[Incurred],CF_Gen_4[[#This Row],[Incurred]])</f>
        <v>-137297058.26451972</v>
      </c>
      <c r="L85" s="14">
        <f>SUMIFS(Earned[Earned_Commission],Earned[ICG],CF_Gen_4[[#This Row],[ICG]],Earned[Incurred],CF_Gen_4[[#This Row],[Incurred]])</f>
        <v>44621543.935968921</v>
      </c>
      <c r="M85" s="18">
        <f>_xlfn.XLOOKUP(CF_Gen_4[[#This Row],[ICG]],Assumptions[ICG],Assumptions[Loss_Ratio])</f>
        <v>0.38</v>
      </c>
      <c r="N85" s="18">
        <f>_xlfn.XLOOKUP(CF_Gen_4[[#This Row],[ICG]],Assumptions[ICG],Assumptions[Risk_Adjustment_Ratio])</f>
        <v>0.13</v>
      </c>
      <c r="O85" s="18">
        <f>_xlfn.XLOOKUP(CF_Gen_4[[#This Row],[ICG]],Assumptions[ICG],Assumptions[PME_Ratio])</f>
        <v>0</v>
      </c>
      <c r="P85" s="18">
        <f>_xlfn.XLOOKUP(CF_Gen_4[[#This Row],[ICG]],Assumptions[ICG],Assumptions[ULAE_Ratio])</f>
        <v>0</v>
      </c>
      <c r="Q85" s="18">
        <f>_xlfn.XLOOKUP(CF_Gen_4[[#This Row],[ICG]],Assumptions[ICG],Assumptions[Cancellation_Ratio])</f>
        <v>7.0000000000000007E-2</v>
      </c>
      <c r="R85" s="18">
        <f>_xlfn.XLOOKUP(CF_Gen_4[[#This Row],[ICG]],Assumptions[ICG],Assumptions[Premium_Refund_Ratio])</f>
        <v>0.5</v>
      </c>
      <c r="S85" s="18">
        <f>IF(CF_Gen_4[[#This Row],[Contract]]="RC",_xlfn.XLOOKUP(CF_Gen_4[[#This Row],[ICG]],Assumptions[ICG],Assumptions[NPR_Ratio]),0)</f>
        <v>2.8000000000000001E-2</v>
      </c>
      <c r="T85" s="17">
        <f>T84*(1-CF_Gen_4[[#This Row],[Cancellation_Ratio]])</f>
        <v>2.4215014306944063E-3</v>
      </c>
      <c r="U85" s="19">
        <f>IF(CF_Gen_4[[#This Row],[Incurred]]&lt;=CF_Gen_4[[#This Row],[Valuation]],CF_Gen_4[[#This Row],[Expected_Premium]],-CF_Gen_4[[#This Row],[Probability_of_Inforce]]*CF_Gen_4[[#This Row],[Premium_Refund_Ratio]]*CF_Gen_4[[#This Row],[Cancellation_Ratio]]*SUM(K85:K$105))</f>
        <v>69817.654833710243</v>
      </c>
      <c r="V8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Row],[Cancellation_Ratio]]*SUM(L85:L$105))</f>
        <v>-22690.737820955823</v>
      </c>
      <c r="W85" s="19">
        <f>CF_Gen_4[[#This Row],[Expected_Acquisition]]</f>
        <v>0</v>
      </c>
      <c r="X8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5" s="19">
        <f>-CF_Gen_4[[#This Row],[Probability_of_Inforce]]*CF_Gen_4[[#This Row],[Earned_Premium]]*(1-CF_Gen_4[[#This Row],[Cancellation_Ratio]])*CF_Gen_4[[#This Row],[Loss_Ratio]]</f>
        <v>117493.13913444377</v>
      </c>
      <c r="Z85" s="19">
        <f>CF_Gen_4[[#This Row],[Exp_Claim]]*CF_Gen_4[[#This Row],[Risk_Adjustment_Ratio]]</f>
        <v>15274.108087477691</v>
      </c>
      <c r="AA85" s="19">
        <f>IF(CF_Gen_4[[#This Row],[Contract]]="RC",-CF_Gen_4[[#This Row],[NPR_Ratio]]*CF_Gen_4[[#This Row],[Exp_Claim]],0)</f>
        <v>-3289.8078957644257</v>
      </c>
      <c r="AB85" s="19">
        <f>SUMIFS(Actual_CF[Actual_Premium],Actual_CF[ICG],CF_Gen_4[[#This Row],[ICG]],Actual_CF[Incurred],CF_Gen_4[[#This Row],[Incurred]])</f>
        <v>0</v>
      </c>
      <c r="AC85" s="19">
        <f>SUMIFS(Actual_CF[Actual_Commission],Actual_CF[ICG],CF_Gen_4[[#This Row],[ICG]],Actual_CF[Incurred],CF_Gen_4[[#This Row],[Incurred]])</f>
        <v>0</v>
      </c>
      <c r="AD85" s="19">
        <f>SUMIFS(Actual_CF[Actual_Acquisition],Actual_CF[ICG],CF_Gen_4[[#This Row],[ICG]],Actual_CF[Incurred],CF_Gen_4[[#This Row],[Incurred]])</f>
        <v>0</v>
      </c>
    </row>
    <row r="86" spans="1:30">
      <c r="A86" t="str">
        <f t="shared" si="3"/>
        <v>#2025#RC-Property</v>
      </c>
      <c r="B86">
        <f>_xlfn.XLOOKUP(CF_Gen_4[[#This Row],[ICG]],ICG[ICG],ICG[Cohort])</f>
        <v>2025</v>
      </c>
      <c r="C86" t="str">
        <f>_xlfn.XLOOKUP(CF_Gen_4[[#This Row],[ICG]],ICG[ICG],ICG[Portfolio])</f>
        <v>RC-Property</v>
      </c>
      <c r="D86" t="str">
        <f>_xlfn.XLOOKUP(CF_Gen_4[[#This Row],[ICG]],ICG[ICG],ICG[Contract])</f>
        <v>RC</v>
      </c>
      <c r="E86" s="2">
        <f t="shared" si="2"/>
        <v>45930</v>
      </c>
      <c r="F86">
        <v>85</v>
      </c>
      <c r="G86" s="2">
        <f>EOMONTH(DATE(YEAR(CF_Gen_4[[#This Row],[Valuation]])-1,12,31),CF_Gen_4[[#This Row],['#Incurred]]*3)</f>
        <v>53417</v>
      </c>
      <c r="H86" s="14">
        <f>SUMIFS(Expected_CF[Expected_Premium],Expected_CF[ICG],CF_Gen_4[[#This Row],[ICG]],Expected_CF[Incurred],CF_Gen_4[[#This Row],[Incurred]])</f>
        <v>0</v>
      </c>
      <c r="I86" s="14">
        <f>SUMIFS(Expected_CF[Expected_Commission],Expected_CF[ICG],CF_Gen_4[[#This Row],[ICG]],Expected_CF[Incurred],CF_Gen_4[[#This Row],[Incurred]])</f>
        <v>0</v>
      </c>
      <c r="J86" s="14">
        <f>IF(CF_Gen_4[[#This Row],[Contract]]="IC",SUMIFS(Expected_CF[Expected_Acquisition],Expected_CF[ICG],CF_Gen_4[[#This Row],[ICG]],Expected_CF[Incurred],CF_Gen_4[[#This Row],[Incurred]]),0)</f>
        <v>0</v>
      </c>
      <c r="K86" s="14">
        <f>SUMIFS(Earned[Earned_Premium],Earned[ICG],CF_Gen_4[[#This Row],[ICG]],Earned[Incurred],CF_Gen_4[[#This Row],[Incurred]])</f>
        <v>-122041829.56846195</v>
      </c>
      <c r="L86" s="14">
        <f>SUMIFS(Earned[Earned_Commission],Earned[ICG],CF_Gen_4[[#This Row],[ICG]],Earned[Incurred],CF_Gen_4[[#This Row],[Incurred]])</f>
        <v>39663594.609750144</v>
      </c>
      <c r="M86" s="18">
        <f>_xlfn.XLOOKUP(CF_Gen_4[[#This Row],[ICG]],Assumptions[ICG],Assumptions[Loss_Ratio])</f>
        <v>0.38</v>
      </c>
      <c r="N86" s="18">
        <f>_xlfn.XLOOKUP(CF_Gen_4[[#This Row],[ICG]],Assumptions[ICG],Assumptions[Risk_Adjustment_Ratio])</f>
        <v>0.13</v>
      </c>
      <c r="O86" s="18">
        <f>_xlfn.XLOOKUP(CF_Gen_4[[#This Row],[ICG]],Assumptions[ICG],Assumptions[PME_Ratio])</f>
        <v>0</v>
      </c>
      <c r="P86" s="18">
        <f>_xlfn.XLOOKUP(CF_Gen_4[[#This Row],[ICG]],Assumptions[ICG],Assumptions[ULAE_Ratio])</f>
        <v>0</v>
      </c>
      <c r="Q86" s="18">
        <f>_xlfn.XLOOKUP(CF_Gen_4[[#This Row],[ICG]],Assumptions[ICG],Assumptions[Cancellation_Ratio])</f>
        <v>7.0000000000000007E-2</v>
      </c>
      <c r="R86" s="18">
        <f>_xlfn.XLOOKUP(CF_Gen_4[[#This Row],[ICG]],Assumptions[ICG],Assumptions[Premium_Refund_Ratio])</f>
        <v>0.5</v>
      </c>
      <c r="S86" s="18">
        <f>IF(CF_Gen_4[[#This Row],[Contract]]="RC",_xlfn.XLOOKUP(CF_Gen_4[[#This Row],[ICG]],Assumptions[ICG],Assumptions[NPR_Ratio]),0)</f>
        <v>2.8000000000000001E-2</v>
      </c>
      <c r="T86" s="17">
        <f>T85*(1-CF_Gen_4[[#This Row],[Cancellation_Ratio]])</f>
        <v>2.2519963305457978E-3</v>
      </c>
      <c r="U86" s="19">
        <f>IF(CF_Gen_4[[#This Row],[Incurred]]&lt;=CF_Gen_4[[#This Row],[Valuation]],CF_Gen_4[[#This Row],[Expected_Premium]],-CF_Gen_4[[#This Row],[Probability_of_Inforce]]*CF_Gen_4[[#This Row],[Premium_Refund_Ratio]]*CF_Gen_4[[#This Row],[Cancellation_Ratio]]*SUM(K86:K$105))</f>
        <v>54108.682496125439</v>
      </c>
      <c r="V8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Row],[Cancellation_Ratio]]*SUM(L86:L$105))</f>
        <v>-17585.321811240763</v>
      </c>
      <c r="W86" s="19">
        <f>CF_Gen_4[[#This Row],[Expected_Acquisition]]</f>
        <v>0</v>
      </c>
      <c r="X8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6" s="19">
        <f>-CF_Gen_4[[#This Row],[Probability_of_Inforce]]*CF_Gen_4[[#This Row],[Earned_Premium]]*(1-CF_Gen_4[[#This Row],[Cancellation_Ratio]])*CF_Gen_4[[#This Row],[Loss_Ratio]]</f>
        <v>97127.661684473525</v>
      </c>
      <c r="Z86" s="19">
        <f>CF_Gen_4[[#This Row],[Exp_Claim]]*CF_Gen_4[[#This Row],[Risk_Adjustment_Ratio]]</f>
        <v>12626.59601898156</v>
      </c>
      <c r="AA86" s="19">
        <f>IF(CF_Gen_4[[#This Row],[Contract]]="RC",-CF_Gen_4[[#This Row],[NPR_Ratio]]*CF_Gen_4[[#This Row],[Exp_Claim]],0)</f>
        <v>-2719.5745271652586</v>
      </c>
      <c r="AB86" s="19">
        <f>SUMIFS(Actual_CF[Actual_Premium],Actual_CF[ICG],CF_Gen_4[[#This Row],[ICG]],Actual_CF[Incurred],CF_Gen_4[[#This Row],[Incurred]])</f>
        <v>0</v>
      </c>
      <c r="AC86" s="19">
        <f>SUMIFS(Actual_CF[Actual_Commission],Actual_CF[ICG],CF_Gen_4[[#This Row],[ICG]],Actual_CF[Incurred],CF_Gen_4[[#This Row],[Incurred]])</f>
        <v>0</v>
      </c>
      <c r="AD86" s="19">
        <f>SUMIFS(Actual_CF[Actual_Acquisition],Actual_CF[ICG],CF_Gen_4[[#This Row],[ICG]],Actual_CF[Incurred],CF_Gen_4[[#This Row],[Incurred]])</f>
        <v>0</v>
      </c>
    </row>
    <row r="87" spans="1:30">
      <c r="A87" t="str">
        <f t="shared" si="3"/>
        <v>#2025#RC-Property</v>
      </c>
      <c r="B87">
        <f>_xlfn.XLOOKUP(CF_Gen_4[[#This Row],[ICG]],ICG[ICG],ICG[Cohort])</f>
        <v>2025</v>
      </c>
      <c r="C87" t="str">
        <f>_xlfn.XLOOKUP(CF_Gen_4[[#This Row],[ICG]],ICG[ICG],ICG[Portfolio])</f>
        <v>RC-Property</v>
      </c>
      <c r="D87" t="str">
        <f>_xlfn.XLOOKUP(CF_Gen_4[[#This Row],[ICG]],ICG[ICG],ICG[Contract])</f>
        <v>RC</v>
      </c>
      <c r="E87" s="2">
        <f t="shared" si="2"/>
        <v>45930</v>
      </c>
      <c r="F87">
        <v>86</v>
      </c>
      <c r="G87" s="2">
        <f>EOMONTH(DATE(YEAR(CF_Gen_4[[#This Row],[Valuation]])-1,12,31),CF_Gen_4[[#This Row],['#Incurred]]*3)</f>
        <v>53508</v>
      </c>
      <c r="H87" s="14">
        <f>SUMIFS(Expected_CF[Expected_Premium],Expected_CF[ICG],CF_Gen_4[[#This Row],[ICG]],Expected_CF[Incurred],CF_Gen_4[[#This Row],[Incurred]])</f>
        <v>0</v>
      </c>
      <c r="I87" s="14">
        <f>SUMIFS(Expected_CF[Expected_Commission],Expected_CF[ICG],CF_Gen_4[[#This Row],[ICG]],Expected_CF[Incurred],CF_Gen_4[[#This Row],[Incurred]])</f>
        <v>0</v>
      </c>
      <c r="J87" s="14">
        <f>IF(CF_Gen_4[[#This Row],[Contract]]="IC",SUMIFS(Expected_CF[Expected_Acquisition],Expected_CF[ICG],CF_Gen_4[[#This Row],[ICG]],Expected_CF[Incurred],CF_Gen_4[[#This Row],[Incurred]]),0)</f>
        <v>0</v>
      </c>
      <c r="K87" s="14">
        <f>SUMIFS(Earned[Earned_Premium],Earned[ICG],CF_Gen_4[[#This Row],[ICG]],Earned[Incurred],CF_Gen_4[[#This Row],[Incurred]])</f>
        <v>-106786600.87240422</v>
      </c>
      <c r="L87" s="14">
        <f>SUMIFS(Earned[Earned_Commission],Earned[ICG],CF_Gen_4[[#This Row],[ICG]],Earned[Incurred],CF_Gen_4[[#This Row],[Incurred]])</f>
        <v>34705645.283531375</v>
      </c>
      <c r="M87" s="18">
        <f>_xlfn.XLOOKUP(CF_Gen_4[[#This Row],[ICG]],Assumptions[ICG],Assumptions[Loss_Ratio])</f>
        <v>0.38</v>
      </c>
      <c r="N87" s="18">
        <f>_xlfn.XLOOKUP(CF_Gen_4[[#This Row],[ICG]],Assumptions[ICG],Assumptions[Risk_Adjustment_Ratio])</f>
        <v>0.13</v>
      </c>
      <c r="O87" s="18">
        <f>_xlfn.XLOOKUP(CF_Gen_4[[#This Row],[ICG]],Assumptions[ICG],Assumptions[PME_Ratio])</f>
        <v>0</v>
      </c>
      <c r="P87" s="18">
        <f>_xlfn.XLOOKUP(CF_Gen_4[[#This Row],[ICG]],Assumptions[ICG],Assumptions[ULAE_Ratio])</f>
        <v>0</v>
      </c>
      <c r="Q87" s="18">
        <f>_xlfn.XLOOKUP(CF_Gen_4[[#This Row],[ICG]],Assumptions[ICG],Assumptions[Cancellation_Ratio])</f>
        <v>7.0000000000000007E-2</v>
      </c>
      <c r="R87" s="18">
        <f>_xlfn.XLOOKUP(CF_Gen_4[[#This Row],[ICG]],Assumptions[ICG],Assumptions[Premium_Refund_Ratio])</f>
        <v>0.5</v>
      </c>
      <c r="S87" s="18">
        <f>IF(CF_Gen_4[[#This Row],[Contract]]="RC",_xlfn.XLOOKUP(CF_Gen_4[[#This Row],[ICG]],Assumptions[ICG],Assumptions[NPR_Ratio]),0)</f>
        <v>2.8000000000000001E-2</v>
      </c>
      <c r="T87" s="17">
        <f>T86*(1-CF_Gen_4[[#This Row],[Cancellation_Ratio]])</f>
        <v>2.0943565874075917E-3</v>
      </c>
      <c r="U87" s="19">
        <f>IF(CF_Gen_4[[#This Row],[Incurred]]&lt;=CF_Gen_4[[#This Row],[Valuation]],CF_Gen_4[[#This Row],[Expected_Premium]],-CF_Gen_4[[#This Row],[Probability_of_Inforce]]*CF_Gen_4[[#This Row],[Premium_Refund_Ratio]]*CF_Gen_4[[#This Row],[Cancellation_Ratio]]*SUM(K87:K$105))</f>
        <v>41375.105882037249</v>
      </c>
      <c r="V8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Row],[Cancellation_Ratio]]*SUM(L87:L$105))</f>
        <v>-13446.909411662102</v>
      </c>
      <c r="W87" s="19">
        <f>CF_Gen_4[[#This Row],[Expected_Acquisition]]</f>
        <v>0</v>
      </c>
      <c r="X8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7" s="19">
        <f>-CF_Gen_4[[#This Row],[Probability_of_Inforce]]*CF_Gen_4[[#This Row],[Earned_Premium]]*(1-CF_Gen_4[[#This Row],[Cancellation_Ratio]])*CF_Gen_4[[#This Row],[Loss_Ratio]]</f>
        <v>79037.634695740315</v>
      </c>
      <c r="Z87" s="19">
        <f>CF_Gen_4[[#This Row],[Exp_Claim]]*CF_Gen_4[[#This Row],[Risk_Adjustment_Ratio]]</f>
        <v>10274.892510446241</v>
      </c>
      <c r="AA87" s="19">
        <f>IF(CF_Gen_4[[#This Row],[Contract]]="RC",-CF_Gen_4[[#This Row],[NPR_Ratio]]*CF_Gen_4[[#This Row],[Exp_Claim]],0)</f>
        <v>-2213.0537714807288</v>
      </c>
      <c r="AB87" s="19">
        <f>SUMIFS(Actual_CF[Actual_Premium],Actual_CF[ICG],CF_Gen_4[[#This Row],[ICG]],Actual_CF[Incurred],CF_Gen_4[[#This Row],[Incurred]])</f>
        <v>0</v>
      </c>
      <c r="AC87" s="19">
        <f>SUMIFS(Actual_CF[Actual_Commission],Actual_CF[ICG],CF_Gen_4[[#This Row],[ICG]],Actual_CF[Incurred],CF_Gen_4[[#This Row],[Incurred]])</f>
        <v>0</v>
      </c>
      <c r="AD87" s="19">
        <f>SUMIFS(Actual_CF[Actual_Acquisition],Actual_CF[ICG],CF_Gen_4[[#This Row],[ICG]],Actual_CF[Incurred],CF_Gen_4[[#This Row],[Incurred]])</f>
        <v>0</v>
      </c>
    </row>
    <row r="88" spans="1:30">
      <c r="A88" t="str">
        <f t="shared" si="3"/>
        <v>#2025#RC-Property</v>
      </c>
      <c r="B88">
        <f>_xlfn.XLOOKUP(CF_Gen_4[[#This Row],[ICG]],ICG[ICG],ICG[Cohort])</f>
        <v>2025</v>
      </c>
      <c r="C88" t="str">
        <f>_xlfn.XLOOKUP(CF_Gen_4[[#This Row],[ICG]],ICG[ICG],ICG[Portfolio])</f>
        <v>RC-Property</v>
      </c>
      <c r="D88" t="str">
        <f>_xlfn.XLOOKUP(CF_Gen_4[[#This Row],[ICG]],ICG[ICG],ICG[Contract])</f>
        <v>RC</v>
      </c>
      <c r="E88" s="2">
        <f t="shared" si="2"/>
        <v>45930</v>
      </c>
      <c r="F88">
        <v>87</v>
      </c>
      <c r="G88" s="2">
        <f>EOMONTH(DATE(YEAR(CF_Gen_4[[#This Row],[Valuation]])-1,12,31),CF_Gen_4[[#This Row],['#Incurred]]*3)</f>
        <v>53600</v>
      </c>
      <c r="H88" s="14">
        <f>SUMIFS(Expected_CF[Expected_Premium],Expected_CF[ICG],CF_Gen_4[[#This Row],[ICG]],Expected_CF[Incurred],CF_Gen_4[[#This Row],[Incurred]])</f>
        <v>0</v>
      </c>
      <c r="I88" s="14">
        <f>SUMIFS(Expected_CF[Expected_Commission],Expected_CF[ICG],CF_Gen_4[[#This Row],[ICG]],Expected_CF[Incurred],CF_Gen_4[[#This Row],[Incurred]])</f>
        <v>0</v>
      </c>
      <c r="J88" s="14">
        <f>IF(CF_Gen_4[[#This Row],[Contract]]="IC",SUMIFS(Expected_CF[Expected_Acquisition],Expected_CF[ICG],CF_Gen_4[[#This Row],[ICG]],Expected_CF[Incurred],CF_Gen_4[[#This Row],[Incurred]]),0)</f>
        <v>0</v>
      </c>
      <c r="K88" s="14">
        <f>SUMIFS(Earned[Earned_Premium],Earned[ICG],CF_Gen_4[[#This Row],[ICG]],Earned[Incurred],CF_Gen_4[[#This Row],[Incurred]])</f>
        <v>-91531372.176346481</v>
      </c>
      <c r="L88" s="14">
        <f>SUMIFS(Earned[Earned_Commission],Earned[ICG],CF_Gen_4[[#This Row],[ICG]],Earned[Incurred],CF_Gen_4[[#This Row],[Incurred]])</f>
        <v>29747695.95731261</v>
      </c>
      <c r="M88" s="18">
        <f>_xlfn.XLOOKUP(CF_Gen_4[[#This Row],[ICG]],Assumptions[ICG],Assumptions[Loss_Ratio])</f>
        <v>0.38</v>
      </c>
      <c r="N88" s="18">
        <f>_xlfn.XLOOKUP(CF_Gen_4[[#This Row],[ICG]],Assumptions[ICG],Assumptions[Risk_Adjustment_Ratio])</f>
        <v>0.13</v>
      </c>
      <c r="O88" s="18">
        <f>_xlfn.XLOOKUP(CF_Gen_4[[#This Row],[ICG]],Assumptions[ICG],Assumptions[PME_Ratio])</f>
        <v>0</v>
      </c>
      <c r="P88" s="18">
        <f>_xlfn.XLOOKUP(CF_Gen_4[[#This Row],[ICG]],Assumptions[ICG],Assumptions[ULAE_Ratio])</f>
        <v>0</v>
      </c>
      <c r="Q88" s="18">
        <f>_xlfn.XLOOKUP(CF_Gen_4[[#This Row],[ICG]],Assumptions[ICG],Assumptions[Cancellation_Ratio])</f>
        <v>7.0000000000000007E-2</v>
      </c>
      <c r="R88" s="18">
        <f>_xlfn.XLOOKUP(CF_Gen_4[[#This Row],[ICG]],Assumptions[ICG],Assumptions[Premium_Refund_Ratio])</f>
        <v>0.5</v>
      </c>
      <c r="S88" s="18">
        <f>IF(CF_Gen_4[[#This Row],[Contract]]="RC",_xlfn.XLOOKUP(CF_Gen_4[[#This Row],[ICG]],Assumptions[ICG],Assumptions[NPR_Ratio]),0)</f>
        <v>2.8000000000000001E-2</v>
      </c>
      <c r="T88" s="17">
        <f>T87*(1-CF_Gen_4[[#This Row],[Cancellation_Ratio]])</f>
        <v>1.9477516262890601E-3</v>
      </c>
      <c r="U88" s="19">
        <f>IF(CF_Gen_4[[#This Row],[Incurred]]&lt;=CF_Gen_4[[#This Row],[Valuation]],CF_Gen_4[[#This Row],[Expected_Premium]],-CF_Gen_4[[#This Row],[Probability_of_Inforce]]*CF_Gen_4[[#This Row],[Premium_Refund_Ratio]]*CF_Gen_4[[#This Row],[Cancellation_Ratio]]*SUM(K88:K$105))</f>
        <v>31199.066327265919</v>
      </c>
      <c r="V8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Row],[Cancellation_Ratio]]*SUM(L88:L$105))</f>
        <v>-10139.696556361423</v>
      </c>
      <c r="W88" s="19">
        <f>CF_Gen_4[[#This Row],[Expected_Acquisition]]</f>
        <v>0</v>
      </c>
      <c r="X8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8" s="19">
        <f>-CF_Gen_4[[#This Row],[Probability_of_Inforce]]*CF_Gen_4[[#This Row],[Earned_Premium]]*(1-CF_Gen_4[[#This Row],[Cancellation_Ratio]])*CF_Gen_4[[#This Row],[Loss_Ratio]]</f>
        <v>63004.285943175841</v>
      </c>
      <c r="Z88" s="19">
        <f>CF_Gen_4[[#This Row],[Exp_Claim]]*CF_Gen_4[[#This Row],[Risk_Adjustment_Ratio]]</f>
        <v>8190.5571726128592</v>
      </c>
      <c r="AA88" s="19">
        <f>IF(CF_Gen_4[[#This Row],[Contract]]="RC",-CF_Gen_4[[#This Row],[NPR_Ratio]]*CF_Gen_4[[#This Row],[Exp_Claim]],0)</f>
        <v>-1764.1200064089235</v>
      </c>
      <c r="AB88" s="19">
        <f>SUMIFS(Actual_CF[Actual_Premium],Actual_CF[ICG],CF_Gen_4[[#This Row],[ICG]],Actual_CF[Incurred],CF_Gen_4[[#This Row],[Incurred]])</f>
        <v>0</v>
      </c>
      <c r="AC88" s="19">
        <f>SUMIFS(Actual_CF[Actual_Commission],Actual_CF[ICG],CF_Gen_4[[#This Row],[ICG]],Actual_CF[Incurred],CF_Gen_4[[#This Row],[Incurred]])</f>
        <v>0</v>
      </c>
      <c r="AD88" s="19">
        <f>SUMIFS(Actual_CF[Actual_Acquisition],Actual_CF[ICG],CF_Gen_4[[#This Row],[ICG]],Actual_CF[Incurred],CF_Gen_4[[#This Row],[Incurred]])</f>
        <v>0</v>
      </c>
    </row>
    <row r="89" spans="1:30">
      <c r="A89" t="str">
        <f t="shared" si="3"/>
        <v>#2025#RC-Property</v>
      </c>
      <c r="B89">
        <f>_xlfn.XLOOKUP(CF_Gen_4[[#This Row],[ICG]],ICG[ICG],ICG[Cohort])</f>
        <v>2025</v>
      </c>
      <c r="C89" t="str">
        <f>_xlfn.XLOOKUP(CF_Gen_4[[#This Row],[ICG]],ICG[ICG],ICG[Portfolio])</f>
        <v>RC-Property</v>
      </c>
      <c r="D89" t="str">
        <f>_xlfn.XLOOKUP(CF_Gen_4[[#This Row],[ICG]],ICG[ICG],ICG[Contract])</f>
        <v>RC</v>
      </c>
      <c r="E89" s="2">
        <f t="shared" si="2"/>
        <v>45930</v>
      </c>
      <c r="F89">
        <v>88</v>
      </c>
      <c r="G89" s="2">
        <f>EOMONTH(DATE(YEAR(CF_Gen_4[[#This Row],[Valuation]])-1,12,31),CF_Gen_4[[#This Row],['#Incurred]]*3)</f>
        <v>53692</v>
      </c>
      <c r="H89" s="14">
        <f>SUMIFS(Expected_CF[Expected_Premium],Expected_CF[ICG],CF_Gen_4[[#This Row],[ICG]],Expected_CF[Incurred],CF_Gen_4[[#This Row],[Incurred]])</f>
        <v>0</v>
      </c>
      <c r="I89" s="14">
        <f>SUMIFS(Expected_CF[Expected_Commission],Expected_CF[ICG],CF_Gen_4[[#This Row],[ICG]],Expected_CF[Incurred],CF_Gen_4[[#This Row],[Incurred]])</f>
        <v>0</v>
      </c>
      <c r="J89" s="14">
        <f>IF(CF_Gen_4[[#This Row],[Contract]]="IC",SUMIFS(Expected_CF[Expected_Acquisition],Expected_CF[ICG],CF_Gen_4[[#This Row],[ICG]],Expected_CF[Incurred],CF_Gen_4[[#This Row],[Incurred]]),0)</f>
        <v>0</v>
      </c>
      <c r="K89" s="14">
        <f>SUMIFS(Earned[Earned_Premium],Earned[ICG],CF_Gen_4[[#This Row],[ICG]],Earned[Incurred],CF_Gen_4[[#This Row],[Incurred]])</f>
        <v>-91531372.176346481</v>
      </c>
      <c r="L89" s="14">
        <f>SUMIFS(Earned[Earned_Commission],Earned[ICG],CF_Gen_4[[#This Row],[ICG]],Earned[Incurred],CF_Gen_4[[#This Row],[Incurred]])</f>
        <v>29747695.95731261</v>
      </c>
      <c r="M89" s="18">
        <f>_xlfn.XLOOKUP(CF_Gen_4[[#This Row],[ICG]],Assumptions[ICG],Assumptions[Loss_Ratio])</f>
        <v>0.38</v>
      </c>
      <c r="N89" s="18">
        <f>_xlfn.XLOOKUP(CF_Gen_4[[#This Row],[ICG]],Assumptions[ICG],Assumptions[Risk_Adjustment_Ratio])</f>
        <v>0.13</v>
      </c>
      <c r="O89" s="18">
        <f>_xlfn.XLOOKUP(CF_Gen_4[[#This Row],[ICG]],Assumptions[ICG],Assumptions[PME_Ratio])</f>
        <v>0</v>
      </c>
      <c r="P89" s="18">
        <f>_xlfn.XLOOKUP(CF_Gen_4[[#This Row],[ICG]],Assumptions[ICG],Assumptions[ULAE_Ratio])</f>
        <v>0</v>
      </c>
      <c r="Q89" s="18">
        <f>_xlfn.XLOOKUP(CF_Gen_4[[#This Row],[ICG]],Assumptions[ICG],Assumptions[Cancellation_Ratio])</f>
        <v>7.0000000000000007E-2</v>
      </c>
      <c r="R89" s="18">
        <f>_xlfn.XLOOKUP(CF_Gen_4[[#This Row],[ICG]],Assumptions[ICG],Assumptions[Premium_Refund_Ratio])</f>
        <v>0.5</v>
      </c>
      <c r="S89" s="18">
        <f>IF(CF_Gen_4[[#This Row],[Contract]]="RC",_xlfn.XLOOKUP(CF_Gen_4[[#This Row],[ICG]],Assumptions[ICG],Assumptions[NPR_Ratio]),0)</f>
        <v>2.8000000000000001E-2</v>
      </c>
      <c r="T89" s="17">
        <f>T88*(1-CF_Gen_4[[#This Row],[Cancellation_Ratio]])</f>
        <v>1.8114090124488258E-3</v>
      </c>
      <c r="U89" s="19">
        <f>IF(CF_Gen_4[[#This Row],[Incurred]]&lt;=CF_Gen_4[[#This Row],[Valuation]],CF_Gen_4[[#This Row],[Expected_Premium]],-CF_Gen_4[[#This Row],[Probability_of_Inforce]]*CF_Gen_4[[#This Row],[Premium_Refund_Ratio]]*CF_Gen_4[[#This Row],[Cancellation_Ratio]]*SUM(K89:K$105))</f>
        <v>23212.105347485838</v>
      </c>
      <c r="V8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Row],[Cancellation_Ratio]]*SUM(L89:L$105))</f>
        <v>-7543.9342379328991</v>
      </c>
      <c r="W89" s="19">
        <f>CF_Gen_4[[#This Row],[Expected_Acquisition]]</f>
        <v>0</v>
      </c>
      <c r="X8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89" s="19">
        <f>-CF_Gen_4[[#This Row],[Probability_of_Inforce]]*CF_Gen_4[[#This Row],[Earned_Premium]]*(1-CF_Gen_4[[#This Row],[Cancellation_Ratio]])*CF_Gen_4[[#This Row],[Loss_Ratio]]</f>
        <v>58593.985927153539</v>
      </c>
      <c r="Z89" s="19">
        <f>CF_Gen_4[[#This Row],[Exp_Claim]]*CF_Gen_4[[#This Row],[Risk_Adjustment_Ratio]]</f>
        <v>7617.2181705299599</v>
      </c>
      <c r="AA89" s="19">
        <f>IF(CF_Gen_4[[#This Row],[Contract]]="RC",-CF_Gen_4[[#This Row],[NPR_Ratio]]*CF_Gen_4[[#This Row],[Exp_Claim]],0)</f>
        <v>-1640.6316059602991</v>
      </c>
      <c r="AB89" s="19">
        <f>SUMIFS(Actual_CF[Actual_Premium],Actual_CF[ICG],CF_Gen_4[[#This Row],[ICG]],Actual_CF[Incurred],CF_Gen_4[[#This Row],[Incurred]])</f>
        <v>0</v>
      </c>
      <c r="AC89" s="19">
        <f>SUMIFS(Actual_CF[Actual_Commission],Actual_CF[ICG],CF_Gen_4[[#This Row],[ICG]],Actual_CF[Incurred],CF_Gen_4[[#This Row],[Incurred]])</f>
        <v>0</v>
      </c>
      <c r="AD89" s="19">
        <f>SUMIFS(Actual_CF[Actual_Acquisition],Actual_CF[ICG],CF_Gen_4[[#This Row],[ICG]],Actual_CF[Incurred],CF_Gen_4[[#This Row],[Incurred]])</f>
        <v>0</v>
      </c>
    </row>
    <row r="90" spans="1:30">
      <c r="A90" t="str">
        <f t="shared" si="3"/>
        <v>#2025#RC-Property</v>
      </c>
      <c r="B90">
        <f>_xlfn.XLOOKUP(CF_Gen_4[[#This Row],[ICG]],ICG[ICG],ICG[Cohort])</f>
        <v>2025</v>
      </c>
      <c r="C90" t="str">
        <f>_xlfn.XLOOKUP(CF_Gen_4[[#This Row],[ICG]],ICG[ICG],ICG[Portfolio])</f>
        <v>RC-Property</v>
      </c>
      <c r="D90" t="str">
        <f>_xlfn.XLOOKUP(CF_Gen_4[[#This Row],[ICG]],ICG[ICG],ICG[Contract])</f>
        <v>RC</v>
      </c>
      <c r="E90" s="2">
        <f t="shared" si="2"/>
        <v>45930</v>
      </c>
      <c r="F90">
        <v>89</v>
      </c>
      <c r="G90" s="2">
        <f>EOMONTH(DATE(YEAR(CF_Gen_4[[#This Row],[Valuation]])-1,12,31),CF_Gen_4[[#This Row],['#Incurred]]*3)</f>
        <v>53782</v>
      </c>
      <c r="H90" s="14">
        <f>SUMIFS(Expected_CF[Expected_Premium],Expected_CF[ICG],CF_Gen_4[[#This Row],[ICG]],Expected_CF[Incurred],CF_Gen_4[[#This Row],[Incurred]])</f>
        <v>0</v>
      </c>
      <c r="I90" s="14">
        <f>SUMIFS(Expected_CF[Expected_Commission],Expected_CF[ICG],CF_Gen_4[[#This Row],[ICG]],Expected_CF[Incurred],CF_Gen_4[[#This Row],[Incurred]])</f>
        <v>0</v>
      </c>
      <c r="J90" s="14">
        <f>IF(CF_Gen_4[[#This Row],[Contract]]="IC",SUMIFS(Expected_CF[Expected_Acquisition],Expected_CF[ICG],CF_Gen_4[[#This Row],[ICG]],Expected_CF[Incurred],CF_Gen_4[[#This Row],[Incurred]]),0)</f>
        <v>0</v>
      </c>
      <c r="K90" s="14">
        <f>SUMIFS(Earned[Earned_Premium],Earned[ICG],CF_Gen_4[[#This Row],[ICG]],Earned[Incurred],CF_Gen_4[[#This Row],[Incurred]])</f>
        <v>-76276143.480288729</v>
      </c>
      <c r="L90" s="14">
        <f>SUMIFS(Earned[Earned_Commission],Earned[ICG],CF_Gen_4[[#This Row],[ICG]],Earned[Incurred],CF_Gen_4[[#This Row],[Incurred]])</f>
        <v>24789746.631093841</v>
      </c>
      <c r="M90" s="18">
        <f>_xlfn.XLOOKUP(CF_Gen_4[[#This Row],[ICG]],Assumptions[ICG],Assumptions[Loss_Ratio])</f>
        <v>0.38</v>
      </c>
      <c r="N90" s="18">
        <f>_xlfn.XLOOKUP(CF_Gen_4[[#This Row],[ICG]],Assumptions[ICG],Assumptions[Risk_Adjustment_Ratio])</f>
        <v>0.13</v>
      </c>
      <c r="O90" s="18">
        <f>_xlfn.XLOOKUP(CF_Gen_4[[#This Row],[ICG]],Assumptions[ICG],Assumptions[PME_Ratio])</f>
        <v>0</v>
      </c>
      <c r="P90" s="18">
        <f>_xlfn.XLOOKUP(CF_Gen_4[[#This Row],[ICG]],Assumptions[ICG],Assumptions[ULAE_Ratio])</f>
        <v>0</v>
      </c>
      <c r="Q90" s="18">
        <f>_xlfn.XLOOKUP(CF_Gen_4[[#This Row],[ICG]],Assumptions[ICG],Assumptions[Cancellation_Ratio])</f>
        <v>7.0000000000000007E-2</v>
      </c>
      <c r="R90" s="18">
        <f>_xlfn.XLOOKUP(CF_Gen_4[[#This Row],[ICG]],Assumptions[ICG],Assumptions[Premium_Refund_Ratio])</f>
        <v>0.5</v>
      </c>
      <c r="S90" s="18">
        <f>IF(CF_Gen_4[[#This Row],[Contract]]="RC",_xlfn.XLOOKUP(CF_Gen_4[[#This Row],[ICG]],Assumptions[ICG],Assumptions[NPR_Ratio]),0)</f>
        <v>2.8000000000000001E-2</v>
      </c>
      <c r="T90" s="17">
        <f>T89*(1-CF_Gen_4[[#This Row],[Cancellation_Ratio]])</f>
        <v>1.6846103815774079E-3</v>
      </c>
      <c r="U90" s="19">
        <f>IF(CF_Gen_4[[#This Row],[Incurred]]&lt;=CF_Gen_4[[#This Row],[Valuation]],CF_Gen_4[[#This Row],[Expected_Premium]],-CF_Gen_4[[#This Row],[Probability_of_Inforce]]*CF_Gen_4[[#This Row],[Premium_Refund_Ratio]]*CF_Gen_4[[#This Row],[Cancellation_Ratio]]*SUM(K90:K$105))</f>
        <v>16190.44347987137</v>
      </c>
      <c r="V9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Row],[Cancellation_Ratio]]*SUM(L90:L$105))</f>
        <v>-5261.8941309581969</v>
      </c>
      <c r="W90" s="19">
        <f>CF_Gen_4[[#This Row],[Expected_Acquisition]]</f>
        <v>0</v>
      </c>
      <c r="X9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0" s="19">
        <f>-CF_Gen_4[[#This Row],[Probability_of_Inforce]]*CF_Gen_4[[#This Row],[Earned_Premium]]*(1-CF_Gen_4[[#This Row],[Cancellation_Ratio]])*CF_Gen_4[[#This Row],[Loss_Ratio]]</f>
        <v>45410.339093543982</v>
      </c>
      <c r="Z90" s="19">
        <f>CF_Gen_4[[#This Row],[Exp_Claim]]*CF_Gen_4[[#This Row],[Risk_Adjustment_Ratio]]</f>
        <v>5903.3440821607182</v>
      </c>
      <c r="AA90" s="19">
        <f>IF(CF_Gen_4[[#This Row],[Contract]]="RC",-CF_Gen_4[[#This Row],[NPR_Ratio]]*CF_Gen_4[[#This Row],[Exp_Claim]],0)</f>
        <v>-1271.4894946192314</v>
      </c>
      <c r="AB90" s="19">
        <f>SUMIFS(Actual_CF[Actual_Premium],Actual_CF[ICG],CF_Gen_4[[#This Row],[ICG]],Actual_CF[Incurred],CF_Gen_4[[#This Row],[Incurred]])</f>
        <v>0</v>
      </c>
      <c r="AC90" s="19">
        <f>SUMIFS(Actual_CF[Actual_Commission],Actual_CF[ICG],CF_Gen_4[[#This Row],[ICG]],Actual_CF[Incurred],CF_Gen_4[[#This Row],[Incurred]])</f>
        <v>0</v>
      </c>
      <c r="AD90" s="19">
        <f>SUMIFS(Actual_CF[Actual_Acquisition],Actual_CF[ICG],CF_Gen_4[[#This Row],[ICG]],Actual_CF[Incurred],CF_Gen_4[[#This Row],[Incurred]])</f>
        <v>0</v>
      </c>
    </row>
    <row r="91" spans="1:30">
      <c r="A91" t="str">
        <f t="shared" si="3"/>
        <v>#2025#RC-Property</v>
      </c>
      <c r="B91">
        <f>_xlfn.XLOOKUP(CF_Gen_4[[#This Row],[ICG]],ICG[ICG],ICG[Cohort])</f>
        <v>2025</v>
      </c>
      <c r="C91" t="str">
        <f>_xlfn.XLOOKUP(CF_Gen_4[[#This Row],[ICG]],ICG[ICG],ICG[Portfolio])</f>
        <v>RC-Property</v>
      </c>
      <c r="D91" t="str">
        <f>_xlfn.XLOOKUP(CF_Gen_4[[#This Row],[ICG]],ICG[ICG],ICG[Contract])</f>
        <v>RC</v>
      </c>
      <c r="E91" s="2">
        <f t="shared" si="2"/>
        <v>45930</v>
      </c>
      <c r="F91">
        <v>90</v>
      </c>
      <c r="G91" s="2">
        <f>EOMONTH(DATE(YEAR(CF_Gen_4[[#This Row],[Valuation]])-1,12,31),CF_Gen_4[[#This Row],['#Incurred]]*3)</f>
        <v>53873</v>
      </c>
      <c r="H91" s="14">
        <f>SUMIFS(Expected_CF[Expected_Premium],Expected_CF[ICG],CF_Gen_4[[#This Row],[ICG]],Expected_CF[Incurred],CF_Gen_4[[#This Row],[Incurred]])</f>
        <v>0</v>
      </c>
      <c r="I91" s="14">
        <f>SUMIFS(Expected_CF[Expected_Commission],Expected_CF[ICG],CF_Gen_4[[#This Row],[ICG]],Expected_CF[Incurred],CF_Gen_4[[#This Row],[Incurred]])</f>
        <v>0</v>
      </c>
      <c r="J91" s="14">
        <f>IF(CF_Gen_4[[#This Row],[Contract]]="IC",SUMIFS(Expected_CF[Expected_Acquisition],Expected_CF[ICG],CF_Gen_4[[#This Row],[ICG]],Expected_CF[Incurred],CF_Gen_4[[#This Row],[Incurred]]),0)</f>
        <v>0</v>
      </c>
      <c r="K91" s="14">
        <f>SUMIFS(Earned[Earned_Premium],Earned[ICG],CF_Gen_4[[#This Row],[ICG]],Earned[Incurred],CF_Gen_4[[#This Row],[Incurred]])</f>
        <v>-61020914.784230977</v>
      </c>
      <c r="L91" s="14">
        <f>SUMIFS(Earned[Earned_Commission],Earned[ICG],CF_Gen_4[[#This Row],[ICG]],Earned[Incurred],CF_Gen_4[[#This Row],[Incurred]])</f>
        <v>19831797.304875072</v>
      </c>
      <c r="M91" s="18">
        <f>_xlfn.XLOOKUP(CF_Gen_4[[#This Row],[ICG]],Assumptions[ICG],Assumptions[Loss_Ratio])</f>
        <v>0.38</v>
      </c>
      <c r="N91" s="18">
        <f>_xlfn.XLOOKUP(CF_Gen_4[[#This Row],[ICG]],Assumptions[ICG],Assumptions[Risk_Adjustment_Ratio])</f>
        <v>0.13</v>
      </c>
      <c r="O91" s="18">
        <f>_xlfn.XLOOKUP(CF_Gen_4[[#This Row],[ICG]],Assumptions[ICG],Assumptions[PME_Ratio])</f>
        <v>0</v>
      </c>
      <c r="P91" s="18">
        <f>_xlfn.XLOOKUP(CF_Gen_4[[#This Row],[ICG]],Assumptions[ICG],Assumptions[ULAE_Ratio])</f>
        <v>0</v>
      </c>
      <c r="Q91" s="18">
        <f>_xlfn.XLOOKUP(CF_Gen_4[[#This Row],[ICG]],Assumptions[ICG],Assumptions[Cancellation_Ratio])</f>
        <v>7.0000000000000007E-2</v>
      </c>
      <c r="R91" s="18">
        <f>_xlfn.XLOOKUP(CF_Gen_4[[#This Row],[ICG]],Assumptions[ICG],Assumptions[Premium_Refund_Ratio])</f>
        <v>0.5</v>
      </c>
      <c r="S91" s="18">
        <f>IF(CF_Gen_4[[#This Row],[Contract]]="RC",_xlfn.XLOOKUP(CF_Gen_4[[#This Row],[ICG]],Assumptions[ICG],Assumptions[NPR_Ratio]),0)</f>
        <v>2.8000000000000001E-2</v>
      </c>
      <c r="T91" s="17">
        <f>T90*(1-CF_Gen_4[[#This Row],[Cancellation_Ratio]])</f>
        <v>1.5666876548669892E-3</v>
      </c>
      <c r="U91" s="19">
        <f>IF(CF_Gen_4[[#This Row],[Incurred]]&lt;=CF_Gen_4[[#This Row],[Valuation]],CF_Gen_4[[#This Row],[Expected_Premium]],-CF_Gen_4[[#This Row],[Probability_of_Inforce]]*CF_Gen_4[[#This Row],[Premium_Refund_Ratio]]*CF_Gen_4[[#This Row],[Cancellation_Ratio]]*SUM(K91:K$105))</f>
        <v>10874.581203980271</v>
      </c>
      <c r="V9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Row],[Cancellation_Ratio]]*SUM(L91:L$105))</f>
        <v>-3534.2388912935885</v>
      </c>
      <c r="W91" s="19">
        <f>CF_Gen_4[[#This Row],[Expected_Acquisition]]</f>
        <v>0</v>
      </c>
      <c r="X9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1" s="19">
        <f>-CF_Gen_4[[#This Row],[Probability_of_Inforce]]*CF_Gen_4[[#This Row],[Earned_Premium]]*(1-CF_Gen_4[[#This Row],[Cancellation_Ratio]])*CF_Gen_4[[#This Row],[Loss_Ratio]]</f>
        <v>33785.292285596719</v>
      </c>
      <c r="Z91" s="19">
        <f>CF_Gen_4[[#This Row],[Exp_Claim]]*CF_Gen_4[[#This Row],[Risk_Adjustment_Ratio]]</f>
        <v>4392.0879971275735</v>
      </c>
      <c r="AA91" s="19">
        <f>IF(CF_Gen_4[[#This Row],[Contract]]="RC",-CF_Gen_4[[#This Row],[NPR_Ratio]]*CF_Gen_4[[#This Row],[Exp_Claim]],0)</f>
        <v>-945.98818399670813</v>
      </c>
      <c r="AB91" s="19">
        <f>SUMIFS(Actual_CF[Actual_Premium],Actual_CF[ICG],CF_Gen_4[[#This Row],[ICG]],Actual_CF[Incurred],CF_Gen_4[[#This Row],[Incurred]])</f>
        <v>0</v>
      </c>
      <c r="AC91" s="19">
        <f>SUMIFS(Actual_CF[Actual_Commission],Actual_CF[ICG],CF_Gen_4[[#This Row],[ICG]],Actual_CF[Incurred],CF_Gen_4[[#This Row],[Incurred]])</f>
        <v>0</v>
      </c>
      <c r="AD91" s="19">
        <f>SUMIFS(Actual_CF[Actual_Acquisition],Actual_CF[ICG],CF_Gen_4[[#This Row],[ICG]],Actual_CF[Incurred],CF_Gen_4[[#This Row],[Incurred]])</f>
        <v>0</v>
      </c>
    </row>
    <row r="92" spans="1:30">
      <c r="A92" t="str">
        <f t="shared" si="3"/>
        <v>#2025#RC-Property</v>
      </c>
      <c r="B92">
        <f>_xlfn.XLOOKUP(CF_Gen_4[[#This Row],[ICG]],ICG[ICG],ICG[Cohort])</f>
        <v>2025</v>
      </c>
      <c r="C92" t="str">
        <f>_xlfn.XLOOKUP(CF_Gen_4[[#This Row],[ICG]],ICG[ICG],ICG[Portfolio])</f>
        <v>RC-Property</v>
      </c>
      <c r="D92" t="str">
        <f>_xlfn.XLOOKUP(CF_Gen_4[[#This Row],[ICG]],ICG[ICG],ICG[Contract])</f>
        <v>RC</v>
      </c>
      <c r="E92" s="2">
        <f t="shared" si="2"/>
        <v>45930</v>
      </c>
      <c r="F92">
        <v>91</v>
      </c>
      <c r="G92" s="2">
        <f>EOMONTH(DATE(YEAR(CF_Gen_4[[#This Row],[Valuation]])-1,12,31),CF_Gen_4[[#This Row],['#Incurred]]*3)</f>
        <v>53965</v>
      </c>
      <c r="H92" s="14">
        <f>SUMIFS(Expected_CF[Expected_Premium],Expected_CF[ICG],CF_Gen_4[[#This Row],[ICG]],Expected_CF[Incurred],CF_Gen_4[[#This Row],[Incurred]])</f>
        <v>0</v>
      </c>
      <c r="I92" s="14">
        <f>SUMIFS(Expected_CF[Expected_Commission],Expected_CF[ICG],CF_Gen_4[[#This Row],[ICG]],Expected_CF[Incurred],CF_Gen_4[[#This Row],[Incurred]])</f>
        <v>0</v>
      </c>
      <c r="J92" s="14">
        <f>IF(CF_Gen_4[[#This Row],[Contract]]="IC",SUMIFS(Expected_CF[Expected_Acquisition],Expected_CF[ICG],CF_Gen_4[[#This Row],[ICG]],Expected_CF[Incurred],CF_Gen_4[[#This Row],[Incurred]]),0)</f>
        <v>0</v>
      </c>
      <c r="K92" s="14">
        <f>SUMIFS(Earned[Earned_Premium],Earned[ICG],CF_Gen_4[[#This Row],[ICG]],Earned[Incurred],CF_Gen_4[[#This Row],[Incurred]])</f>
        <v>-45765686.08817324</v>
      </c>
      <c r="L92" s="14">
        <f>SUMIFS(Earned[Earned_Commission],Earned[ICG],CF_Gen_4[[#This Row],[ICG]],Earned[Incurred],CF_Gen_4[[#This Row],[Incurred]])</f>
        <v>14873847.978656305</v>
      </c>
      <c r="M92" s="18">
        <f>_xlfn.XLOOKUP(CF_Gen_4[[#This Row],[ICG]],Assumptions[ICG],Assumptions[Loss_Ratio])</f>
        <v>0.38</v>
      </c>
      <c r="N92" s="18">
        <f>_xlfn.XLOOKUP(CF_Gen_4[[#This Row],[ICG]],Assumptions[ICG],Assumptions[Risk_Adjustment_Ratio])</f>
        <v>0.13</v>
      </c>
      <c r="O92" s="18">
        <f>_xlfn.XLOOKUP(CF_Gen_4[[#This Row],[ICG]],Assumptions[ICG],Assumptions[PME_Ratio])</f>
        <v>0</v>
      </c>
      <c r="P92" s="18">
        <f>_xlfn.XLOOKUP(CF_Gen_4[[#This Row],[ICG]],Assumptions[ICG],Assumptions[ULAE_Ratio])</f>
        <v>0</v>
      </c>
      <c r="Q92" s="18">
        <f>_xlfn.XLOOKUP(CF_Gen_4[[#This Row],[ICG]],Assumptions[ICG],Assumptions[Cancellation_Ratio])</f>
        <v>7.0000000000000007E-2</v>
      </c>
      <c r="R92" s="18">
        <f>_xlfn.XLOOKUP(CF_Gen_4[[#This Row],[ICG]],Assumptions[ICG],Assumptions[Premium_Refund_Ratio])</f>
        <v>0.5</v>
      </c>
      <c r="S92" s="18">
        <f>IF(CF_Gen_4[[#This Row],[Contract]]="RC",_xlfn.XLOOKUP(CF_Gen_4[[#This Row],[ICG]],Assumptions[ICG],Assumptions[NPR_Ratio]),0)</f>
        <v>2.8000000000000001E-2</v>
      </c>
      <c r="T92" s="17">
        <f>T91*(1-CF_Gen_4[[#This Row],[Cancellation_Ratio]])</f>
        <v>1.4570195190262997E-3</v>
      </c>
      <c r="U92" s="19">
        <f>IF(CF_Gen_4[[#This Row],[Incurred]]&lt;=CF_Gen_4[[#This Row],[Valuation]],CF_Gen_4[[#This Row],[Expected_Premium]],-CF_Gen_4[[#This Row],[Probability_of_Inforce]]*CF_Gen_4[[#This Row],[Premium_Refund_Ratio]]*CF_Gen_4[[#This Row],[Cancellation_Ratio]]*SUM(K92:K$105))</f>
        <v>7001.5572828703744</v>
      </c>
      <c r="V9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Row],[Cancellation_Ratio]]*SUM(L92:L$105))</f>
        <v>-2275.5061169328719</v>
      </c>
      <c r="W92" s="19">
        <f>CF_Gen_4[[#This Row],[Expected_Acquisition]]</f>
        <v>0</v>
      </c>
      <c r="X9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2" s="19">
        <f>-CF_Gen_4[[#This Row],[Probability_of_Inforce]]*CF_Gen_4[[#This Row],[Earned_Premium]]*(1-CF_Gen_4[[#This Row],[Cancellation_Ratio]])*CF_Gen_4[[#This Row],[Loss_Ratio]]</f>
        <v>23565.241369203712</v>
      </c>
      <c r="Z92" s="19">
        <f>CF_Gen_4[[#This Row],[Exp_Claim]]*CF_Gen_4[[#This Row],[Risk_Adjustment_Ratio]]</f>
        <v>3063.4813779964825</v>
      </c>
      <c r="AA92" s="19">
        <f>IF(CF_Gen_4[[#This Row],[Contract]]="RC",-CF_Gen_4[[#This Row],[NPR_Ratio]]*CF_Gen_4[[#This Row],[Exp_Claim]],0)</f>
        <v>-659.82675833770395</v>
      </c>
      <c r="AB92" s="19">
        <f>SUMIFS(Actual_CF[Actual_Premium],Actual_CF[ICG],CF_Gen_4[[#This Row],[ICG]],Actual_CF[Incurred],CF_Gen_4[[#This Row],[Incurred]])</f>
        <v>0</v>
      </c>
      <c r="AC92" s="19">
        <f>SUMIFS(Actual_CF[Actual_Commission],Actual_CF[ICG],CF_Gen_4[[#This Row],[ICG]],Actual_CF[Incurred],CF_Gen_4[[#This Row],[Incurred]])</f>
        <v>0</v>
      </c>
      <c r="AD92" s="19">
        <f>SUMIFS(Actual_CF[Actual_Acquisition],Actual_CF[ICG],CF_Gen_4[[#This Row],[ICG]],Actual_CF[Incurred],CF_Gen_4[[#This Row],[Incurred]])</f>
        <v>0</v>
      </c>
    </row>
    <row r="93" spans="1:30">
      <c r="A93" t="str">
        <f t="shared" si="3"/>
        <v>#2025#RC-Property</v>
      </c>
      <c r="B93">
        <f>_xlfn.XLOOKUP(CF_Gen_4[[#This Row],[ICG]],ICG[ICG],ICG[Cohort])</f>
        <v>2025</v>
      </c>
      <c r="C93" t="str">
        <f>_xlfn.XLOOKUP(CF_Gen_4[[#This Row],[ICG]],ICG[ICG],ICG[Portfolio])</f>
        <v>RC-Property</v>
      </c>
      <c r="D93" t="str">
        <f>_xlfn.XLOOKUP(CF_Gen_4[[#This Row],[ICG]],ICG[ICG],ICG[Contract])</f>
        <v>RC</v>
      </c>
      <c r="E93" s="2">
        <f t="shared" si="2"/>
        <v>45930</v>
      </c>
      <c r="F93">
        <v>92</v>
      </c>
      <c r="G93" s="2">
        <f>EOMONTH(DATE(YEAR(CF_Gen_4[[#This Row],[Valuation]])-1,12,31),CF_Gen_4[[#This Row],['#Incurred]]*3)</f>
        <v>54057</v>
      </c>
      <c r="H93" s="14">
        <f>SUMIFS(Expected_CF[Expected_Premium],Expected_CF[ICG],CF_Gen_4[[#This Row],[ICG]],Expected_CF[Incurred],CF_Gen_4[[#This Row],[Incurred]])</f>
        <v>0</v>
      </c>
      <c r="I93" s="14">
        <f>SUMIFS(Expected_CF[Expected_Commission],Expected_CF[ICG],CF_Gen_4[[#This Row],[ICG]],Expected_CF[Incurred],CF_Gen_4[[#This Row],[Incurred]])</f>
        <v>0</v>
      </c>
      <c r="J93" s="14">
        <f>IF(CF_Gen_4[[#This Row],[Contract]]="IC",SUMIFS(Expected_CF[Expected_Acquisition],Expected_CF[ICG],CF_Gen_4[[#This Row],[ICG]],Expected_CF[Incurred],CF_Gen_4[[#This Row],[Incurred]]),0)</f>
        <v>0</v>
      </c>
      <c r="K93" s="14">
        <f>SUMIFS(Earned[Earned_Premium],Earned[ICG],CF_Gen_4[[#This Row],[ICG]],Earned[Incurred],CF_Gen_4[[#This Row],[Incurred]])</f>
        <v>-45765686.08817324</v>
      </c>
      <c r="L93" s="14">
        <f>SUMIFS(Earned[Earned_Commission],Earned[ICG],CF_Gen_4[[#This Row],[ICG]],Earned[Incurred],CF_Gen_4[[#This Row],[Incurred]])</f>
        <v>14873847.978656305</v>
      </c>
      <c r="M93" s="18">
        <f>_xlfn.XLOOKUP(CF_Gen_4[[#This Row],[ICG]],Assumptions[ICG],Assumptions[Loss_Ratio])</f>
        <v>0.38</v>
      </c>
      <c r="N93" s="18">
        <f>_xlfn.XLOOKUP(CF_Gen_4[[#This Row],[ICG]],Assumptions[ICG],Assumptions[Risk_Adjustment_Ratio])</f>
        <v>0.13</v>
      </c>
      <c r="O93" s="18">
        <f>_xlfn.XLOOKUP(CF_Gen_4[[#This Row],[ICG]],Assumptions[ICG],Assumptions[PME_Ratio])</f>
        <v>0</v>
      </c>
      <c r="P93" s="18">
        <f>_xlfn.XLOOKUP(CF_Gen_4[[#This Row],[ICG]],Assumptions[ICG],Assumptions[ULAE_Ratio])</f>
        <v>0</v>
      </c>
      <c r="Q93" s="18">
        <f>_xlfn.XLOOKUP(CF_Gen_4[[#This Row],[ICG]],Assumptions[ICG],Assumptions[Cancellation_Ratio])</f>
        <v>7.0000000000000007E-2</v>
      </c>
      <c r="R93" s="18">
        <f>_xlfn.XLOOKUP(CF_Gen_4[[#This Row],[ICG]],Assumptions[ICG],Assumptions[Premium_Refund_Ratio])</f>
        <v>0.5</v>
      </c>
      <c r="S93" s="18">
        <f>IF(CF_Gen_4[[#This Row],[Contract]]="RC",_xlfn.XLOOKUP(CF_Gen_4[[#This Row],[ICG]],Assumptions[ICG],Assumptions[NPR_Ratio]),0)</f>
        <v>2.8000000000000001E-2</v>
      </c>
      <c r="T93" s="17">
        <f>T92*(1-CF_Gen_4[[#This Row],[Cancellation_Ratio]])</f>
        <v>1.3550281526944587E-3</v>
      </c>
      <c r="U93" s="19">
        <f>IF(CF_Gen_4[[#This Row],[Incurred]]&lt;=CF_Gen_4[[#This Row],[Valuation]],CF_Gen_4[[#This Row],[Expected_Premium]],-CF_Gen_4[[#This Row],[Probability_of_Inforce]]*CF_Gen_4[[#This Row],[Premium_Refund_Ratio]]*CF_Gen_4[[#This Row],[Cancellation_Ratio]]*SUM(K93:K$105))</f>
        <v>4340.9655153796321</v>
      </c>
      <c r="V9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Row],[Cancellation_Ratio]]*SUM(L93:L$105))</f>
        <v>-1410.8137924983805</v>
      </c>
      <c r="W93" s="19">
        <f>CF_Gen_4[[#This Row],[Expected_Acquisition]]</f>
        <v>0</v>
      </c>
      <c r="X9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3" s="19">
        <f>-CF_Gen_4[[#This Row],[Probability_of_Inforce]]*CF_Gen_4[[#This Row],[Earned_Premium]]*(1-CF_Gen_4[[#This Row],[Cancellation_Ratio]])*CF_Gen_4[[#This Row],[Loss_Ratio]]</f>
        <v>21915.674473359453</v>
      </c>
      <c r="Z93" s="19">
        <f>CF_Gen_4[[#This Row],[Exp_Claim]]*CF_Gen_4[[#This Row],[Risk_Adjustment_Ratio]]</f>
        <v>2849.037681536729</v>
      </c>
      <c r="AA93" s="19">
        <f>IF(CF_Gen_4[[#This Row],[Contract]]="RC",-CF_Gen_4[[#This Row],[NPR_Ratio]]*CF_Gen_4[[#This Row],[Exp_Claim]],0)</f>
        <v>-613.63888525406469</v>
      </c>
      <c r="AB93" s="19">
        <f>SUMIFS(Actual_CF[Actual_Premium],Actual_CF[ICG],CF_Gen_4[[#This Row],[ICG]],Actual_CF[Incurred],CF_Gen_4[[#This Row],[Incurred]])</f>
        <v>0</v>
      </c>
      <c r="AC93" s="19">
        <f>SUMIFS(Actual_CF[Actual_Commission],Actual_CF[ICG],CF_Gen_4[[#This Row],[ICG]],Actual_CF[Incurred],CF_Gen_4[[#This Row],[Incurred]])</f>
        <v>0</v>
      </c>
      <c r="AD93" s="19">
        <f>SUMIFS(Actual_CF[Actual_Acquisition],Actual_CF[ICG],CF_Gen_4[[#This Row],[ICG]],Actual_CF[Incurred],CF_Gen_4[[#This Row],[Incurred]])</f>
        <v>0</v>
      </c>
    </row>
    <row r="94" spans="1:30">
      <c r="A94" t="str">
        <f t="shared" si="3"/>
        <v>#2025#RC-Property</v>
      </c>
      <c r="B94">
        <f>_xlfn.XLOOKUP(CF_Gen_4[[#This Row],[ICG]],ICG[ICG],ICG[Cohort])</f>
        <v>2025</v>
      </c>
      <c r="C94" t="str">
        <f>_xlfn.XLOOKUP(CF_Gen_4[[#This Row],[ICG]],ICG[ICG],ICG[Portfolio])</f>
        <v>RC-Property</v>
      </c>
      <c r="D94" t="str">
        <f>_xlfn.XLOOKUP(CF_Gen_4[[#This Row],[ICG]],ICG[ICG],ICG[Contract])</f>
        <v>RC</v>
      </c>
      <c r="E94" s="2">
        <f t="shared" si="2"/>
        <v>45930</v>
      </c>
      <c r="F94">
        <v>93</v>
      </c>
      <c r="G94" s="2">
        <f>EOMONTH(DATE(YEAR(CF_Gen_4[[#This Row],[Valuation]])-1,12,31),CF_Gen_4[[#This Row],['#Incurred]]*3)</f>
        <v>54148</v>
      </c>
      <c r="H94" s="14">
        <f>SUMIFS(Expected_CF[Expected_Premium],Expected_CF[ICG],CF_Gen_4[[#This Row],[ICG]],Expected_CF[Incurred],CF_Gen_4[[#This Row],[Incurred]])</f>
        <v>0</v>
      </c>
      <c r="I94" s="14">
        <f>SUMIFS(Expected_CF[Expected_Commission],Expected_CF[ICG],CF_Gen_4[[#This Row],[ICG]],Expected_CF[Incurred],CF_Gen_4[[#This Row],[Incurred]])</f>
        <v>0</v>
      </c>
      <c r="J94" s="14">
        <f>IF(CF_Gen_4[[#This Row],[Contract]]="IC",SUMIFS(Expected_CF[Expected_Acquisition],Expected_CF[ICG],CF_Gen_4[[#This Row],[ICG]],Expected_CF[Incurred],CF_Gen_4[[#This Row],[Incurred]]),0)</f>
        <v>0</v>
      </c>
      <c r="K94" s="14">
        <f>SUMIFS(Earned[Earned_Premium],Earned[ICG],CF_Gen_4[[#This Row],[ICG]],Earned[Incurred],CF_Gen_4[[#This Row],[Incurred]])</f>
        <v>-30510457.392115489</v>
      </c>
      <c r="L94" s="14">
        <f>SUMIFS(Earned[Earned_Commission],Earned[ICG],CF_Gen_4[[#This Row],[ICG]],Earned[Incurred],CF_Gen_4[[#This Row],[Incurred]])</f>
        <v>9915898.652437536</v>
      </c>
      <c r="M94" s="18">
        <f>_xlfn.XLOOKUP(CF_Gen_4[[#This Row],[ICG]],Assumptions[ICG],Assumptions[Loss_Ratio])</f>
        <v>0.38</v>
      </c>
      <c r="N94" s="18">
        <f>_xlfn.XLOOKUP(CF_Gen_4[[#This Row],[ICG]],Assumptions[ICG],Assumptions[Risk_Adjustment_Ratio])</f>
        <v>0.13</v>
      </c>
      <c r="O94" s="18">
        <f>_xlfn.XLOOKUP(CF_Gen_4[[#This Row],[ICG]],Assumptions[ICG],Assumptions[PME_Ratio])</f>
        <v>0</v>
      </c>
      <c r="P94" s="18">
        <f>_xlfn.XLOOKUP(CF_Gen_4[[#This Row],[ICG]],Assumptions[ICG],Assumptions[ULAE_Ratio])</f>
        <v>0</v>
      </c>
      <c r="Q94" s="18">
        <f>_xlfn.XLOOKUP(CF_Gen_4[[#This Row],[ICG]],Assumptions[ICG],Assumptions[Cancellation_Ratio])</f>
        <v>7.0000000000000007E-2</v>
      </c>
      <c r="R94" s="18">
        <f>_xlfn.XLOOKUP(CF_Gen_4[[#This Row],[ICG]],Assumptions[ICG],Assumptions[Premium_Refund_Ratio])</f>
        <v>0.5</v>
      </c>
      <c r="S94" s="18">
        <f>IF(CF_Gen_4[[#This Row],[Contract]]="RC",_xlfn.XLOOKUP(CF_Gen_4[[#This Row],[ICG]],Assumptions[ICG],Assumptions[NPR_Ratio]),0)</f>
        <v>2.8000000000000001E-2</v>
      </c>
      <c r="T94" s="17">
        <f>T93*(1-CF_Gen_4[[#This Row],[Cancellation_Ratio]])</f>
        <v>1.2601761820058466E-3</v>
      </c>
      <c r="U94" s="19">
        <f>IF(CF_Gen_4[[#This Row],[Incurred]]&lt;=CF_Gen_4[[#This Row],[Valuation]],CF_Gen_4[[#This Row],[Expected_Premium]],-CF_Gen_4[[#This Row],[Probability_of_Inforce]]*CF_Gen_4[[#This Row],[Premium_Refund_Ratio]]*CF_Gen_4[[#This Row],[Cancellation_Ratio]]*SUM(K94:K$105))</f>
        <v>2018.5489646515284</v>
      </c>
      <c r="V9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Row],[Cancellation_Ratio]]*SUM(L94:L$105))</f>
        <v>-656.02841351174686</v>
      </c>
      <c r="W94" s="19">
        <f>CF_Gen_4[[#This Row],[Expected_Acquisition]]</f>
        <v>0</v>
      </c>
      <c r="X9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4" s="19">
        <f>-CF_Gen_4[[#This Row],[Probability_of_Inforce]]*CF_Gen_4[[#This Row],[Earned_Premium]]*(1-CF_Gen_4[[#This Row],[Cancellation_Ratio]])*CF_Gen_4[[#This Row],[Loss_Ratio]]</f>
        <v>13587.718173482857</v>
      </c>
      <c r="Z94" s="19">
        <f>CF_Gen_4[[#This Row],[Exp_Claim]]*CF_Gen_4[[#This Row],[Risk_Adjustment_Ratio]]</f>
        <v>1766.4033625527716</v>
      </c>
      <c r="AA94" s="19">
        <f>IF(CF_Gen_4[[#This Row],[Contract]]="RC",-CF_Gen_4[[#This Row],[NPR_Ratio]]*CF_Gen_4[[#This Row],[Exp_Claim]],0)</f>
        <v>-380.45610885752001</v>
      </c>
      <c r="AB94" s="19">
        <f>SUMIFS(Actual_CF[Actual_Premium],Actual_CF[ICG],CF_Gen_4[[#This Row],[ICG]],Actual_CF[Incurred],CF_Gen_4[[#This Row],[Incurred]])</f>
        <v>0</v>
      </c>
      <c r="AC94" s="19">
        <f>SUMIFS(Actual_CF[Actual_Commission],Actual_CF[ICG],CF_Gen_4[[#This Row],[ICG]],Actual_CF[Incurred],CF_Gen_4[[#This Row],[Incurred]])</f>
        <v>0</v>
      </c>
      <c r="AD94" s="19">
        <f>SUMIFS(Actual_CF[Actual_Acquisition],Actual_CF[ICG],CF_Gen_4[[#This Row],[ICG]],Actual_CF[Incurred],CF_Gen_4[[#This Row],[Incurred]])</f>
        <v>0</v>
      </c>
    </row>
    <row r="95" spans="1:30">
      <c r="A95" t="str">
        <f t="shared" si="3"/>
        <v>#2025#RC-Property</v>
      </c>
      <c r="B95">
        <f>_xlfn.XLOOKUP(CF_Gen_4[[#This Row],[ICG]],ICG[ICG],ICG[Cohort])</f>
        <v>2025</v>
      </c>
      <c r="C95" t="str">
        <f>_xlfn.XLOOKUP(CF_Gen_4[[#This Row],[ICG]],ICG[ICG],ICG[Portfolio])</f>
        <v>RC-Property</v>
      </c>
      <c r="D95" t="str">
        <f>_xlfn.XLOOKUP(CF_Gen_4[[#This Row],[ICG]],ICG[ICG],ICG[Contract])</f>
        <v>RC</v>
      </c>
      <c r="E95" s="2">
        <f t="shared" si="2"/>
        <v>45930</v>
      </c>
      <c r="F95">
        <v>94</v>
      </c>
      <c r="G95" s="2">
        <f>EOMONTH(DATE(YEAR(CF_Gen_4[[#This Row],[Valuation]])-1,12,31),CF_Gen_4[[#This Row],['#Incurred]]*3)</f>
        <v>54239</v>
      </c>
      <c r="H95" s="14">
        <f>SUMIFS(Expected_CF[Expected_Premium],Expected_CF[ICG],CF_Gen_4[[#This Row],[ICG]],Expected_CF[Incurred],CF_Gen_4[[#This Row],[Incurred]])</f>
        <v>0</v>
      </c>
      <c r="I95" s="14">
        <f>SUMIFS(Expected_CF[Expected_Commission],Expected_CF[ICG],CF_Gen_4[[#This Row],[ICG]],Expected_CF[Incurred],CF_Gen_4[[#This Row],[Incurred]])</f>
        <v>0</v>
      </c>
      <c r="J95" s="14">
        <f>IF(CF_Gen_4[[#This Row],[Contract]]="IC",SUMIFS(Expected_CF[Expected_Acquisition],Expected_CF[ICG],CF_Gen_4[[#This Row],[ICG]],Expected_CF[Incurred],CF_Gen_4[[#This Row],[Incurred]]),0)</f>
        <v>0</v>
      </c>
      <c r="K95" s="14">
        <f>SUMIFS(Earned[Earned_Premium],Earned[ICG],CF_Gen_4[[#This Row],[ICG]],Earned[Incurred],CF_Gen_4[[#This Row],[Incurred]])</f>
        <v>-15255228.696057744</v>
      </c>
      <c r="L95" s="14">
        <f>SUMIFS(Earned[Earned_Commission],Earned[ICG],CF_Gen_4[[#This Row],[ICG]],Earned[Incurred],CF_Gen_4[[#This Row],[Incurred]])</f>
        <v>4957949.326218768</v>
      </c>
      <c r="M95" s="18">
        <f>_xlfn.XLOOKUP(CF_Gen_4[[#This Row],[ICG]],Assumptions[ICG],Assumptions[Loss_Ratio])</f>
        <v>0.38</v>
      </c>
      <c r="N95" s="18">
        <f>_xlfn.XLOOKUP(CF_Gen_4[[#This Row],[ICG]],Assumptions[ICG],Assumptions[Risk_Adjustment_Ratio])</f>
        <v>0.13</v>
      </c>
      <c r="O95" s="18">
        <f>_xlfn.XLOOKUP(CF_Gen_4[[#This Row],[ICG]],Assumptions[ICG],Assumptions[PME_Ratio])</f>
        <v>0</v>
      </c>
      <c r="P95" s="18">
        <f>_xlfn.XLOOKUP(CF_Gen_4[[#This Row],[ICG]],Assumptions[ICG],Assumptions[ULAE_Ratio])</f>
        <v>0</v>
      </c>
      <c r="Q95" s="18">
        <f>_xlfn.XLOOKUP(CF_Gen_4[[#This Row],[ICG]],Assumptions[ICG],Assumptions[Cancellation_Ratio])</f>
        <v>7.0000000000000007E-2</v>
      </c>
      <c r="R95" s="18">
        <f>_xlfn.XLOOKUP(CF_Gen_4[[#This Row],[ICG]],Assumptions[ICG],Assumptions[Premium_Refund_Ratio])</f>
        <v>0.5</v>
      </c>
      <c r="S95" s="18">
        <f>IF(CF_Gen_4[[#This Row],[Contract]]="RC",_xlfn.XLOOKUP(CF_Gen_4[[#This Row],[ICG]],Assumptions[ICG],Assumptions[NPR_Ratio]),0)</f>
        <v>2.8000000000000001E-2</v>
      </c>
      <c r="T95" s="17">
        <f>T94*(1-CF_Gen_4[[#This Row],[Cancellation_Ratio]])</f>
        <v>1.1719638492654373E-3</v>
      </c>
      <c r="U95" s="19">
        <f>IF(CF_Gen_4[[#This Row],[Incurred]]&lt;=CF_Gen_4[[#This Row],[Valuation]],CF_Gen_4[[#This Row],[Expected_Premium]],-CF_Gen_4[[#This Row],[Probability_of_Inforce]]*CF_Gen_4[[#This Row],[Premium_Refund_Ratio]]*CF_Gen_4[[#This Row],[Cancellation_Ratio]]*SUM(K95:K$105))</f>
        <v>625.75017904197375</v>
      </c>
      <c r="V9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Row],[Cancellation_Ratio]]*SUM(L95:L$105))</f>
        <v>-203.36880818864154</v>
      </c>
      <c r="W95" s="19">
        <f>CF_Gen_4[[#This Row],[Expected_Acquisition]]</f>
        <v>0</v>
      </c>
      <c r="X9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5" s="19">
        <f>-CF_Gen_4[[#This Row],[Probability_of_Inforce]]*CF_Gen_4[[#This Row],[Earned_Premium]]*(1-CF_Gen_4[[#This Row],[Cancellation_Ratio]])*CF_Gen_4[[#This Row],[Loss_Ratio]]</f>
        <v>6318.2889506695292</v>
      </c>
      <c r="Z95" s="19">
        <f>CF_Gen_4[[#This Row],[Exp_Claim]]*CF_Gen_4[[#This Row],[Risk_Adjustment_Ratio]]</f>
        <v>821.37756358703882</v>
      </c>
      <c r="AA95" s="19">
        <f>IF(CF_Gen_4[[#This Row],[Contract]]="RC",-CF_Gen_4[[#This Row],[NPR_Ratio]]*CF_Gen_4[[#This Row],[Exp_Claim]],0)</f>
        <v>-176.91209061874682</v>
      </c>
      <c r="AB95" s="19">
        <f>SUMIFS(Actual_CF[Actual_Premium],Actual_CF[ICG],CF_Gen_4[[#This Row],[ICG]],Actual_CF[Incurred],CF_Gen_4[[#This Row],[Incurred]])</f>
        <v>0</v>
      </c>
      <c r="AC95" s="19">
        <f>SUMIFS(Actual_CF[Actual_Commission],Actual_CF[ICG],CF_Gen_4[[#This Row],[ICG]],Actual_CF[Incurred],CF_Gen_4[[#This Row],[Incurred]])</f>
        <v>0</v>
      </c>
      <c r="AD95" s="19">
        <f>SUMIFS(Actual_CF[Actual_Acquisition],Actual_CF[ICG],CF_Gen_4[[#This Row],[ICG]],Actual_CF[Incurred],CF_Gen_4[[#This Row],[Incurred]])</f>
        <v>0</v>
      </c>
    </row>
    <row r="96" spans="1:30">
      <c r="A96" t="str">
        <f t="shared" si="3"/>
        <v>#2025#RC-Property</v>
      </c>
      <c r="B96">
        <f>_xlfn.XLOOKUP(CF_Gen_4[[#This Row],[ICG]],ICG[ICG],ICG[Cohort])</f>
        <v>2025</v>
      </c>
      <c r="C96" t="str">
        <f>_xlfn.XLOOKUP(CF_Gen_4[[#This Row],[ICG]],ICG[ICG],ICG[Portfolio])</f>
        <v>RC-Property</v>
      </c>
      <c r="D96" t="str">
        <f>_xlfn.XLOOKUP(CF_Gen_4[[#This Row],[ICG]],ICG[ICG],ICG[Contract])</f>
        <v>RC</v>
      </c>
      <c r="E96" s="2">
        <f t="shared" si="2"/>
        <v>45930</v>
      </c>
      <c r="F96">
        <v>95</v>
      </c>
      <c r="G96" s="2">
        <f>EOMONTH(DATE(YEAR(CF_Gen_4[[#This Row],[Valuation]])-1,12,31),CF_Gen_4[[#This Row],['#Incurred]]*3)</f>
        <v>54331</v>
      </c>
      <c r="H96" s="14">
        <f>SUMIFS(Expected_CF[Expected_Premium],Expected_CF[ICG],CF_Gen_4[[#This Row],[ICG]],Expected_CF[Incurred],CF_Gen_4[[#This Row],[Incurred]])</f>
        <v>0</v>
      </c>
      <c r="I96" s="14">
        <f>SUMIFS(Expected_CF[Expected_Commission],Expected_CF[ICG],CF_Gen_4[[#This Row],[ICG]],Expected_CF[Incurred],CF_Gen_4[[#This Row],[Incurred]])</f>
        <v>0</v>
      </c>
      <c r="J96" s="14">
        <f>IF(CF_Gen_4[[#This Row],[Contract]]="IC",SUMIFS(Expected_CF[Expected_Acquisition],Expected_CF[ICG],CF_Gen_4[[#This Row],[ICG]],Expected_CF[Incurred],CF_Gen_4[[#This Row],[Incurred]]),0)</f>
        <v>0</v>
      </c>
      <c r="K96" s="14">
        <f>SUMIFS(Earned[Earned_Premium],Earned[ICG],CF_Gen_4[[#This Row],[ICG]],Earned[Incurred],CF_Gen_4[[#This Row],[Incurred]])</f>
        <v>0</v>
      </c>
      <c r="L96" s="14">
        <f>SUMIFS(Earned[Earned_Commission],Earned[ICG],CF_Gen_4[[#This Row],[ICG]],Earned[Incurred],CF_Gen_4[[#This Row],[Incurred]])</f>
        <v>0</v>
      </c>
      <c r="M96" s="18">
        <f>_xlfn.XLOOKUP(CF_Gen_4[[#This Row],[ICG]],Assumptions[ICG],Assumptions[Loss_Ratio])</f>
        <v>0.38</v>
      </c>
      <c r="N96" s="18">
        <f>_xlfn.XLOOKUP(CF_Gen_4[[#This Row],[ICG]],Assumptions[ICG],Assumptions[Risk_Adjustment_Ratio])</f>
        <v>0.13</v>
      </c>
      <c r="O96" s="18">
        <f>_xlfn.XLOOKUP(CF_Gen_4[[#This Row],[ICG]],Assumptions[ICG],Assumptions[PME_Ratio])</f>
        <v>0</v>
      </c>
      <c r="P96" s="18">
        <f>_xlfn.XLOOKUP(CF_Gen_4[[#This Row],[ICG]],Assumptions[ICG],Assumptions[ULAE_Ratio])</f>
        <v>0</v>
      </c>
      <c r="Q96" s="18">
        <f>_xlfn.XLOOKUP(CF_Gen_4[[#This Row],[ICG]],Assumptions[ICG],Assumptions[Cancellation_Ratio])</f>
        <v>7.0000000000000007E-2</v>
      </c>
      <c r="R96" s="18">
        <f>_xlfn.XLOOKUP(CF_Gen_4[[#This Row],[ICG]],Assumptions[ICG],Assumptions[Premium_Refund_Ratio])</f>
        <v>0.5</v>
      </c>
      <c r="S96" s="18">
        <f>IF(CF_Gen_4[[#This Row],[Contract]]="RC",_xlfn.XLOOKUP(CF_Gen_4[[#This Row],[ICG]],Assumptions[ICG],Assumptions[NPR_Ratio]),0)</f>
        <v>2.8000000000000001E-2</v>
      </c>
      <c r="T96" s="17">
        <f>T95*(1-CF_Gen_4[[#This Row],[Cancellation_Ratio]])</f>
        <v>1.0899263798168565E-3</v>
      </c>
      <c r="U96" s="19">
        <f>IF(CF_Gen_4[[#This Row],[Incurred]]&lt;=CF_Gen_4[[#This Row],[Valuation]],CF_Gen_4[[#This Row],[Expected_Premium]],-CF_Gen_4[[#This Row],[Probability_of_Inforce]]*CF_Gen_4[[#This Row],[Premium_Refund_Ratio]]*CF_Gen_4[[#This Row],[Cancellation_Ratio]]*SUM(K96:K$105))</f>
        <v>0</v>
      </c>
      <c r="V96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Row],[Cancellation_Ratio]]*SUM(L96:L$105))</f>
        <v>0</v>
      </c>
      <c r="W96" s="19">
        <f>CF_Gen_4[[#This Row],[Expected_Acquisition]]</f>
        <v>0</v>
      </c>
      <c r="X96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6" s="19">
        <f>-CF_Gen_4[[#This Row],[Probability_of_Inforce]]*CF_Gen_4[[#This Row],[Earned_Premium]]*(1-CF_Gen_4[[#This Row],[Cancellation_Ratio]])*CF_Gen_4[[#This Row],[Loss_Ratio]]</f>
        <v>0</v>
      </c>
      <c r="Z96" s="19">
        <f>CF_Gen_4[[#This Row],[Exp_Claim]]*CF_Gen_4[[#This Row],[Risk_Adjustment_Ratio]]</f>
        <v>0</v>
      </c>
      <c r="AA96" s="19">
        <f>IF(CF_Gen_4[[#This Row],[Contract]]="RC",-CF_Gen_4[[#This Row],[NPR_Ratio]]*CF_Gen_4[[#This Row],[Exp_Claim]],0)</f>
        <v>0</v>
      </c>
      <c r="AB96" s="19">
        <f>SUMIFS(Actual_CF[Actual_Premium],Actual_CF[ICG],CF_Gen_4[[#This Row],[ICG]],Actual_CF[Incurred],CF_Gen_4[[#This Row],[Incurred]])</f>
        <v>0</v>
      </c>
      <c r="AC96" s="19">
        <f>SUMIFS(Actual_CF[Actual_Commission],Actual_CF[ICG],CF_Gen_4[[#This Row],[ICG]],Actual_CF[Incurred],CF_Gen_4[[#This Row],[Incurred]])</f>
        <v>0</v>
      </c>
      <c r="AD96" s="19">
        <f>SUMIFS(Actual_CF[Actual_Acquisition],Actual_CF[ICG],CF_Gen_4[[#This Row],[ICG]],Actual_CF[Incurred],CF_Gen_4[[#This Row],[Incurred]])</f>
        <v>0</v>
      </c>
    </row>
    <row r="97" spans="1:30">
      <c r="A97" t="str">
        <f t="shared" si="3"/>
        <v>#2025#RC-Property</v>
      </c>
      <c r="B97">
        <f>_xlfn.XLOOKUP(CF_Gen_4[[#This Row],[ICG]],ICG[ICG],ICG[Cohort])</f>
        <v>2025</v>
      </c>
      <c r="C97" t="str">
        <f>_xlfn.XLOOKUP(CF_Gen_4[[#This Row],[ICG]],ICG[ICG],ICG[Portfolio])</f>
        <v>RC-Property</v>
      </c>
      <c r="D97" t="str">
        <f>_xlfn.XLOOKUP(CF_Gen_4[[#This Row],[ICG]],ICG[ICG],ICG[Contract])</f>
        <v>RC</v>
      </c>
      <c r="E97" s="2">
        <f t="shared" si="2"/>
        <v>45930</v>
      </c>
      <c r="F97">
        <v>96</v>
      </c>
      <c r="G97" s="2">
        <f>EOMONTH(DATE(YEAR(CF_Gen_4[[#This Row],[Valuation]])-1,12,31),CF_Gen_4[[#This Row],['#Incurred]]*3)</f>
        <v>54423</v>
      </c>
      <c r="H97" s="14">
        <f>SUMIFS(Expected_CF[Expected_Premium],Expected_CF[ICG],CF_Gen_4[[#This Row],[ICG]],Expected_CF[Incurred],CF_Gen_4[[#This Row],[Incurred]])</f>
        <v>0</v>
      </c>
      <c r="I97" s="14">
        <f>SUMIFS(Expected_CF[Expected_Commission],Expected_CF[ICG],CF_Gen_4[[#This Row],[ICG]],Expected_CF[Incurred],CF_Gen_4[[#This Row],[Incurred]])</f>
        <v>0</v>
      </c>
      <c r="J97" s="14">
        <f>IF(CF_Gen_4[[#This Row],[Contract]]="IC",SUMIFS(Expected_CF[Expected_Acquisition],Expected_CF[ICG],CF_Gen_4[[#This Row],[ICG]],Expected_CF[Incurred],CF_Gen_4[[#This Row],[Incurred]]),0)</f>
        <v>0</v>
      </c>
      <c r="K97" s="14">
        <f>SUMIFS(Earned[Earned_Premium],Earned[ICG],CF_Gen_4[[#This Row],[ICG]],Earned[Incurred],CF_Gen_4[[#This Row],[Incurred]])</f>
        <v>0</v>
      </c>
      <c r="L97" s="14">
        <f>SUMIFS(Earned[Earned_Commission],Earned[ICG],CF_Gen_4[[#This Row],[ICG]],Earned[Incurred],CF_Gen_4[[#This Row],[Incurred]])</f>
        <v>0</v>
      </c>
      <c r="M97" s="18">
        <f>_xlfn.XLOOKUP(CF_Gen_4[[#This Row],[ICG]],Assumptions[ICG],Assumptions[Loss_Ratio])</f>
        <v>0.38</v>
      </c>
      <c r="N97" s="18">
        <f>_xlfn.XLOOKUP(CF_Gen_4[[#This Row],[ICG]],Assumptions[ICG],Assumptions[Risk_Adjustment_Ratio])</f>
        <v>0.13</v>
      </c>
      <c r="O97" s="18">
        <f>_xlfn.XLOOKUP(CF_Gen_4[[#This Row],[ICG]],Assumptions[ICG],Assumptions[PME_Ratio])</f>
        <v>0</v>
      </c>
      <c r="P97" s="18">
        <f>_xlfn.XLOOKUP(CF_Gen_4[[#This Row],[ICG]],Assumptions[ICG],Assumptions[ULAE_Ratio])</f>
        <v>0</v>
      </c>
      <c r="Q97" s="18">
        <f>_xlfn.XLOOKUP(CF_Gen_4[[#This Row],[ICG]],Assumptions[ICG],Assumptions[Cancellation_Ratio])</f>
        <v>7.0000000000000007E-2</v>
      </c>
      <c r="R97" s="18">
        <f>_xlfn.XLOOKUP(CF_Gen_4[[#This Row],[ICG]],Assumptions[ICG],Assumptions[Premium_Refund_Ratio])</f>
        <v>0.5</v>
      </c>
      <c r="S97" s="18">
        <f>IF(CF_Gen_4[[#This Row],[Contract]]="RC",_xlfn.XLOOKUP(CF_Gen_4[[#This Row],[ICG]],Assumptions[ICG],Assumptions[NPR_Ratio]),0)</f>
        <v>2.8000000000000001E-2</v>
      </c>
      <c r="T97" s="17">
        <f>T96*(1-CF_Gen_4[[#This Row],[Cancellation_Ratio]])</f>
        <v>1.0136315332296764E-3</v>
      </c>
      <c r="U97" s="19">
        <f>IF(CF_Gen_4[[#This Row],[Incurred]]&lt;=CF_Gen_4[[#This Row],[Valuation]],CF_Gen_4[[#This Row],[Expected_Premium]],-CF_Gen_4[[#This Row],[Probability_of_Inforce]]*CF_Gen_4[[#This Row],[Premium_Refund_Ratio]]*CF_Gen_4[[#This Row],[Cancellation_Ratio]]*SUM(K97:K$105))</f>
        <v>0</v>
      </c>
      <c r="V97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Row],[Cancellation_Ratio]]*SUM(L97:L$105))</f>
        <v>0</v>
      </c>
      <c r="W97" s="19">
        <f>CF_Gen_4[[#This Row],[Expected_Acquisition]]</f>
        <v>0</v>
      </c>
      <c r="X97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7" s="19">
        <f>-CF_Gen_4[[#This Row],[Probability_of_Inforce]]*CF_Gen_4[[#This Row],[Earned_Premium]]*(1-CF_Gen_4[[#This Row],[Cancellation_Ratio]])*CF_Gen_4[[#This Row],[Loss_Ratio]]</f>
        <v>0</v>
      </c>
      <c r="Z97" s="19">
        <f>CF_Gen_4[[#This Row],[Exp_Claim]]*CF_Gen_4[[#This Row],[Risk_Adjustment_Ratio]]</f>
        <v>0</v>
      </c>
      <c r="AA97" s="19">
        <f>IF(CF_Gen_4[[#This Row],[Contract]]="RC",-CF_Gen_4[[#This Row],[NPR_Ratio]]*CF_Gen_4[[#This Row],[Exp_Claim]],0)</f>
        <v>0</v>
      </c>
      <c r="AB97" s="19">
        <f>SUMIFS(Actual_CF[Actual_Premium],Actual_CF[ICG],CF_Gen_4[[#This Row],[ICG]],Actual_CF[Incurred],CF_Gen_4[[#This Row],[Incurred]])</f>
        <v>0</v>
      </c>
      <c r="AC97" s="19">
        <f>SUMIFS(Actual_CF[Actual_Commission],Actual_CF[ICG],CF_Gen_4[[#This Row],[ICG]],Actual_CF[Incurred],CF_Gen_4[[#This Row],[Incurred]])</f>
        <v>0</v>
      </c>
      <c r="AD97" s="19">
        <f>SUMIFS(Actual_CF[Actual_Acquisition],Actual_CF[ICG],CF_Gen_4[[#This Row],[ICG]],Actual_CF[Incurred],CF_Gen_4[[#This Row],[Incurred]])</f>
        <v>0</v>
      </c>
    </row>
    <row r="98" spans="1:30">
      <c r="A98" t="str">
        <f t="shared" si="3"/>
        <v>#2025#RC-Property</v>
      </c>
      <c r="B98">
        <f>_xlfn.XLOOKUP(CF_Gen_4[[#This Row],[ICG]],ICG[ICG],ICG[Cohort])</f>
        <v>2025</v>
      </c>
      <c r="C98" t="str">
        <f>_xlfn.XLOOKUP(CF_Gen_4[[#This Row],[ICG]],ICG[ICG],ICG[Portfolio])</f>
        <v>RC-Property</v>
      </c>
      <c r="D98" t="str">
        <f>_xlfn.XLOOKUP(CF_Gen_4[[#This Row],[ICG]],ICG[ICG],ICG[Contract])</f>
        <v>RC</v>
      </c>
      <c r="E98" s="2">
        <f t="shared" si="2"/>
        <v>45930</v>
      </c>
      <c r="F98">
        <v>97</v>
      </c>
      <c r="G98" s="2">
        <f>EOMONTH(DATE(YEAR(CF_Gen_4[[#This Row],[Valuation]])-1,12,31),CF_Gen_4[[#This Row],['#Incurred]]*3)</f>
        <v>54513</v>
      </c>
      <c r="H98" s="14">
        <f>SUMIFS(Expected_CF[Expected_Premium],Expected_CF[ICG],CF_Gen_4[[#This Row],[ICG]],Expected_CF[Incurred],CF_Gen_4[[#This Row],[Incurred]])</f>
        <v>0</v>
      </c>
      <c r="I98" s="14">
        <f>SUMIFS(Expected_CF[Expected_Commission],Expected_CF[ICG],CF_Gen_4[[#This Row],[ICG]],Expected_CF[Incurred],CF_Gen_4[[#This Row],[Incurred]])</f>
        <v>0</v>
      </c>
      <c r="J98" s="14">
        <f>IF(CF_Gen_4[[#This Row],[Contract]]="IC",SUMIFS(Expected_CF[Expected_Acquisition],Expected_CF[ICG],CF_Gen_4[[#This Row],[ICG]],Expected_CF[Incurred],CF_Gen_4[[#This Row],[Incurred]]),0)</f>
        <v>0</v>
      </c>
      <c r="K98" s="14">
        <f>SUMIFS(Earned[Earned_Premium],Earned[ICG],CF_Gen_4[[#This Row],[ICG]],Earned[Incurred],CF_Gen_4[[#This Row],[Incurred]])</f>
        <v>0</v>
      </c>
      <c r="L98" s="14">
        <f>SUMIFS(Earned[Earned_Commission],Earned[ICG],CF_Gen_4[[#This Row],[ICG]],Earned[Incurred],CF_Gen_4[[#This Row],[Incurred]])</f>
        <v>0</v>
      </c>
      <c r="M98" s="18">
        <f>_xlfn.XLOOKUP(CF_Gen_4[[#This Row],[ICG]],Assumptions[ICG],Assumptions[Loss_Ratio])</f>
        <v>0.38</v>
      </c>
      <c r="N98" s="18">
        <f>_xlfn.XLOOKUP(CF_Gen_4[[#This Row],[ICG]],Assumptions[ICG],Assumptions[Risk_Adjustment_Ratio])</f>
        <v>0.13</v>
      </c>
      <c r="O98" s="18">
        <f>_xlfn.XLOOKUP(CF_Gen_4[[#This Row],[ICG]],Assumptions[ICG],Assumptions[PME_Ratio])</f>
        <v>0</v>
      </c>
      <c r="P98" s="18">
        <f>_xlfn.XLOOKUP(CF_Gen_4[[#This Row],[ICG]],Assumptions[ICG],Assumptions[ULAE_Ratio])</f>
        <v>0</v>
      </c>
      <c r="Q98" s="18">
        <f>_xlfn.XLOOKUP(CF_Gen_4[[#This Row],[ICG]],Assumptions[ICG],Assumptions[Cancellation_Ratio])</f>
        <v>7.0000000000000007E-2</v>
      </c>
      <c r="R98" s="18">
        <f>_xlfn.XLOOKUP(CF_Gen_4[[#This Row],[ICG]],Assumptions[ICG],Assumptions[Premium_Refund_Ratio])</f>
        <v>0.5</v>
      </c>
      <c r="S98" s="18">
        <f>IF(CF_Gen_4[[#This Row],[Contract]]="RC",_xlfn.XLOOKUP(CF_Gen_4[[#This Row],[ICG]],Assumptions[ICG],Assumptions[NPR_Ratio]),0)</f>
        <v>2.8000000000000001E-2</v>
      </c>
      <c r="T98" s="17">
        <f>T97*(1-CF_Gen_4[[#This Row],[Cancellation_Ratio]])</f>
        <v>9.4267732590359898E-4</v>
      </c>
      <c r="U98" s="19">
        <f>IF(CF_Gen_4[[#This Row],[Incurred]]&lt;=CF_Gen_4[[#This Row],[Valuation]],CF_Gen_4[[#This Row],[Expected_Premium]],-CF_Gen_4[[#This Row],[Probability_of_Inforce]]*CF_Gen_4[[#This Row],[Premium_Refund_Ratio]]*CF_Gen_4[[#This Row],[Cancellation_Ratio]]*SUM(K98:K$105))</f>
        <v>0</v>
      </c>
      <c r="V98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Row],[Cancellation_Ratio]]*SUM(L98:L$105))</f>
        <v>0</v>
      </c>
      <c r="W98" s="19">
        <f>CF_Gen_4[[#This Row],[Expected_Acquisition]]</f>
        <v>0</v>
      </c>
      <c r="X98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8" s="19">
        <f>-CF_Gen_4[[#This Row],[Probability_of_Inforce]]*CF_Gen_4[[#This Row],[Earned_Premium]]*(1-CF_Gen_4[[#This Row],[Cancellation_Ratio]])*CF_Gen_4[[#This Row],[Loss_Ratio]]</f>
        <v>0</v>
      </c>
      <c r="Z98" s="19">
        <f>CF_Gen_4[[#This Row],[Exp_Claim]]*CF_Gen_4[[#This Row],[Risk_Adjustment_Ratio]]</f>
        <v>0</v>
      </c>
      <c r="AA98" s="19">
        <f>IF(CF_Gen_4[[#This Row],[Contract]]="RC",-CF_Gen_4[[#This Row],[NPR_Ratio]]*CF_Gen_4[[#This Row],[Exp_Claim]],0)</f>
        <v>0</v>
      </c>
      <c r="AB98" s="19">
        <f>SUMIFS(Actual_CF[Actual_Premium],Actual_CF[ICG],CF_Gen_4[[#This Row],[ICG]],Actual_CF[Incurred],CF_Gen_4[[#This Row],[Incurred]])</f>
        <v>0</v>
      </c>
      <c r="AC98" s="19">
        <f>SUMIFS(Actual_CF[Actual_Commission],Actual_CF[ICG],CF_Gen_4[[#This Row],[ICG]],Actual_CF[Incurred],CF_Gen_4[[#This Row],[Incurred]])</f>
        <v>0</v>
      </c>
      <c r="AD98" s="19">
        <f>SUMIFS(Actual_CF[Actual_Acquisition],Actual_CF[ICG],CF_Gen_4[[#This Row],[ICG]],Actual_CF[Incurred],CF_Gen_4[[#This Row],[Incurred]])</f>
        <v>0</v>
      </c>
    </row>
    <row r="99" spans="1:30">
      <c r="A99" t="str">
        <f t="shared" si="3"/>
        <v>#2025#RC-Property</v>
      </c>
      <c r="B99">
        <f>_xlfn.XLOOKUP(CF_Gen_4[[#This Row],[ICG]],ICG[ICG],ICG[Cohort])</f>
        <v>2025</v>
      </c>
      <c r="C99" t="str">
        <f>_xlfn.XLOOKUP(CF_Gen_4[[#This Row],[ICG]],ICG[ICG],ICG[Portfolio])</f>
        <v>RC-Property</v>
      </c>
      <c r="D99" t="str">
        <f>_xlfn.XLOOKUP(CF_Gen_4[[#This Row],[ICG]],ICG[ICG],ICG[Contract])</f>
        <v>RC</v>
      </c>
      <c r="E99" s="2">
        <f t="shared" si="2"/>
        <v>45930</v>
      </c>
      <c r="F99">
        <v>98</v>
      </c>
      <c r="G99" s="2">
        <f>EOMONTH(DATE(YEAR(CF_Gen_4[[#This Row],[Valuation]])-1,12,31),CF_Gen_4[[#This Row],['#Incurred]]*3)</f>
        <v>54604</v>
      </c>
      <c r="H99" s="14">
        <f>SUMIFS(Expected_CF[Expected_Premium],Expected_CF[ICG],CF_Gen_4[[#This Row],[ICG]],Expected_CF[Incurred],CF_Gen_4[[#This Row],[Incurred]])</f>
        <v>0</v>
      </c>
      <c r="I99" s="14">
        <f>SUMIFS(Expected_CF[Expected_Commission],Expected_CF[ICG],CF_Gen_4[[#This Row],[ICG]],Expected_CF[Incurred],CF_Gen_4[[#This Row],[Incurred]])</f>
        <v>0</v>
      </c>
      <c r="J99" s="14">
        <f>IF(CF_Gen_4[[#This Row],[Contract]]="IC",SUMIFS(Expected_CF[Expected_Acquisition],Expected_CF[ICG],CF_Gen_4[[#This Row],[ICG]],Expected_CF[Incurred],CF_Gen_4[[#This Row],[Incurred]]),0)</f>
        <v>0</v>
      </c>
      <c r="K99" s="14">
        <f>SUMIFS(Earned[Earned_Premium],Earned[ICG],CF_Gen_4[[#This Row],[ICG]],Earned[Incurred],CF_Gen_4[[#This Row],[Incurred]])</f>
        <v>0</v>
      </c>
      <c r="L99" s="14">
        <f>SUMIFS(Earned[Earned_Commission],Earned[ICG],CF_Gen_4[[#This Row],[ICG]],Earned[Incurred],CF_Gen_4[[#This Row],[Incurred]])</f>
        <v>0</v>
      </c>
      <c r="M99" s="18">
        <f>_xlfn.XLOOKUP(CF_Gen_4[[#This Row],[ICG]],Assumptions[ICG],Assumptions[Loss_Ratio])</f>
        <v>0.38</v>
      </c>
      <c r="N99" s="18">
        <f>_xlfn.XLOOKUP(CF_Gen_4[[#This Row],[ICG]],Assumptions[ICG],Assumptions[Risk_Adjustment_Ratio])</f>
        <v>0.13</v>
      </c>
      <c r="O99" s="18">
        <f>_xlfn.XLOOKUP(CF_Gen_4[[#This Row],[ICG]],Assumptions[ICG],Assumptions[PME_Ratio])</f>
        <v>0</v>
      </c>
      <c r="P99" s="18">
        <f>_xlfn.XLOOKUP(CF_Gen_4[[#This Row],[ICG]],Assumptions[ICG],Assumptions[ULAE_Ratio])</f>
        <v>0</v>
      </c>
      <c r="Q99" s="18">
        <f>_xlfn.XLOOKUP(CF_Gen_4[[#This Row],[ICG]],Assumptions[ICG],Assumptions[Cancellation_Ratio])</f>
        <v>7.0000000000000007E-2</v>
      </c>
      <c r="R99" s="18">
        <f>_xlfn.XLOOKUP(CF_Gen_4[[#This Row],[ICG]],Assumptions[ICG],Assumptions[Premium_Refund_Ratio])</f>
        <v>0.5</v>
      </c>
      <c r="S99" s="18">
        <f>IF(CF_Gen_4[[#This Row],[Contract]]="RC",_xlfn.XLOOKUP(CF_Gen_4[[#This Row],[ICG]],Assumptions[ICG],Assumptions[NPR_Ratio]),0)</f>
        <v>2.8000000000000001E-2</v>
      </c>
      <c r="T99" s="17">
        <f>T98*(1-CF_Gen_4[[#This Row],[Cancellation_Ratio]])</f>
        <v>8.7668991309034698E-4</v>
      </c>
      <c r="U99" s="19">
        <f>IF(CF_Gen_4[[#This Row],[Incurred]]&lt;=CF_Gen_4[[#This Row],[Valuation]],CF_Gen_4[[#This Row],[Expected_Premium]],-CF_Gen_4[[#This Row],[Probability_of_Inforce]]*CF_Gen_4[[#This Row],[Premium_Refund_Ratio]]*CF_Gen_4[[#This Row],[Cancellation_Ratio]]*SUM(K99:K$105))</f>
        <v>0</v>
      </c>
      <c r="V99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Row],[Cancellation_Ratio]]*SUM(L99:L$105))</f>
        <v>0</v>
      </c>
      <c r="W99" s="19">
        <f>CF_Gen_4[[#This Row],[Expected_Acquisition]]</f>
        <v>0</v>
      </c>
      <c r="X99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99" s="19">
        <f>-CF_Gen_4[[#This Row],[Probability_of_Inforce]]*CF_Gen_4[[#This Row],[Earned_Premium]]*(1-CF_Gen_4[[#This Row],[Cancellation_Ratio]])*CF_Gen_4[[#This Row],[Loss_Ratio]]</f>
        <v>0</v>
      </c>
      <c r="Z99" s="19">
        <f>CF_Gen_4[[#This Row],[Exp_Claim]]*CF_Gen_4[[#This Row],[Risk_Adjustment_Ratio]]</f>
        <v>0</v>
      </c>
      <c r="AA99" s="19">
        <f>IF(CF_Gen_4[[#This Row],[Contract]]="RC",-CF_Gen_4[[#This Row],[NPR_Ratio]]*CF_Gen_4[[#This Row],[Exp_Claim]],0)</f>
        <v>0</v>
      </c>
      <c r="AB99" s="19">
        <f>SUMIFS(Actual_CF[Actual_Premium],Actual_CF[ICG],CF_Gen_4[[#This Row],[ICG]],Actual_CF[Incurred],CF_Gen_4[[#This Row],[Incurred]])</f>
        <v>0</v>
      </c>
      <c r="AC99" s="19">
        <f>SUMIFS(Actual_CF[Actual_Commission],Actual_CF[ICG],CF_Gen_4[[#This Row],[ICG]],Actual_CF[Incurred],CF_Gen_4[[#This Row],[Incurred]])</f>
        <v>0</v>
      </c>
      <c r="AD99" s="19">
        <f>SUMIFS(Actual_CF[Actual_Acquisition],Actual_CF[ICG],CF_Gen_4[[#This Row],[ICG]],Actual_CF[Incurred],CF_Gen_4[[#This Row],[Incurred]])</f>
        <v>0</v>
      </c>
    </row>
    <row r="100" spans="1:30">
      <c r="A100" t="str">
        <f t="shared" si="3"/>
        <v>#2025#RC-Property</v>
      </c>
      <c r="B100">
        <f>_xlfn.XLOOKUP(CF_Gen_4[[#This Row],[ICG]],ICG[ICG],ICG[Cohort])</f>
        <v>2025</v>
      </c>
      <c r="C100" t="str">
        <f>_xlfn.XLOOKUP(CF_Gen_4[[#This Row],[ICG]],ICG[ICG],ICG[Portfolio])</f>
        <v>RC-Property</v>
      </c>
      <c r="D100" t="str">
        <f>_xlfn.XLOOKUP(CF_Gen_4[[#This Row],[ICG]],ICG[ICG],ICG[Contract])</f>
        <v>RC</v>
      </c>
      <c r="E100" s="2">
        <f t="shared" si="2"/>
        <v>45930</v>
      </c>
      <c r="F100">
        <v>99</v>
      </c>
      <c r="G100" s="2">
        <f>EOMONTH(DATE(YEAR(CF_Gen_4[[#This Row],[Valuation]])-1,12,31),CF_Gen_4[[#This Row],['#Incurred]]*3)</f>
        <v>54696</v>
      </c>
      <c r="H100" s="14">
        <f>SUMIFS(Expected_CF[Expected_Premium],Expected_CF[ICG],CF_Gen_4[[#This Row],[ICG]],Expected_CF[Incurred],CF_Gen_4[[#This Row],[Incurred]])</f>
        <v>0</v>
      </c>
      <c r="I100" s="14">
        <f>SUMIFS(Expected_CF[Expected_Commission],Expected_CF[ICG],CF_Gen_4[[#This Row],[ICG]],Expected_CF[Incurred],CF_Gen_4[[#This Row],[Incurred]])</f>
        <v>0</v>
      </c>
      <c r="J100" s="14">
        <f>IF(CF_Gen_4[[#This Row],[Contract]]="IC",SUMIFS(Expected_CF[Expected_Acquisition],Expected_CF[ICG],CF_Gen_4[[#This Row],[ICG]],Expected_CF[Incurred],CF_Gen_4[[#This Row],[Incurred]]),0)</f>
        <v>0</v>
      </c>
      <c r="K100" s="14">
        <f>SUMIFS(Earned[Earned_Premium],Earned[ICG],CF_Gen_4[[#This Row],[ICG]],Earned[Incurred],CF_Gen_4[[#This Row],[Incurred]])</f>
        <v>0</v>
      </c>
      <c r="L100" s="14">
        <f>SUMIFS(Earned[Earned_Commission],Earned[ICG],CF_Gen_4[[#This Row],[ICG]],Earned[Incurred],CF_Gen_4[[#This Row],[Incurred]])</f>
        <v>0</v>
      </c>
      <c r="M100" s="18">
        <f>_xlfn.XLOOKUP(CF_Gen_4[[#This Row],[ICG]],Assumptions[ICG],Assumptions[Loss_Ratio])</f>
        <v>0.38</v>
      </c>
      <c r="N100" s="18">
        <f>_xlfn.XLOOKUP(CF_Gen_4[[#This Row],[ICG]],Assumptions[ICG],Assumptions[Risk_Adjustment_Ratio])</f>
        <v>0.13</v>
      </c>
      <c r="O100" s="18">
        <f>_xlfn.XLOOKUP(CF_Gen_4[[#This Row],[ICG]],Assumptions[ICG],Assumptions[PME_Ratio])</f>
        <v>0</v>
      </c>
      <c r="P100" s="18">
        <f>_xlfn.XLOOKUP(CF_Gen_4[[#This Row],[ICG]],Assumptions[ICG],Assumptions[ULAE_Ratio])</f>
        <v>0</v>
      </c>
      <c r="Q100" s="18">
        <f>_xlfn.XLOOKUP(CF_Gen_4[[#This Row],[ICG]],Assumptions[ICG],Assumptions[Cancellation_Ratio])</f>
        <v>7.0000000000000007E-2</v>
      </c>
      <c r="R100" s="18">
        <f>_xlfn.XLOOKUP(CF_Gen_4[[#This Row],[ICG]],Assumptions[ICG],Assumptions[Premium_Refund_Ratio])</f>
        <v>0.5</v>
      </c>
      <c r="S100" s="18">
        <f>IF(CF_Gen_4[[#This Row],[Contract]]="RC",_xlfn.XLOOKUP(CF_Gen_4[[#This Row],[ICG]],Assumptions[ICG],Assumptions[NPR_Ratio]),0)</f>
        <v>2.8000000000000001E-2</v>
      </c>
      <c r="T100" s="17">
        <f>T99*(1-CF_Gen_4[[#This Row],[Cancellation_Ratio]])</f>
        <v>8.1532161917402264E-4</v>
      </c>
      <c r="U100" s="19">
        <f>IF(CF_Gen_4[[#This Row],[Incurred]]&lt;=CF_Gen_4[[#This Row],[Valuation]],CF_Gen_4[[#This Row],[Expected_Premium]],-CF_Gen_4[[#This Row],[Probability_of_Inforce]]*CF_Gen_4[[#This Row],[Premium_Refund_Ratio]]*CF_Gen_4[[#This Row],[Cancellation_Ratio]]*SUM(K100:K$105))</f>
        <v>0</v>
      </c>
      <c r="V100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Row],[Cancellation_Ratio]]*SUM(L100:L$105))</f>
        <v>0</v>
      </c>
      <c r="W100" s="19">
        <f>CF_Gen_4[[#This Row],[Expected_Acquisition]]</f>
        <v>0</v>
      </c>
      <c r="X100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00" s="19">
        <f>-CF_Gen_4[[#This Row],[Probability_of_Inforce]]*CF_Gen_4[[#This Row],[Earned_Premium]]*(1-CF_Gen_4[[#This Row],[Cancellation_Ratio]])*CF_Gen_4[[#This Row],[Loss_Ratio]]</f>
        <v>0</v>
      </c>
      <c r="Z100" s="19">
        <f>CF_Gen_4[[#This Row],[Exp_Claim]]*CF_Gen_4[[#This Row],[Risk_Adjustment_Ratio]]</f>
        <v>0</v>
      </c>
      <c r="AA100" s="19">
        <f>IF(CF_Gen_4[[#This Row],[Contract]]="RC",-CF_Gen_4[[#This Row],[NPR_Ratio]]*CF_Gen_4[[#This Row],[Exp_Claim]],0)</f>
        <v>0</v>
      </c>
      <c r="AB100" s="19">
        <f>SUMIFS(Actual_CF[Actual_Premium],Actual_CF[ICG],CF_Gen_4[[#This Row],[ICG]],Actual_CF[Incurred],CF_Gen_4[[#This Row],[Incurred]])</f>
        <v>0</v>
      </c>
      <c r="AC100" s="19">
        <f>SUMIFS(Actual_CF[Actual_Commission],Actual_CF[ICG],CF_Gen_4[[#This Row],[ICG]],Actual_CF[Incurred],CF_Gen_4[[#This Row],[Incurred]])</f>
        <v>0</v>
      </c>
      <c r="AD100" s="19">
        <f>SUMIFS(Actual_CF[Actual_Acquisition],Actual_CF[ICG],CF_Gen_4[[#This Row],[ICG]],Actual_CF[Incurred],CF_Gen_4[[#This Row],[Incurred]])</f>
        <v>0</v>
      </c>
    </row>
    <row r="101" spans="1:30">
      <c r="A101" t="str">
        <f t="shared" si="3"/>
        <v>#2025#RC-Property</v>
      </c>
      <c r="B101">
        <f>_xlfn.XLOOKUP(CF_Gen_4[[#This Row],[ICG]],ICG[ICG],ICG[Cohort])</f>
        <v>2025</v>
      </c>
      <c r="C101" t="str">
        <f>_xlfn.XLOOKUP(CF_Gen_4[[#This Row],[ICG]],ICG[ICG],ICG[Portfolio])</f>
        <v>RC-Property</v>
      </c>
      <c r="D101" t="str">
        <f>_xlfn.XLOOKUP(CF_Gen_4[[#This Row],[ICG]],ICG[ICG],ICG[Contract])</f>
        <v>RC</v>
      </c>
      <c r="E101" s="2">
        <f t="shared" si="2"/>
        <v>45930</v>
      </c>
      <c r="F101">
        <v>100</v>
      </c>
      <c r="G101" s="2">
        <f>EOMONTH(DATE(YEAR(CF_Gen_4[[#This Row],[Valuation]])-1,12,31),CF_Gen_4[[#This Row],['#Incurred]]*3)</f>
        <v>54788</v>
      </c>
      <c r="H101" s="14">
        <f>SUMIFS(Expected_CF[Expected_Premium],Expected_CF[ICG],CF_Gen_4[[#This Row],[ICG]],Expected_CF[Incurred],CF_Gen_4[[#This Row],[Incurred]])</f>
        <v>0</v>
      </c>
      <c r="I101" s="14">
        <f>SUMIFS(Expected_CF[Expected_Commission],Expected_CF[ICG],CF_Gen_4[[#This Row],[ICG]],Expected_CF[Incurred],CF_Gen_4[[#This Row],[Incurred]])</f>
        <v>0</v>
      </c>
      <c r="J101" s="14">
        <f>IF(CF_Gen_4[[#This Row],[Contract]]="IC",SUMIFS(Expected_CF[Expected_Acquisition],Expected_CF[ICG],CF_Gen_4[[#This Row],[ICG]],Expected_CF[Incurred],CF_Gen_4[[#This Row],[Incurred]]),0)</f>
        <v>0</v>
      </c>
      <c r="K101" s="14">
        <f>SUMIFS(Earned[Earned_Premium],Earned[ICG],CF_Gen_4[[#This Row],[ICG]],Earned[Incurred],CF_Gen_4[[#This Row],[Incurred]])</f>
        <v>0</v>
      </c>
      <c r="L101" s="14">
        <f>SUMIFS(Earned[Earned_Commission],Earned[ICG],CF_Gen_4[[#This Row],[ICG]],Earned[Incurred],CF_Gen_4[[#This Row],[Incurred]])</f>
        <v>0</v>
      </c>
      <c r="M101" s="18">
        <f>_xlfn.XLOOKUP(CF_Gen_4[[#This Row],[ICG]],Assumptions[ICG],Assumptions[Loss_Ratio])</f>
        <v>0.38</v>
      </c>
      <c r="N101" s="18">
        <f>_xlfn.XLOOKUP(CF_Gen_4[[#This Row],[ICG]],Assumptions[ICG],Assumptions[Risk_Adjustment_Ratio])</f>
        <v>0.13</v>
      </c>
      <c r="O101" s="18">
        <f>_xlfn.XLOOKUP(CF_Gen_4[[#This Row],[ICG]],Assumptions[ICG],Assumptions[PME_Ratio])</f>
        <v>0</v>
      </c>
      <c r="P101" s="18">
        <f>_xlfn.XLOOKUP(CF_Gen_4[[#This Row],[ICG]],Assumptions[ICG],Assumptions[ULAE_Ratio])</f>
        <v>0</v>
      </c>
      <c r="Q101" s="18">
        <f>_xlfn.XLOOKUP(CF_Gen_4[[#This Row],[ICG]],Assumptions[ICG],Assumptions[Cancellation_Ratio])</f>
        <v>7.0000000000000007E-2</v>
      </c>
      <c r="R101" s="18">
        <f>_xlfn.XLOOKUP(CF_Gen_4[[#This Row],[ICG]],Assumptions[ICG],Assumptions[Premium_Refund_Ratio])</f>
        <v>0.5</v>
      </c>
      <c r="S101" s="18">
        <f>IF(CF_Gen_4[[#This Row],[Contract]]="RC",_xlfn.XLOOKUP(CF_Gen_4[[#This Row],[ICG]],Assumptions[ICG],Assumptions[NPR_Ratio]),0)</f>
        <v>2.8000000000000001E-2</v>
      </c>
      <c r="T101" s="17">
        <f>T100*(1-CF_Gen_4[[#This Row],[Cancellation_Ratio]])</f>
        <v>7.5824910583184102E-4</v>
      </c>
      <c r="U101" s="19">
        <f>IF(CF_Gen_4[[#This Row],[Incurred]]&lt;=CF_Gen_4[[#This Row],[Valuation]],CF_Gen_4[[#This Row],[Expected_Premium]],-CF_Gen_4[[#This Row],[Probability_of_Inforce]]*CF_Gen_4[[#This Row],[Premium_Refund_Ratio]]*CF_Gen_4[[#This Row],[Cancellation_Ratio]]*SUM(K101:K$105))</f>
        <v>0</v>
      </c>
      <c r="V101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Row],[Cancellation_Ratio]]*SUM(L101:L$105))</f>
        <v>0</v>
      </c>
      <c r="W101" s="19">
        <f>CF_Gen_4[[#This Row],[Expected_Acquisition]]</f>
        <v>0</v>
      </c>
      <c r="X101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01" s="19">
        <f>-CF_Gen_4[[#This Row],[Probability_of_Inforce]]*CF_Gen_4[[#This Row],[Earned_Premium]]*(1-CF_Gen_4[[#This Row],[Cancellation_Ratio]])*CF_Gen_4[[#This Row],[Loss_Ratio]]</f>
        <v>0</v>
      </c>
      <c r="Z101" s="19">
        <f>CF_Gen_4[[#This Row],[Exp_Claim]]*CF_Gen_4[[#This Row],[Risk_Adjustment_Ratio]]</f>
        <v>0</v>
      </c>
      <c r="AA101" s="19">
        <f>IF(CF_Gen_4[[#This Row],[Contract]]="RC",-CF_Gen_4[[#This Row],[NPR_Ratio]]*CF_Gen_4[[#This Row],[Exp_Claim]],0)</f>
        <v>0</v>
      </c>
      <c r="AB101" s="19">
        <f>SUMIFS(Actual_CF[Actual_Premium],Actual_CF[ICG],CF_Gen_4[[#This Row],[ICG]],Actual_CF[Incurred],CF_Gen_4[[#This Row],[Incurred]])</f>
        <v>0</v>
      </c>
      <c r="AC101" s="19">
        <f>SUMIFS(Actual_CF[Actual_Commission],Actual_CF[ICG],CF_Gen_4[[#This Row],[ICG]],Actual_CF[Incurred],CF_Gen_4[[#This Row],[Incurred]])</f>
        <v>0</v>
      </c>
      <c r="AD101" s="19">
        <f>SUMIFS(Actual_CF[Actual_Acquisition],Actual_CF[ICG],CF_Gen_4[[#This Row],[ICG]],Actual_CF[Incurred],CF_Gen_4[[#This Row],[Incurred]])</f>
        <v>0</v>
      </c>
    </row>
    <row r="102" spans="1:30">
      <c r="A102" t="str">
        <f t="shared" si="3"/>
        <v>#2025#RC-Property</v>
      </c>
      <c r="B102">
        <f>_xlfn.XLOOKUP(CF_Gen_4[[#This Row],[ICG]],ICG[ICG],ICG[Cohort])</f>
        <v>2025</v>
      </c>
      <c r="C102" t="str">
        <f>_xlfn.XLOOKUP(CF_Gen_4[[#This Row],[ICG]],ICG[ICG],ICG[Portfolio])</f>
        <v>RC-Property</v>
      </c>
      <c r="D102" t="str">
        <f>_xlfn.XLOOKUP(CF_Gen_4[[#This Row],[ICG]],ICG[ICG],ICG[Contract])</f>
        <v>RC</v>
      </c>
      <c r="E102" s="2">
        <f t="shared" si="2"/>
        <v>45930</v>
      </c>
      <c r="F102">
        <v>101</v>
      </c>
      <c r="G102" s="2">
        <f>EOMONTH(DATE(YEAR(CF_Gen_4[[#This Row],[Valuation]])-1,12,31),CF_Gen_4[[#This Row],['#Incurred]]*3)</f>
        <v>54878</v>
      </c>
      <c r="H102" s="14">
        <f>SUMIFS(Expected_CF[Expected_Premium],Expected_CF[ICG],CF_Gen_4[[#This Row],[ICG]],Expected_CF[Incurred],CF_Gen_4[[#This Row],[Incurred]])</f>
        <v>0</v>
      </c>
      <c r="I102" s="14">
        <f>SUMIFS(Expected_CF[Expected_Commission],Expected_CF[ICG],CF_Gen_4[[#This Row],[ICG]],Expected_CF[Incurred],CF_Gen_4[[#This Row],[Incurred]])</f>
        <v>0</v>
      </c>
      <c r="J102" s="14">
        <f>IF(CF_Gen_4[[#This Row],[Contract]]="IC",SUMIFS(Expected_CF[Expected_Acquisition],Expected_CF[ICG],CF_Gen_4[[#This Row],[ICG]],Expected_CF[Incurred],CF_Gen_4[[#This Row],[Incurred]]),0)</f>
        <v>0</v>
      </c>
      <c r="K102" s="14">
        <f>SUMIFS(Earned[Earned_Premium],Earned[ICG],CF_Gen_4[[#This Row],[ICG]],Earned[Incurred],CF_Gen_4[[#This Row],[Incurred]])</f>
        <v>0</v>
      </c>
      <c r="L102" s="14">
        <f>SUMIFS(Earned[Earned_Commission],Earned[ICG],CF_Gen_4[[#This Row],[ICG]],Earned[Incurred],CF_Gen_4[[#This Row],[Incurred]])</f>
        <v>0</v>
      </c>
      <c r="M102" s="18">
        <f>_xlfn.XLOOKUP(CF_Gen_4[[#This Row],[ICG]],Assumptions[ICG],Assumptions[Loss_Ratio])</f>
        <v>0.38</v>
      </c>
      <c r="N102" s="18">
        <f>_xlfn.XLOOKUP(CF_Gen_4[[#This Row],[ICG]],Assumptions[ICG],Assumptions[Risk_Adjustment_Ratio])</f>
        <v>0.13</v>
      </c>
      <c r="O102" s="18">
        <f>_xlfn.XLOOKUP(CF_Gen_4[[#This Row],[ICG]],Assumptions[ICG],Assumptions[PME_Ratio])</f>
        <v>0</v>
      </c>
      <c r="P102" s="18">
        <f>_xlfn.XLOOKUP(CF_Gen_4[[#This Row],[ICG]],Assumptions[ICG],Assumptions[ULAE_Ratio])</f>
        <v>0</v>
      </c>
      <c r="Q102" s="18">
        <f>_xlfn.XLOOKUP(CF_Gen_4[[#This Row],[ICG]],Assumptions[ICG],Assumptions[Cancellation_Ratio])</f>
        <v>7.0000000000000007E-2</v>
      </c>
      <c r="R102" s="18">
        <f>_xlfn.XLOOKUP(CF_Gen_4[[#This Row],[ICG]],Assumptions[ICG],Assumptions[Premium_Refund_Ratio])</f>
        <v>0.5</v>
      </c>
      <c r="S102" s="18">
        <f>IF(CF_Gen_4[[#This Row],[Contract]]="RC",_xlfn.XLOOKUP(CF_Gen_4[[#This Row],[ICG]],Assumptions[ICG],Assumptions[NPR_Ratio]),0)</f>
        <v>2.8000000000000001E-2</v>
      </c>
      <c r="T102" s="17">
        <f>T101*(1-CF_Gen_4[[#This Row],[Cancellation_Ratio]])</f>
        <v>7.0517166842361213E-4</v>
      </c>
      <c r="U102" s="19">
        <f>IF(CF_Gen_4[[#This Row],[Incurred]]&lt;=CF_Gen_4[[#This Row],[Valuation]],CF_Gen_4[[#This Row],[Expected_Premium]],-CF_Gen_4[[#This Row],[Probability_of_Inforce]]*CF_Gen_4[[#This Row],[Premium_Refund_Ratio]]*CF_Gen_4[[#This Row],[Cancellation_Ratio]]*SUM(K102:K$105))</f>
        <v>0</v>
      </c>
      <c r="V102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Row],[Cancellation_Ratio]]*SUM(L102:L$105))</f>
        <v>0</v>
      </c>
      <c r="W102" s="19">
        <f>CF_Gen_4[[#This Row],[Expected_Acquisition]]</f>
        <v>0</v>
      </c>
      <c r="X102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02" s="19">
        <f>-CF_Gen_4[[#This Row],[Probability_of_Inforce]]*CF_Gen_4[[#This Row],[Earned_Premium]]*(1-CF_Gen_4[[#This Row],[Cancellation_Ratio]])*CF_Gen_4[[#This Row],[Loss_Ratio]]</f>
        <v>0</v>
      </c>
      <c r="Z102" s="19">
        <f>CF_Gen_4[[#This Row],[Exp_Claim]]*CF_Gen_4[[#This Row],[Risk_Adjustment_Ratio]]</f>
        <v>0</v>
      </c>
      <c r="AA102" s="19">
        <f>IF(CF_Gen_4[[#This Row],[Contract]]="RC",-CF_Gen_4[[#This Row],[NPR_Ratio]]*CF_Gen_4[[#This Row],[Exp_Claim]],0)</f>
        <v>0</v>
      </c>
      <c r="AB102" s="19">
        <f>SUMIFS(Actual_CF[Actual_Premium],Actual_CF[ICG],CF_Gen_4[[#This Row],[ICG]],Actual_CF[Incurred],CF_Gen_4[[#This Row],[Incurred]])</f>
        <v>0</v>
      </c>
      <c r="AC102" s="19">
        <f>SUMIFS(Actual_CF[Actual_Commission],Actual_CF[ICG],CF_Gen_4[[#This Row],[ICG]],Actual_CF[Incurred],CF_Gen_4[[#This Row],[Incurred]])</f>
        <v>0</v>
      </c>
      <c r="AD102" s="19">
        <f>SUMIFS(Actual_CF[Actual_Acquisition],Actual_CF[ICG],CF_Gen_4[[#This Row],[ICG]],Actual_CF[Incurred],CF_Gen_4[[#This Row],[Incurred]])</f>
        <v>0</v>
      </c>
    </row>
    <row r="103" spans="1:30">
      <c r="A103" t="str">
        <f t="shared" si="3"/>
        <v>#2025#RC-Property</v>
      </c>
      <c r="B103">
        <f>_xlfn.XLOOKUP(CF_Gen_4[[#This Row],[ICG]],ICG[ICG],ICG[Cohort])</f>
        <v>2025</v>
      </c>
      <c r="C103" t="str">
        <f>_xlfn.XLOOKUP(CF_Gen_4[[#This Row],[ICG]],ICG[ICG],ICG[Portfolio])</f>
        <v>RC-Property</v>
      </c>
      <c r="D103" t="str">
        <f>_xlfn.XLOOKUP(CF_Gen_4[[#This Row],[ICG]],ICG[ICG],ICG[Contract])</f>
        <v>RC</v>
      </c>
      <c r="E103" s="2">
        <f t="shared" si="2"/>
        <v>45930</v>
      </c>
      <c r="F103">
        <v>102</v>
      </c>
      <c r="G103" s="2">
        <f>EOMONTH(DATE(YEAR(CF_Gen_4[[#This Row],[Valuation]])-1,12,31),CF_Gen_4[[#This Row],['#Incurred]]*3)</f>
        <v>54969</v>
      </c>
      <c r="H103" s="14">
        <f>SUMIFS(Expected_CF[Expected_Premium],Expected_CF[ICG],CF_Gen_4[[#This Row],[ICG]],Expected_CF[Incurred],CF_Gen_4[[#This Row],[Incurred]])</f>
        <v>0</v>
      </c>
      <c r="I103" s="14">
        <f>SUMIFS(Expected_CF[Expected_Commission],Expected_CF[ICG],CF_Gen_4[[#This Row],[ICG]],Expected_CF[Incurred],CF_Gen_4[[#This Row],[Incurred]])</f>
        <v>0</v>
      </c>
      <c r="J103" s="14">
        <f>IF(CF_Gen_4[[#This Row],[Contract]]="IC",SUMIFS(Expected_CF[Expected_Acquisition],Expected_CF[ICG],CF_Gen_4[[#This Row],[ICG]],Expected_CF[Incurred],CF_Gen_4[[#This Row],[Incurred]]),0)</f>
        <v>0</v>
      </c>
      <c r="K103" s="14">
        <f>SUMIFS(Earned[Earned_Premium],Earned[ICG],CF_Gen_4[[#This Row],[ICG]],Earned[Incurred],CF_Gen_4[[#This Row],[Incurred]])</f>
        <v>0</v>
      </c>
      <c r="L103" s="14">
        <f>SUMIFS(Earned[Earned_Commission],Earned[ICG],CF_Gen_4[[#This Row],[ICG]],Earned[Incurred],CF_Gen_4[[#This Row],[Incurred]])</f>
        <v>0</v>
      </c>
      <c r="M103" s="18">
        <f>_xlfn.XLOOKUP(CF_Gen_4[[#This Row],[ICG]],Assumptions[ICG],Assumptions[Loss_Ratio])</f>
        <v>0.38</v>
      </c>
      <c r="N103" s="18">
        <f>_xlfn.XLOOKUP(CF_Gen_4[[#This Row],[ICG]],Assumptions[ICG],Assumptions[Risk_Adjustment_Ratio])</f>
        <v>0.13</v>
      </c>
      <c r="O103" s="18">
        <f>_xlfn.XLOOKUP(CF_Gen_4[[#This Row],[ICG]],Assumptions[ICG],Assumptions[PME_Ratio])</f>
        <v>0</v>
      </c>
      <c r="P103" s="18">
        <f>_xlfn.XLOOKUP(CF_Gen_4[[#This Row],[ICG]],Assumptions[ICG],Assumptions[ULAE_Ratio])</f>
        <v>0</v>
      </c>
      <c r="Q103" s="18">
        <f>_xlfn.XLOOKUP(CF_Gen_4[[#This Row],[ICG]],Assumptions[ICG],Assumptions[Cancellation_Ratio])</f>
        <v>7.0000000000000007E-2</v>
      </c>
      <c r="R103" s="18">
        <f>_xlfn.XLOOKUP(CF_Gen_4[[#This Row],[ICG]],Assumptions[ICG],Assumptions[Premium_Refund_Ratio])</f>
        <v>0.5</v>
      </c>
      <c r="S103" s="18">
        <f>IF(CF_Gen_4[[#This Row],[Contract]]="RC",_xlfn.XLOOKUP(CF_Gen_4[[#This Row],[ICG]],Assumptions[ICG],Assumptions[NPR_Ratio]),0)</f>
        <v>2.8000000000000001E-2</v>
      </c>
      <c r="T103" s="17">
        <f>T102*(1-CF_Gen_4[[#This Row],[Cancellation_Ratio]])</f>
        <v>6.5580965163395928E-4</v>
      </c>
      <c r="U103" s="19">
        <f>IF(CF_Gen_4[[#This Row],[Incurred]]&lt;=CF_Gen_4[[#This Row],[Valuation]],CF_Gen_4[[#This Row],[Expected_Premium]],-CF_Gen_4[[#This Row],[Probability_of_Inforce]]*CF_Gen_4[[#This Row],[Premium_Refund_Ratio]]*CF_Gen_4[[#This Row],[Cancellation_Ratio]]*SUM(K103:K$105))</f>
        <v>0</v>
      </c>
      <c r="V103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Row],[Cancellation_Ratio]]*SUM(L103:L$105))</f>
        <v>0</v>
      </c>
      <c r="W103" s="19">
        <f>CF_Gen_4[[#This Row],[Expected_Acquisition]]</f>
        <v>0</v>
      </c>
      <c r="X103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03" s="19">
        <f>-CF_Gen_4[[#This Row],[Probability_of_Inforce]]*CF_Gen_4[[#This Row],[Earned_Premium]]*(1-CF_Gen_4[[#This Row],[Cancellation_Ratio]])*CF_Gen_4[[#This Row],[Loss_Ratio]]</f>
        <v>0</v>
      </c>
      <c r="Z103" s="19">
        <f>CF_Gen_4[[#This Row],[Exp_Claim]]*CF_Gen_4[[#This Row],[Risk_Adjustment_Ratio]]</f>
        <v>0</v>
      </c>
      <c r="AA103" s="19">
        <f>IF(CF_Gen_4[[#This Row],[Contract]]="RC",-CF_Gen_4[[#This Row],[NPR_Ratio]]*CF_Gen_4[[#This Row],[Exp_Claim]],0)</f>
        <v>0</v>
      </c>
      <c r="AB103" s="19">
        <f>SUMIFS(Actual_CF[Actual_Premium],Actual_CF[ICG],CF_Gen_4[[#This Row],[ICG]],Actual_CF[Incurred],CF_Gen_4[[#This Row],[Incurred]])</f>
        <v>0</v>
      </c>
      <c r="AC103" s="19">
        <f>SUMIFS(Actual_CF[Actual_Commission],Actual_CF[ICG],CF_Gen_4[[#This Row],[ICG]],Actual_CF[Incurred],CF_Gen_4[[#This Row],[Incurred]])</f>
        <v>0</v>
      </c>
      <c r="AD103" s="19">
        <f>SUMIFS(Actual_CF[Actual_Acquisition],Actual_CF[ICG],CF_Gen_4[[#This Row],[ICG]],Actual_CF[Incurred],CF_Gen_4[[#This Row],[Incurred]])</f>
        <v>0</v>
      </c>
    </row>
    <row r="104" spans="1:30">
      <c r="A104" t="str">
        <f t="shared" si="3"/>
        <v>#2025#RC-Property</v>
      </c>
      <c r="B104">
        <f>_xlfn.XLOOKUP(CF_Gen_4[[#This Row],[ICG]],ICG[ICG],ICG[Cohort])</f>
        <v>2025</v>
      </c>
      <c r="C104" t="str">
        <f>_xlfn.XLOOKUP(CF_Gen_4[[#This Row],[ICG]],ICG[ICG],ICG[Portfolio])</f>
        <v>RC-Property</v>
      </c>
      <c r="D104" t="str">
        <f>_xlfn.XLOOKUP(CF_Gen_4[[#This Row],[ICG]],ICG[ICG],ICG[Contract])</f>
        <v>RC</v>
      </c>
      <c r="E104" s="2">
        <f t="shared" si="2"/>
        <v>45930</v>
      </c>
      <c r="F104">
        <v>103</v>
      </c>
      <c r="G104" s="2">
        <f>EOMONTH(DATE(YEAR(CF_Gen_4[[#This Row],[Valuation]])-1,12,31),CF_Gen_4[[#This Row],['#Incurred]]*3)</f>
        <v>55061</v>
      </c>
      <c r="H104" s="14">
        <f>SUMIFS(Expected_CF[Expected_Premium],Expected_CF[ICG],CF_Gen_4[[#This Row],[ICG]],Expected_CF[Incurred],CF_Gen_4[[#This Row],[Incurred]])</f>
        <v>0</v>
      </c>
      <c r="I104" s="14">
        <f>SUMIFS(Expected_CF[Expected_Commission],Expected_CF[ICG],CF_Gen_4[[#This Row],[ICG]],Expected_CF[Incurred],CF_Gen_4[[#This Row],[Incurred]])</f>
        <v>0</v>
      </c>
      <c r="J104" s="14">
        <f>IF(CF_Gen_4[[#This Row],[Contract]]="IC",SUMIFS(Expected_CF[Expected_Acquisition],Expected_CF[ICG],CF_Gen_4[[#This Row],[ICG]],Expected_CF[Incurred],CF_Gen_4[[#This Row],[Incurred]]),0)</f>
        <v>0</v>
      </c>
      <c r="K104" s="14">
        <f>SUMIFS(Earned[Earned_Premium],Earned[ICG],CF_Gen_4[[#This Row],[ICG]],Earned[Incurred],CF_Gen_4[[#This Row],[Incurred]])</f>
        <v>0</v>
      </c>
      <c r="L104" s="14">
        <f>SUMIFS(Earned[Earned_Commission],Earned[ICG],CF_Gen_4[[#This Row],[ICG]],Earned[Incurred],CF_Gen_4[[#This Row],[Incurred]])</f>
        <v>0</v>
      </c>
      <c r="M104" s="18">
        <f>_xlfn.XLOOKUP(CF_Gen_4[[#This Row],[ICG]],Assumptions[ICG],Assumptions[Loss_Ratio])</f>
        <v>0.38</v>
      </c>
      <c r="N104" s="18">
        <f>_xlfn.XLOOKUP(CF_Gen_4[[#This Row],[ICG]],Assumptions[ICG],Assumptions[Risk_Adjustment_Ratio])</f>
        <v>0.13</v>
      </c>
      <c r="O104" s="18">
        <f>_xlfn.XLOOKUP(CF_Gen_4[[#This Row],[ICG]],Assumptions[ICG],Assumptions[PME_Ratio])</f>
        <v>0</v>
      </c>
      <c r="P104" s="18">
        <f>_xlfn.XLOOKUP(CF_Gen_4[[#This Row],[ICG]],Assumptions[ICG],Assumptions[ULAE_Ratio])</f>
        <v>0</v>
      </c>
      <c r="Q104" s="18">
        <f>_xlfn.XLOOKUP(CF_Gen_4[[#This Row],[ICG]],Assumptions[ICG],Assumptions[Cancellation_Ratio])</f>
        <v>7.0000000000000007E-2</v>
      </c>
      <c r="R104" s="18">
        <f>_xlfn.XLOOKUP(CF_Gen_4[[#This Row],[ICG]],Assumptions[ICG],Assumptions[Premium_Refund_Ratio])</f>
        <v>0.5</v>
      </c>
      <c r="S104" s="18">
        <f>IF(CF_Gen_4[[#This Row],[Contract]]="RC",_xlfn.XLOOKUP(CF_Gen_4[[#This Row],[ICG]],Assumptions[ICG],Assumptions[NPR_Ratio]),0)</f>
        <v>2.8000000000000001E-2</v>
      </c>
      <c r="T104" s="17">
        <f>T103*(1-CF_Gen_4[[#This Row],[Cancellation_Ratio]])</f>
        <v>6.0990297601958205E-4</v>
      </c>
      <c r="U104" s="19">
        <f>IF(CF_Gen_4[[#This Row],[Incurred]]&lt;=CF_Gen_4[[#This Row],[Valuation]],CF_Gen_4[[#This Row],[Expected_Premium]],-CF_Gen_4[[#This Row],[Probability_of_Inforce]]*CF_Gen_4[[#This Row],[Premium_Refund_Ratio]]*CF_Gen_4[[#This Row],[Cancellation_Ratio]]*SUM(K104:K$105))</f>
        <v>0</v>
      </c>
      <c r="V104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Row],[Cancellation_Ratio]]*SUM(L104:L$105))</f>
        <v>0</v>
      </c>
      <c r="W104" s="19">
        <f>CF_Gen_4[[#This Row],[Expected_Acquisition]]</f>
        <v>0</v>
      </c>
      <c r="X104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04" s="19">
        <f>-CF_Gen_4[[#This Row],[Probability_of_Inforce]]*CF_Gen_4[[#This Row],[Earned_Premium]]*(1-CF_Gen_4[[#This Row],[Cancellation_Ratio]])*CF_Gen_4[[#This Row],[Loss_Ratio]]</f>
        <v>0</v>
      </c>
      <c r="Z104" s="19">
        <f>CF_Gen_4[[#This Row],[Exp_Claim]]*CF_Gen_4[[#This Row],[Risk_Adjustment_Ratio]]</f>
        <v>0</v>
      </c>
      <c r="AA104" s="19">
        <f>IF(CF_Gen_4[[#This Row],[Contract]]="RC",-CF_Gen_4[[#This Row],[NPR_Ratio]]*CF_Gen_4[[#This Row],[Exp_Claim]],0)</f>
        <v>0</v>
      </c>
      <c r="AB104" s="19">
        <f>SUMIFS(Actual_CF[Actual_Premium],Actual_CF[ICG],CF_Gen_4[[#This Row],[ICG]],Actual_CF[Incurred],CF_Gen_4[[#This Row],[Incurred]])</f>
        <v>0</v>
      </c>
      <c r="AC104" s="19">
        <f>SUMIFS(Actual_CF[Actual_Commission],Actual_CF[ICG],CF_Gen_4[[#This Row],[ICG]],Actual_CF[Incurred],CF_Gen_4[[#This Row],[Incurred]])</f>
        <v>0</v>
      </c>
      <c r="AD104" s="19">
        <f>SUMIFS(Actual_CF[Actual_Acquisition],Actual_CF[ICG],CF_Gen_4[[#This Row],[ICG]],Actual_CF[Incurred],CF_Gen_4[[#This Row],[Incurred]])</f>
        <v>0</v>
      </c>
    </row>
    <row r="105" spans="1:30">
      <c r="A105" t="str">
        <f t="shared" si="3"/>
        <v>#2025#RC-Property</v>
      </c>
      <c r="B105">
        <f>_xlfn.XLOOKUP(CF_Gen_4[[#This Row],[ICG]],ICG[ICG],ICG[Cohort])</f>
        <v>2025</v>
      </c>
      <c r="C105" t="str">
        <f>_xlfn.XLOOKUP(CF_Gen_4[[#This Row],[ICG]],ICG[ICG],ICG[Portfolio])</f>
        <v>RC-Property</v>
      </c>
      <c r="D105" t="str">
        <f>_xlfn.XLOOKUP(CF_Gen_4[[#This Row],[ICG]],ICG[ICG],ICG[Contract])</f>
        <v>RC</v>
      </c>
      <c r="E105" s="2">
        <f t="shared" si="2"/>
        <v>45930</v>
      </c>
      <c r="F105">
        <v>104</v>
      </c>
      <c r="G105" s="2">
        <f>EOMONTH(DATE(YEAR(CF_Gen_4[[#This Row],[Valuation]])-1,12,31),CF_Gen_4[[#This Row],['#Incurred]]*3)</f>
        <v>55153</v>
      </c>
      <c r="H105" s="14">
        <f>SUMIFS(Expected_CF[Expected_Premium],Expected_CF[ICG],CF_Gen_4[[#This Row],[ICG]],Expected_CF[Incurred],CF_Gen_4[[#This Row],[Incurred]])</f>
        <v>0</v>
      </c>
      <c r="I105" s="14">
        <f>SUMIFS(Expected_CF[Expected_Commission],Expected_CF[ICG],CF_Gen_4[[#This Row],[ICG]],Expected_CF[Incurred],CF_Gen_4[[#This Row],[Incurred]])</f>
        <v>0</v>
      </c>
      <c r="J105" s="14">
        <f>IF(CF_Gen_4[[#This Row],[Contract]]="IC",SUMIFS(Expected_CF[Expected_Acquisition],Expected_CF[ICG],CF_Gen_4[[#This Row],[ICG]],Expected_CF[Incurred],CF_Gen_4[[#This Row],[Incurred]]),0)</f>
        <v>0</v>
      </c>
      <c r="K105" s="14">
        <f>SUMIFS(Earned[Earned_Premium],Earned[ICG],CF_Gen_4[[#This Row],[ICG]],Earned[Incurred],CF_Gen_4[[#This Row],[Incurred]])</f>
        <v>0</v>
      </c>
      <c r="L105" s="14">
        <f>SUMIFS(Earned[Earned_Commission],Earned[ICG],CF_Gen_4[[#This Row],[ICG]],Earned[Incurred],CF_Gen_4[[#This Row],[Incurred]])</f>
        <v>0</v>
      </c>
      <c r="M105" s="18">
        <f>_xlfn.XLOOKUP(CF_Gen_4[[#This Row],[ICG]],Assumptions[ICG],Assumptions[Loss_Ratio])</f>
        <v>0.38</v>
      </c>
      <c r="N105" s="18">
        <f>_xlfn.XLOOKUP(CF_Gen_4[[#This Row],[ICG]],Assumptions[ICG],Assumptions[Risk_Adjustment_Ratio])</f>
        <v>0.13</v>
      </c>
      <c r="O105" s="18">
        <f>_xlfn.XLOOKUP(CF_Gen_4[[#This Row],[ICG]],Assumptions[ICG],Assumptions[PME_Ratio])</f>
        <v>0</v>
      </c>
      <c r="P105" s="18">
        <f>_xlfn.XLOOKUP(CF_Gen_4[[#This Row],[ICG]],Assumptions[ICG],Assumptions[ULAE_Ratio])</f>
        <v>0</v>
      </c>
      <c r="Q105" s="18">
        <f>_xlfn.XLOOKUP(CF_Gen_4[[#This Row],[ICG]],Assumptions[ICG],Assumptions[Cancellation_Ratio])</f>
        <v>7.0000000000000007E-2</v>
      </c>
      <c r="R105" s="18">
        <f>_xlfn.XLOOKUP(CF_Gen_4[[#This Row],[ICG]],Assumptions[ICG],Assumptions[Premium_Refund_Ratio])</f>
        <v>0.5</v>
      </c>
      <c r="S105" s="18">
        <f>IF(CF_Gen_4[[#This Row],[Contract]]="RC",_xlfn.XLOOKUP(CF_Gen_4[[#This Row],[ICG]],Assumptions[ICG],Assumptions[NPR_Ratio]),0)</f>
        <v>2.8000000000000001E-2</v>
      </c>
      <c r="T105" s="17">
        <f>T104*(1-CF_Gen_4[[#This Row],[Cancellation_Ratio]])</f>
        <v>5.6720976769821126E-4</v>
      </c>
      <c r="U105" s="19">
        <f>IF(CF_Gen_4[[#This Row],[Incurred]]&lt;=CF_Gen_4[[#This Row],[Valuation]],CF_Gen_4[[#This Row],[Expected_Premium]],-CF_Gen_4[[#This Row],[Probability_of_Inforce]]*CF_Gen_4[[#This Row],[Premium_Refund_Ratio]]*CF_Gen_4[[#This Row],[Cancellation_Ratio]]*SUM(K105:K$105))</f>
        <v>0</v>
      </c>
      <c r="V105" s="19">
        <f>IF(CF_Gen_4[[#This Row],[Incurred]]&lt;=CF_Gen_4[[#This Row],[Valuation]],CF_Gen_4[[#This Row],[Expected_Commission]],-CF_Gen_4[[#This Row],[Probability_of_Inforce]]*CF_Gen_4[[#This Row],[Premium_Refund_Ratio]]*CF_Gen_4[[#This Row],[Cancellation_Ratio]]*SUM(L105:L$105))</f>
        <v>0</v>
      </c>
      <c r="W105" s="19">
        <f>CF_Gen_4[[#This Row],[Expected_Acquisition]]</f>
        <v>0</v>
      </c>
      <c r="X105" s="19">
        <f>-CF_Gen_4[[#This Row],[Probability_of_Inforce]]*CF_Gen_4[[#This Row],[Earned_Premium]]*(1-CF_Gen_4[[#This Row],[Cancellation_Ratio]])*CF_Gen_4[[#This Row],[PME_Ratio]]+CF_Gen_4[[#This Row],[ULAE_Ratio]]*CF_Gen_4[[#This Row],[Exp_Claim]]</f>
        <v>0</v>
      </c>
      <c r="Y105" s="19">
        <f>-CF_Gen_4[[#This Row],[Probability_of_Inforce]]*CF_Gen_4[[#This Row],[Earned_Premium]]*(1-CF_Gen_4[[#This Row],[Cancellation_Ratio]])*CF_Gen_4[[#This Row],[Loss_Ratio]]</f>
        <v>0</v>
      </c>
      <c r="Z105" s="19">
        <f>CF_Gen_4[[#This Row],[Exp_Claim]]*CF_Gen_4[[#This Row],[Risk_Adjustment_Ratio]]</f>
        <v>0</v>
      </c>
      <c r="AA105" s="19">
        <f>IF(CF_Gen_4[[#This Row],[Contract]]="RC",-CF_Gen_4[[#This Row],[NPR_Ratio]]*CF_Gen_4[[#This Row],[Exp_Claim]],0)</f>
        <v>0</v>
      </c>
      <c r="AB105" s="19">
        <f>SUMIFS(Actual_CF[Actual_Premium],Actual_CF[ICG],CF_Gen_4[[#This Row],[ICG]],Actual_CF[Incurred],CF_Gen_4[[#This Row],[Incurred]])</f>
        <v>0</v>
      </c>
      <c r="AC105" s="19">
        <f>SUMIFS(Actual_CF[Actual_Commission],Actual_CF[ICG],CF_Gen_4[[#This Row],[ICG]],Actual_CF[Incurred],CF_Gen_4[[#This Row],[Incurred]])</f>
        <v>0</v>
      </c>
      <c r="AD105" s="19">
        <f>SUMIFS(Actual_CF[Actual_Acquisition],Actual_CF[ICG],CF_Gen_4[[#This Row],[ICG]],Actual_CF[Incurred],CF_Gen_4[[#This Row],[Incurred]])</f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4EDD-EF69-416C-9B87-CF8AF8F48B1E}">
  <sheetPr>
    <tabColor theme="1" tint="0.499984740745262"/>
  </sheetPr>
  <dimension ref="A1"/>
  <sheetViews>
    <sheetView showGridLines="0" workbookViewId="0">
      <selection activeCell="F20" sqref="F20"/>
    </sheetView>
  </sheetViews>
  <sheetFormatPr defaultRowHeight="14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8848-09D1-443D-B447-85F9EF411FF2}">
  <dimension ref="A1:L420"/>
  <sheetViews>
    <sheetView showGridLines="0" tabSelected="1" zoomScale="80" zoomScaleNormal="80" workbookViewId="0">
      <pane ySplit="1" topLeftCell="A2" activePane="bottomLeft" state="frozen"/>
      <selection activeCell="E1" sqref="E1"/>
      <selection pane="bottomLeft" activeCell="H7" sqref="H7"/>
    </sheetView>
  </sheetViews>
  <sheetFormatPr defaultColWidth="13.81640625" defaultRowHeight="14.5"/>
  <cols>
    <col min="1" max="1" width="13.81640625" style="25"/>
    <col min="2" max="2" width="15" style="25" bestFit="1" customWidth="1"/>
    <col min="3" max="3" width="21.1796875" style="24" bestFit="1" customWidth="1"/>
    <col min="4" max="4" width="21.1796875" style="24" customWidth="1"/>
    <col min="5" max="5" width="21.1796875" style="24" bestFit="1" customWidth="1"/>
    <col min="6" max="7" width="19.81640625" style="24" bestFit="1" customWidth="1"/>
    <col min="8" max="8" width="21.1796875" style="24" bestFit="1" customWidth="1"/>
    <col min="9" max="9" width="21.1796875" style="24" customWidth="1"/>
    <col min="10" max="10" width="13.7265625" style="25" bestFit="1" customWidth="1"/>
    <col min="11" max="11" width="14.1796875" style="25" bestFit="1" customWidth="1"/>
    <col min="12" max="12" width="22.26953125" style="25" bestFit="1" customWidth="1"/>
    <col min="13" max="16384" width="13.81640625" style="25"/>
  </cols>
  <sheetData>
    <row r="1" spans="1:12">
      <c r="A1" s="38" t="s">
        <v>16</v>
      </c>
      <c r="B1" s="38" t="s">
        <v>15</v>
      </c>
      <c r="C1" s="20" t="s">
        <v>14</v>
      </c>
      <c r="D1" s="20" t="s">
        <v>13</v>
      </c>
      <c r="E1" s="20" t="s">
        <v>6</v>
      </c>
      <c r="F1" s="20" t="s">
        <v>12</v>
      </c>
      <c r="G1" s="20" t="s">
        <v>11</v>
      </c>
      <c r="H1" s="20" t="s">
        <v>7</v>
      </c>
      <c r="I1" s="20" t="s">
        <v>10</v>
      </c>
      <c r="J1" s="39" t="s">
        <v>5</v>
      </c>
      <c r="K1" s="39" t="s">
        <v>9</v>
      </c>
      <c r="L1" s="39" t="s">
        <v>8</v>
      </c>
    </row>
    <row r="2" spans="1:12">
      <c r="A2" s="26">
        <f t="shared" ref="A2:A33" si="0">ValuationDate</f>
        <v>45930</v>
      </c>
      <c r="B2" s="26">
        <f>DATE(YEAR(A2),3,31)</f>
        <v>45747</v>
      </c>
      <c r="C2" s="21">
        <f>IFERROR(HLOOKUP("Exp_Premium",CF_Gen_1[#All],MATCH($B2,CF_Gen_1[[#All],[Incurred]],0),0),0)</f>
        <v>0</v>
      </c>
      <c r="D2" s="22">
        <f>IF(AND($J2&lt;YEAR($A2),$B2&lt;=$A2),IFERROR(HLOOKUP("Actual_Premium",CF_Gen_1[#All],MATCH($B2,CF_Gen_1[[#All],[Incurred]],0),0),0),0)</f>
        <v>1150571771.1111634</v>
      </c>
      <c r="E2" s="21">
        <f>-IFERROR(HLOOKUP("Exp_Claim",CF_Gen_1[#All],MATCH($B2,CF_Gen_1[[#All],[Incurred]],0),0),0)-IFERROR(HLOOKUP("Exp_NPR",CF_Gen_1[#All],MATCH($B2,CF_Gen_1[[#All],[Incurred]],0),0),0)</f>
        <v>0</v>
      </c>
      <c r="F2" s="21">
        <f>-IFERROR(HLOOKUP("Exp_RA",CF_Gen_1[#All],MATCH($B2,CF_Gen_1[[#All],[Incurred]],0),0),0)</f>
        <v>0</v>
      </c>
      <c r="G2" s="21">
        <f>-IFERROR(HLOOKUP("Exp_Expense",CF_Gen_1[#All],MATCH($B2,CF_Gen_1[[#All],[Incurred]],0),0),0)</f>
        <v>0</v>
      </c>
      <c r="H2" s="21">
        <f>-IFERROR(HLOOKUP("Exp_Commission",CF_Gen_1[#All],MATCH($B2,CF_Gen_1[[#All],[Incurred]],0),0),0)-IFERROR(HLOOKUP("Exp_Acquisition",CF_Gen_1[#All],MATCH($B2,CF_Gen_1[[#All],[Incurred]],0),0),0)</f>
        <v>0</v>
      </c>
      <c r="I2" s="22">
        <f>IF(AND($J2&lt;YEAR($A2),$B2&lt;=$A2),-IFERROR(HLOOKUP("Actual_Commission",CF_Gen_1[#All],MATCH($B2,CF_Gen_1[[#All],[Incurred]],0),0),0)-IFERROR(HLOOKUP("Actual_Acquisition",CF_Gen_1[#All],MATCH($B2,CF_Gen_1[[#All],[Incurred]],0),0),0),0)</f>
        <v>172585765.66667449</v>
      </c>
      <c r="J2" s="27">
        <f>VLOOKUP(L2,ICG[#All],2,0)</f>
        <v>2024</v>
      </c>
      <c r="K2" s="27" t="str">
        <f>VLOOKUP(L2,ICG[#All],3,0)</f>
        <v>IC-Property</v>
      </c>
      <c r="L2" s="27" t="str">
        <f>'CF_Gen_1'!$A$2</f>
        <v>#2024#IC-Property</v>
      </c>
    </row>
    <row r="3" spans="1:12">
      <c r="A3" s="26">
        <f t="shared" si="0"/>
        <v>45930</v>
      </c>
      <c r="B3" s="26">
        <f t="shared" ref="B3:B66" si="1">EOMONTH(B2,3)</f>
        <v>45838</v>
      </c>
      <c r="C3" s="21">
        <f>IFERROR(HLOOKUP("Exp_Premium",CF_Gen_1[#All],MATCH($B3,CF_Gen_1[[#All],[Incurred]],0),0),0)</f>
        <v>0</v>
      </c>
      <c r="D3" s="22">
        <f>IF(AND($J3&lt;YEAR($A3),$B3&lt;=$A3),IFERROR(HLOOKUP("Actual_Premium",CF_Gen_1[#All],MATCH($B3,CF_Gen_1[[#All],[Incurred]],0),0),0),0)</f>
        <v>325150240.73605597</v>
      </c>
      <c r="E3" s="21">
        <f>-IFERROR(HLOOKUP("Exp_Claim",CF_Gen_1[#All],MATCH($B3,CF_Gen_1[[#All],[Incurred]],0),0),0)-IFERROR(HLOOKUP("Exp_NPR",CF_Gen_1[#All],MATCH($B3,CF_Gen_1[[#All],[Incurred]],0),0),0)</f>
        <v>0</v>
      </c>
      <c r="F3" s="21">
        <f>-IFERROR(HLOOKUP("Exp_RA",CF_Gen_1[#All],MATCH($B3,CF_Gen_1[[#All],[Incurred]],0),0),0)</f>
        <v>0</v>
      </c>
      <c r="G3" s="21">
        <f>-IFERROR(HLOOKUP("Exp_Expense",CF_Gen_1[#All],MATCH($B3,CF_Gen_1[[#All],[Incurred]],0),0),0)</f>
        <v>0</v>
      </c>
      <c r="H3" s="21">
        <f>-IFERROR(HLOOKUP("Exp_Commission",CF_Gen_1[#All],MATCH($B3,CF_Gen_1[[#All],[Incurred]],0),0),0)-IFERROR(HLOOKUP("Exp_Acquisition",CF_Gen_1[#All],MATCH($B3,CF_Gen_1[[#All],[Incurred]],0),0),0)</f>
        <v>0</v>
      </c>
      <c r="I3" s="22">
        <f>IF(AND($J3&lt;YEAR($A3),$B3&lt;=$A3),-IFERROR(HLOOKUP("Actual_Commission",CF_Gen_1[#All],MATCH($B3,CF_Gen_1[[#All],[Incurred]],0),0),0)-IFERROR(HLOOKUP("Actual_Acquisition",CF_Gen_1[#All],MATCH($B3,CF_Gen_1[[#All],[Incurred]],0),0),0),0)</f>
        <v>45521033.703047842</v>
      </c>
      <c r="J3" s="27">
        <f>VLOOKUP(L3,ICG[#All],2,0)</f>
        <v>2024</v>
      </c>
      <c r="K3" s="27" t="str">
        <f>VLOOKUP(L3,ICG[#All],3,0)</f>
        <v>IC-Property</v>
      </c>
      <c r="L3" s="27" t="str">
        <f>L2</f>
        <v>#2024#IC-Property</v>
      </c>
    </row>
    <row r="4" spans="1:12">
      <c r="A4" s="26">
        <f t="shared" si="0"/>
        <v>45930</v>
      </c>
      <c r="B4" s="26">
        <f t="shared" si="1"/>
        <v>45930</v>
      </c>
      <c r="C4" s="21">
        <f>IFERROR(HLOOKUP("Exp_Premium",CF_Gen_1[#All],MATCH($B4,CF_Gen_1[[#All],[Incurred]],0),0),0)</f>
        <v>0</v>
      </c>
      <c r="D4" s="22">
        <f>IF(AND($J4&lt;YEAR($A4),$B4&lt;=$A4),IFERROR(HLOOKUP("Actual_Premium",CF_Gen_1[#All],MATCH($B4,CF_Gen_1[[#All],[Incurred]],0),0),0),0)</f>
        <v>-949626465.18407106</v>
      </c>
      <c r="E4" s="21">
        <f>-IFERROR(HLOOKUP("Exp_Claim",CF_Gen_1[#All],MATCH($B4,CF_Gen_1[[#All],[Incurred]],0),0),0)-IFERROR(HLOOKUP("Exp_NPR",CF_Gen_1[#All],MATCH($B4,CF_Gen_1[[#All],[Incurred]],0),0),0)</f>
        <v>0</v>
      </c>
      <c r="F4" s="21">
        <f>-IFERROR(HLOOKUP("Exp_RA",CF_Gen_1[#All],MATCH($B4,CF_Gen_1[[#All],[Incurred]],0),0),0)</f>
        <v>0</v>
      </c>
      <c r="G4" s="21">
        <f>-IFERROR(HLOOKUP("Exp_Expense",CF_Gen_1[#All],MATCH($B4,CF_Gen_1[[#All],[Incurred]],0),0),0)</f>
        <v>0</v>
      </c>
      <c r="H4" s="21">
        <f>-IFERROR(HLOOKUP("Exp_Commission",CF_Gen_1[#All],MATCH($B4,CF_Gen_1[[#All],[Incurred]],0),0),0)-IFERROR(HLOOKUP("Exp_Acquisition",CF_Gen_1[#All],MATCH($B4,CF_Gen_1[[#All],[Incurred]],0),0),0)</f>
        <v>0</v>
      </c>
      <c r="I4" s="22">
        <f>IF(AND($J4&lt;YEAR($A4),$B4&lt;=$A4),-IFERROR(HLOOKUP("Actual_Commission",CF_Gen_1[#All],MATCH($B4,CF_Gen_1[[#All],[Incurred]],0),0),0)-IFERROR(HLOOKUP("Actual_Acquisition",CF_Gen_1[#All],MATCH($B4,CF_Gen_1[[#All],[Incurred]],0),0),0),0)</f>
        <v>-137695837.45169029</v>
      </c>
      <c r="J4" s="27">
        <f>VLOOKUP(L4,ICG[#All],2,0)</f>
        <v>2024</v>
      </c>
      <c r="K4" s="27" t="str">
        <f>VLOOKUP(L4,ICG[#All],3,0)</f>
        <v>IC-Property</v>
      </c>
      <c r="L4" s="27" t="str">
        <f t="shared" ref="L4:L67" si="2">L3</f>
        <v>#2024#IC-Property</v>
      </c>
    </row>
    <row r="5" spans="1:12">
      <c r="A5" s="26">
        <f t="shared" si="0"/>
        <v>45930</v>
      </c>
      <c r="B5" s="26">
        <f t="shared" si="1"/>
        <v>46022</v>
      </c>
      <c r="C5" s="21">
        <f>IFERROR(HLOOKUP("Exp_Premium",CF_Gen_1[#All],MATCH($B5,CF_Gen_1[[#All],[Incurred]],0),0),0)</f>
        <v>-3484366130.7885933</v>
      </c>
      <c r="D5" s="22">
        <f>IF(AND($J5&lt;YEAR($A5),$B5&lt;=$A5),IFERROR(HLOOKUP("Actual_Premium",CF_Gen_1[#All],MATCH($B5,CF_Gen_1[[#All],[Incurred]],0),0),0),0)</f>
        <v>0</v>
      </c>
      <c r="E5" s="21">
        <f>-IFERROR(HLOOKUP("Exp_Claim",CF_Gen_1[#All],MATCH($B5,CF_Gen_1[[#All],[Incurred]],0),0),0)-IFERROR(HLOOKUP("Exp_NPR",CF_Gen_1[#All],MATCH($B5,CF_Gen_1[[#All],[Incurred]],0),0),0)</f>
        <v>809360542.03007317</v>
      </c>
      <c r="F5" s="21">
        <f>-IFERROR(HLOOKUP("Exp_RA",CF_Gen_1[#All],MATCH($B5,CF_Gen_1[[#All],[Incurred]],0),0),0)</f>
        <v>113310475.88421026</v>
      </c>
      <c r="G5" s="21">
        <f>-IFERROR(HLOOKUP("Exp_Expense",CF_Gen_1[#All],MATCH($B5,CF_Gen_1[[#All],[Incurred]],0),0),0)</f>
        <v>180082720.60169125</v>
      </c>
      <c r="H5" s="21">
        <f>-IFERROR(HLOOKUP("Exp_Commission",CF_Gen_1[#All],MATCH($B5,CF_Gen_1[[#All],[Incurred]],0),0),0)-IFERROR(HLOOKUP("Exp_Acquisition",CF_Gen_1[#All],MATCH($B5,CF_Gen_1[[#All],[Incurred]],0),0),0)</f>
        <v>-1059852506.5976828</v>
      </c>
      <c r="I5" s="22">
        <f>IF(AND($J5&lt;YEAR($A5),$B5&lt;=$A5),-IFERROR(HLOOKUP("Actual_Commission",CF_Gen_1[#All],MATCH($B5,CF_Gen_1[[#All],[Incurred]],0),0),0)-IFERROR(HLOOKUP("Actual_Acquisition",CF_Gen_1[#All],MATCH($B5,CF_Gen_1[[#All],[Incurred]],0),0),0),0)</f>
        <v>0</v>
      </c>
      <c r="J5" s="27">
        <f>VLOOKUP(L5,ICG[#All],2,0)</f>
        <v>2024</v>
      </c>
      <c r="K5" s="27" t="str">
        <f>VLOOKUP(L5,ICG[#All],3,0)</f>
        <v>IC-Property</v>
      </c>
      <c r="L5" s="27" t="str">
        <f t="shared" si="2"/>
        <v>#2024#IC-Property</v>
      </c>
    </row>
    <row r="6" spans="1:12">
      <c r="A6" s="26">
        <f t="shared" si="0"/>
        <v>45930</v>
      </c>
      <c r="B6" s="26">
        <f t="shared" si="1"/>
        <v>46112</v>
      </c>
      <c r="C6" s="21">
        <f>IFERROR(HLOOKUP("Exp_Premium",CF_Gen_1[#All],MATCH($B6,CF_Gen_1[[#All],[Incurred]],0),0),0)</f>
        <v>-3169641454.2057605</v>
      </c>
      <c r="D6" s="22">
        <f>IF(AND($J6&lt;YEAR($A6),$B6&lt;=$A6),IFERROR(HLOOKUP("Actual_Premium",CF_Gen_1[#All],MATCH($B6,CF_Gen_1[[#All],[Incurred]],0),0),0),0)</f>
        <v>0</v>
      </c>
      <c r="E6" s="21">
        <f>-IFERROR(HLOOKUP("Exp_Claim",CF_Gen_1[#All],MATCH($B6,CF_Gen_1[[#All],[Incurred]],0),0),0)-IFERROR(HLOOKUP("Exp_NPR",CF_Gen_1[#All],MATCH($B6,CF_Gen_1[[#All],[Incurred]],0),0),0)</f>
        <v>744388118.40743804</v>
      </c>
      <c r="F6" s="21">
        <f>-IFERROR(HLOOKUP("Exp_RA",CF_Gen_1[#All],MATCH($B6,CF_Gen_1[[#All],[Incurred]],0),0),0)</f>
        <v>104214336.57704134</v>
      </c>
      <c r="G6" s="21">
        <f>-IFERROR(HLOOKUP("Exp_Expense",CF_Gen_1[#All],MATCH($B6,CF_Gen_1[[#All],[Incurred]],0),0),0)</f>
        <v>165626356.34565496</v>
      </c>
      <c r="H6" s="21">
        <f>-IFERROR(HLOOKUP("Exp_Commission",CF_Gen_1[#All],MATCH($B6,CF_Gen_1[[#All],[Incurred]],0),0),0)-IFERROR(HLOOKUP("Exp_Acquisition",CF_Gen_1[#All],MATCH($B6,CF_Gen_1[[#All],[Incurred]],0),0),0)</f>
        <v>-963651435.58814836</v>
      </c>
      <c r="I6" s="22">
        <f>IF(AND($J6&lt;YEAR($A6),$B6&lt;=$A6),-IFERROR(HLOOKUP("Actual_Commission",CF_Gen_1[#All],MATCH($B6,CF_Gen_1[[#All],[Incurred]],0),0),0)-IFERROR(HLOOKUP("Actual_Acquisition",CF_Gen_1[#All],MATCH($B6,CF_Gen_1[[#All],[Incurred]],0),0),0),0)</f>
        <v>0</v>
      </c>
      <c r="J6" s="27">
        <f>VLOOKUP(L6,ICG[#All],2,0)</f>
        <v>2024</v>
      </c>
      <c r="K6" s="27" t="str">
        <f>VLOOKUP(L6,ICG[#All],3,0)</f>
        <v>IC-Property</v>
      </c>
      <c r="L6" s="27" t="str">
        <f t="shared" si="2"/>
        <v>#2024#IC-Property</v>
      </c>
    </row>
    <row r="7" spans="1:12">
      <c r="A7" s="26">
        <f t="shared" si="0"/>
        <v>45930</v>
      </c>
      <c r="B7" s="26">
        <f t="shared" si="1"/>
        <v>46203</v>
      </c>
      <c r="C7" s="21">
        <f>IFERROR(HLOOKUP("Exp_Premium",CF_Gen_1[#All],MATCH($B7,CF_Gen_1[[#All],[Incurred]],0),0),0)</f>
        <v>-2882632592.0507064</v>
      </c>
      <c r="D7" s="22">
        <f>IF(AND($J7&lt;YEAR($A7),$B7&lt;=$A7),IFERROR(HLOOKUP("Actual_Premium",CF_Gen_1[#All],MATCH($B7,CF_Gen_1[[#All],[Incurred]],0),0),0),0)</f>
        <v>0</v>
      </c>
      <c r="E7" s="21">
        <f>-IFERROR(HLOOKUP("Exp_Claim",CF_Gen_1[#All],MATCH($B7,CF_Gen_1[[#All],[Incurred]],0),0),0)-IFERROR(HLOOKUP("Exp_NPR",CF_Gen_1[#All],MATCH($B7,CF_Gen_1[[#All],[Incurred]],0),0),0)</f>
        <v>684545967.43602431</v>
      </c>
      <c r="F7" s="21">
        <f>-IFERROR(HLOOKUP("Exp_RA",CF_Gen_1[#All],MATCH($B7,CF_Gen_1[[#All],[Incurred]],0),0),0)</f>
        <v>95836435.441043407</v>
      </c>
      <c r="G7" s="21">
        <f>-IFERROR(HLOOKUP("Exp_Expense",CF_Gen_1[#All],MATCH($B7,CF_Gen_1[[#All],[Incurred]],0),0),0)</f>
        <v>152311477.75451541</v>
      </c>
      <c r="H7" s="21">
        <f>-IFERROR(HLOOKUP("Exp_Commission",CF_Gen_1[#All],MATCH($B7,CF_Gen_1[[#All],[Incurred]],0),0),0)-IFERROR(HLOOKUP("Exp_Acquisition",CF_Gen_1[#All],MATCH($B7,CF_Gen_1[[#All],[Incurred]],0),0),0)</f>
        <v>-875956543.42812145</v>
      </c>
      <c r="I7" s="22">
        <f>IF(AND($J7&lt;YEAR($A7),$B7&lt;=$A7),-IFERROR(HLOOKUP("Actual_Commission",CF_Gen_1[#All],MATCH($B7,CF_Gen_1[[#All],[Incurred]],0),0),0)-IFERROR(HLOOKUP("Actual_Acquisition",CF_Gen_1[#All],MATCH($B7,CF_Gen_1[[#All],[Incurred]],0),0),0),0)</f>
        <v>0</v>
      </c>
      <c r="J7" s="27">
        <f>VLOOKUP(L7,ICG[#All],2,0)</f>
        <v>2024</v>
      </c>
      <c r="K7" s="27" t="str">
        <f>VLOOKUP(L7,ICG[#All],3,0)</f>
        <v>IC-Property</v>
      </c>
      <c r="L7" s="27" t="str">
        <f t="shared" si="2"/>
        <v>#2024#IC-Property</v>
      </c>
    </row>
    <row r="8" spans="1:12">
      <c r="A8" s="26">
        <f t="shared" si="0"/>
        <v>45930</v>
      </c>
      <c r="B8" s="26">
        <f t="shared" si="1"/>
        <v>46295</v>
      </c>
      <c r="C8" s="21">
        <f>IFERROR(HLOOKUP("Exp_Premium",CF_Gen_1[#All],MATCH($B8,CF_Gen_1[[#All],[Incurred]],0),0),0)</f>
        <v>-2620950538.4565043</v>
      </c>
      <c r="D8" s="22">
        <f>IF(AND($J8&lt;YEAR($A8),$B8&lt;=$A8),IFERROR(HLOOKUP("Actual_Premium",CF_Gen_1[#All],MATCH($B8,CF_Gen_1[[#All],[Incurred]],0),0),0),0)</f>
        <v>0</v>
      </c>
      <c r="E8" s="21">
        <f>-IFERROR(HLOOKUP("Exp_Claim",CF_Gen_1[#All],MATCH($B8,CF_Gen_1[[#All],[Incurred]],0),0),0)-IFERROR(HLOOKUP("Exp_NPR",CF_Gen_1[#All],MATCH($B8,CF_Gen_1[[#All],[Incurred]],0),0),0)</f>
        <v>629434215.82041228</v>
      </c>
      <c r="F8" s="21">
        <f>-IFERROR(HLOOKUP("Exp_RA",CF_Gen_1[#All],MATCH($B8,CF_Gen_1[[#All],[Incurred]],0),0),0)</f>
        <v>88120790.214857727</v>
      </c>
      <c r="G8" s="21">
        <f>-IFERROR(HLOOKUP("Exp_Expense",CF_Gen_1[#All],MATCH($B8,CF_Gen_1[[#All],[Incurred]],0),0),0)</f>
        <v>140049113.02004173</v>
      </c>
      <c r="H8" s="21">
        <f>-IFERROR(HLOOKUP("Exp_Commission",CF_Gen_1[#All],MATCH($B8,CF_Gen_1[[#All],[Incurred]],0),0),0)-IFERROR(HLOOKUP("Exp_Acquisition",CF_Gen_1[#All],MATCH($B8,CF_Gen_1[[#All],[Incurred]],0),0),0)</f>
        <v>-796032158.89328206</v>
      </c>
      <c r="I8" s="22">
        <f>IF(AND($J8&lt;YEAR($A8),$B8&lt;=$A8),-IFERROR(HLOOKUP("Actual_Commission",CF_Gen_1[#All],MATCH($B8,CF_Gen_1[[#All],[Incurred]],0),0),0)-IFERROR(HLOOKUP("Actual_Acquisition",CF_Gen_1[#All],MATCH($B8,CF_Gen_1[[#All],[Incurred]],0),0),0),0)</f>
        <v>0</v>
      </c>
      <c r="J8" s="27">
        <f>VLOOKUP(L8,ICG[#All],2,0)</f>
        <v>2024</v>
      </c>
      <c r="K8" s="27" t="str">
        <f>VLOOKUP(L8,ICG[#All],3,0)</f>
        <v>IC-Property</v>
      </c>
      <c r="L8" s="27" t="str">
        <f t="shared" si="2"/>
        <v>#2024#IC-Property</v>
      </c>
    </row>
    <row r="9" spans="1:12">
      <c r="A9" s="26">
        <f t="shared" si="0"/>
        <v>45930</v>
      </c>
      <c r="B9" s="26">
        <f t="shared" si="1"/>
        <v>46387</v>
      </c>
      <c r="C9" s="21">
        <f>IFERROR(HLOOKUP("Exp_Premium",CF_Gen_1[#All],MATCH($B9,CF_Gen_1[[#All],[Incurred]],0),0),0)</f>
        <v>-2382408506.8802633</v>
      </c>
      <c r="D9" s="22">
        <f>IF(AND($J9&lt;YEAR($A9),$B9&lt;=$A9),IFERROR(HLOOKUP("Actual_Premium",CF_Gen_1[#All],MATCH($B9,CF_Gen_1[[#All],[Incurred]],0),0),0),0)</f>
        <v>0</v>
      </c>
      <c r="E9" s="21">
        <f>-IFERROR(HLOOKUP("Exp_Claim",CF_Gen_1[#All],MATCH($B9,CF_Gen_1[[#All],[Incurred]],0),0),0)-IFERROR(HLOOKUP("Exp_NPR",CF_Gen_1[#All],MATCH($B9,CF_Gen_1[[#All],[Incurred]],0),0),0)</f>
        <v>578683834.19054925</v>
      </c>
      <c r="F9" s="21">
        <f>-IFERROR(HLOOKUP("Exp_RA",CF_Gen_1[#All],MATCH($B9,CF_Gen_1[[#All],[Incurred]],0),0),0)</f>
        <v>81015736.786676899</v>
      </c>
      <c r="G9" s="21">
        <f>-IFERROR(HLOOKUP("Exp_Expense",CF_Gen_1[#All],MATCH($B9,CF_Gen_1[[#All],[Incurred]],0),0),0)</f>
        <v>128757153.1073972</v>
      </c>
      <c r="H9" s="21">
        <f>-IFERROR(HLOOKUP("Exp_Commission",CF_Gen_1[#All],MATCH($B9,CF_Gen_1[[#All],[Incurred]],0),0),0)-IFERROR(HLOOKUP("Exp_Acquisition",CF_Gen_1[#All],MATCH($B9,CF_Gen_1[[#All],[Incurred]],0),0),0)</f>
        <v>-723205057.85468686</v>
      </c>
      <c r="I9" s="22">
        <f>IF(AND($J9&lt;YEAR($A9),$B9&lt;=$A9),-IFERROR(HLOOKUP("Actual_Commission",CF_Gen_1[#All],MATCH($B9,CF_Gen_1[[#All],[Incurred]],0),0),0)-IFERROR(HLOOKUP("Actual_Acquisition",CF_Gen_1[#All],MATCH($B9,CF_Gen_1[[#All],[Incurred]],0),0),0),0)</f>
        <v>0</v>
      </c>
      <c r="J9" s="27">
        <f>VLOOKUP(L9,ICG[#All],2,0)</f>
        <v>2024</v>
      </c>
      <c r="K9" s="27" t="str">
        <f>VLOOKUP(L9,ICG[#All],3,0)</f>
        <v>IC-Property</v>
      </c>
      <c r="L9" s="27" t="str">
        <f t="shared" si="2"/>
        <v>#2024#IC-Property</v>
      </c>
    </row>
    <row r="10" spans="1:12">
      <c r="A10" s="26">
        <f t="shared" si="0"/>
        <v>45930</v>
      </c>
      <c r="B10" s="26">
        <f t="shared" si="1"/>
        <v>46477</v>
      </c>
      <c r="C10" s="21">
        <f>IFERROR(HLOOKUP("Exp_Premium",CF_Gen_1[#All],MATCH($B10,CF_Gen_1[[#All],[Incurred]],0),0),0)</f>
        <v>-2165005075.9069715</v>
      </c>
      <c r="D10" s="22">
        <f>IF(AND($J10&lt;YEAR($A10),$B10&lt;=$A10),IFERROR(HLOOKUP("Actual_Premium",CF_Gen_1[#All],MATCH($B10,CF_Gen_1[[#All],[Incurred]],0),0),0),0)</f>
        <v>0</v>
      </c>
      <c r="E10" s="21">
        <f>-IFERROR(HLOOKUP("Exp_Claim",CF_Gen_1[#All],MATCH($B10,CF_Gen_1[[#All],[Incurred]],0),0),0)-IFERROR(HLOOKUP("Exp_NPR",CF_Gen_1[#All],MATCH($B10,CF_Gen_1[[#All],[Incurred]],0),0),0)</f>
        <v>531954278.33134723</v>
      </c>
      <c r="F10" s="21">
        <f>-IFERROR(HLOOKUP("Exp_RA",CF_Gen_1[#All],MATCH($B10,CF_Gen_1[[#All],[Incurred]],0),0),0)</f>
        <v>74473598.966388613</v>
      </c>
      <c r="G10" s="21">
        <f>-IFERROR(HLOOKUP("Exp_Expense",CF_Gen_1[#All],MATCH($B10,CF_Gen_1[[#All],[Incurred]],0),0),0)</f>
        <v>118359826.92872475</v>
      </c>
      <c r="H10" s="21">
        <f>-IFERROR(HLOOKUP("Exp_Commission",CF_Gen_1[#All],MATCH($B10,CF_Gen_1[[#All],[Incurred]],0),0),0)-IFERROR(HLOOKUP("Exp_Acquisition",CF_Gen_1[#All],MATCH($B10,CF_Gen_1[[#All],[Incurred]],0),0),0)</f>
        <v>-656859246.13639104</v>
      </c>
      <c r="I10" s="22">
        <f>IF(AND($J10&lt;YEAR($A10),$B10&lt;=$A10),-IFERROR(HLOOKUP("Actual_Commission",CF_Gen_1[#All],MATCH($B10,CF_Gen_1[[#All],[Incurred]],0),0),0)-IFERROR(HLOOKUP("Actual_Acquisition",CF_Gen_1[#All],MATCH($B10,CF_Gen_1[[#All],[Incurred]],0),0),0),0)</f>
        <v>0</v>
      </c>
      <c r="J10" s="27">
        <f>VLOOKUP(L10,ICG[#All],2,0)</f>
        <v>2024</v>
      </c>
      <c r="K10" s="27" t="str">
        <f>VLOOKUP(L10,ICG[#All],3,0)</f>
        <v>IC-Property</v>
      </c>
      <c r="L10" s="27" t="str">
        <f t="shared" si="2"/>
        <v>#2024#IC-Property</v>
      </c>
    </row>
    <row r="11" spans="1:12">
      <c r="A11" s="26">
        <f t="shared" si="0"/>
        <v>45930</v>
      </c>
      <c r="B11" s="26">
        <f t="shared" si="1"/>
        <v>46568</v>
      </c>
      <c r="C11" s="21">
        <f>IFERROR(HLOOKUP("Exp_Premium",CF_Gen_1[#All],MATCH($B11,CF_Gen_1[[#All],[Incurred]],0),0),0)</f>
        <v>-1966908721.2394903</v>
      </c>
      <c r="D11" s="22">
        <f>IF(AND($J11&lt;YEAR($A11),$B11&lt;=$A11),IFERROR(HLOOKUP("Actual_Premium",CF_Gen_1[#All],MATCH($B11,CF_Gen_1[[#All],[Incurred]],0),0),0),0)</f>
        <v>0</v>
      </c>
      <c r="E11" s="21">
        <f>-IFERROR(HLOOKUP("Exp_Claim",CF_Gen_1[#All],MATCH($B11,CF_Gen_1[[#All],[Incurred]],0),0),0)-IFERROR(HLOOKUP("Exp_NPR",CF_Gen_1[#All],MATCH($B11,CF_Gen_1[[#All],[Incurred]],0),0),0)</f>
        <v>488931309.5048995</v>
      </c>
      <c r="F11" s="21">
        <f>-IFERROR(HLOOKUP("Exp_RA",CF_Gen_1[#All],MATCH($B11,CF_Gen_1[[#All],[Incurred]],0),0),0)</f>
        <v>68450383.330685943</v>
      </c>
      <c r="G11" s="21">
        <f>-IFERROR(HLOOKUP("Exp_Expense",CF_Gen_1[#All],MATCH($B11,CF_Gen_1[[#All],[Incurred]],0),0),0)</f>
        <v>108787216.36484015</v>
      </c>
      <c r="H11" s="21">
        <f>-IFERROR(HLOOKUP("Exp_Commission",CF_Gen_1[#All],MATCH($B11,CF_Gen_1[[#All],[Incurred]],0),0),0)-IFERROR(HLOOKUP("Exp_Acquisition",CF_Gen_1[#All],MATCH($B11,CF_Gen_1[[#All],[Incurred]],0),0),0)</f>
        <v>-596431172.33589864</v>
      </c>
      <c r="I11" s="22">
        <f>IF(AND($J11&lt;YEAR($A11),$B11&lt;=$A11),-IFERROR(HLOOKUP("Actual_Commission",CF_Gen_1[#All],MATCH($B11,CF_Gen_1[[#All],[Incurred]],0),0),0)-IFERROR(HLOOKUP("Actual_Acquisition",CF_Gen_1[#All],MATCH($B11,CF_Gen_1[[#All],[Incurred]],0),0),0),0)</f>
        <v>0</v>
      </c>
      <c r="J11" s="27">
        <f>VLOOKUP(L11,ICG[#All],2,0)</f>
        <v>2024</v>
      </c>
      <c r="K11" s="27" t="str">
        <f>VLOOKUP(L11,ICG[#All],3,0)</f>
        <v>IC-Property</v>
      </c>
      <c r="L11" s="27" t="str">
        <f t="shared" si="2"/>
        <v>#2024#IC-Property</v>
      </c>
    </row>
    <row r="12" spans="1:12">
      <c r="A12" s="26">
        <f t="shared" si="0"/>
        <v>45930</v>
      </c>
      <c r="B12" s="26">
        <f t="shared" si="1"/>
        <v>46660</v>
      </c>
      <c r="C12" s="21">
        <f>IFERROR(HLOOKUP("Exp_Premium",CF_Gen_1[#All],MATCH($B12,CF_Gen_1[[#All],[Incurred]],0),0),0)</f>
        <v>-1786443621.1710474</v>
      </c>
      <c r="D12" s="22">
        <f>IF(AND($J12&lt;YEAR($A12),$B12&lt;=$A12),IFERROR(HLOOKUP("Actual_Premium",CF_Gen_1[#All],MATCH($B12,CF_Gen_1[[#All],[Incurred]],0),0),0),0)</f>
        <v>0</v>
      </c>
      <c r="E12" s="21">
        <f>-IFERROR(HLOOKUP("Exp_Claim",CF_Gen_1[#All],MATCH($B12,CF_Gen_1[[#All],[Incurred]],0),0),0)-IFERROR(HLOOKUP("Exp_NPR",CF_Gen_1[#All],MATCH($B12,CF_Gen_1[[#All],[Incurred]],0),0),0)</f>
        <v>449324980.35033095</v>
      </c>
      <c r="F12" s="21">
        <f>-IFERROR(HLOOKUP("Exp_RA",CF_Gen_1[#All],MATCH($B12,CF_Gen_1[[#All],[Incurred]],0),0),0)</f>
        <v>62905497.249046341</v>
      </c>
      <c r="G12" s="21">
        <f>-IFERROR(HLOOKUP("Exp_Expense",CF_Gen_1[#All],MATCH($B12,CF_Gen_1[[#All],[Incurred]],0),0),0)</f>
        <v>99974808.127948642</v>
      </c>
      <c r="H12" s="21">
        <f>-IFERROR(HLOOKUP("Exp_Commission",CF_Gen_1[#All],MATCH($B12,CF_Gen_1[[#All],[Incurred]],0),0),0)-IFERROR(HLOOKUP("Exp_Acquisition",CF_Gen_1[#All],MATCH($B12,CF_Gen_1[[#All],[Incurred]],0),0),0)</f>
        <v>-541405335.58788562</v>
      </c>
      <c r="I12" s="22">
        <f>IF(AND($J12&lt;YEAR($A12),$B12&lt;=$A12),-IFERROR(HLOOKUP("Actual_Commission",CF_Gen_1[#All],MATCH($B12,CF_Gen_1[[#All],[Incurred]],0),0),0)-IFERROR(HLOOKUP("Actual_Acquisition",CF_Gen_1[#All],MATCH($B12,CF_Gen_1[[#All],[Incurred]],0),0),0),0)</f>
        <v>0</v>
      </c>
      <c r="J12" s="27">
        <f>VLOOKUP(L12,ICG[#All],2,0)</f>
        <v>2024</v>
      </c>
      <c r="K12" s="27" t="str">
        <f>VLOOKUP(L12,ICG[#All],3,0)</f>
        <v>IC-Property</v>
      </c>
      <c r="L12" s="27" t="str">
        <f t="shared" si="2"/>
        <v>#2024#IC-Property</v>
      </c>
    </row>
    <row r="13" spans="1:12">
      <c r="A13" s="26">
        <f t="shared" si="0"/>
        <v>45930</v>
      </c>
      <c r="B13" s="26">
        <f t="shared" si="1"/>
        <v>46752</v>
      </c>
      <c r="C13" s="21">
        <f>IFERROR(HLOOKUP("Exp_Premium",CF_Gen_1[#All],MATCH($B13,CF_Gen_1[[#All],[Incurred]],0),0),0)</f>
        <v>-1622076631.9084196</v>
      </c>
      <c r="D13" s="22">
        <f>IF(AND($J13&lt;YEAR($A13),$B13&lt;=$A13),IFERROR(HLOOKUP("Actual_Premium",CF_Gen_1[#All],MATCH($B13,CF_Gen_1[[#All],[Incurred]],0),0),0),0)</f>
        <v>0</v>
      </c>
      <c r="E13" s="21">
        <f>-IFERROR(HLOOKUP("Exp_Claim",CF_Gen_1[#All],MATCH($B13,CF_Gen_1[[#All],[Incurred]],0),0),0)-IFERROR(HLOOKUP("Exp_NPR",CF_Gen_1[#All],MATCH($B13,CF_Gen_1[[#All],[Incurred]],0),0),0)</f>
        <v>412867773.86082804</v>
      </c>
      <c r="F13" s="21">
        <f>-IFERROR(HLOOKUP("Exp_RA",CF_Gen_1[#All],MATCH($B13,CF_Gen_1[[#All],[Incurred]],0),0),0)</f>
        <v>57801488.340515934</v>
      </c>
      <c r="G13" s="21">
        <f>-IFERROR(HLOOKUP("Exp_Expense",CF_Gen_1[#All],MATCH($B13,CF_Gen_1[[#All],[Incurred]],0),0),0)</f>
        <v>91863079.684034228</v>
      </c>
      <c r="H13" s="21">
        <f>-IFERROR(HLOOKUP("Exp_Commission",CF_Gen_1[#All],MATCH($B13,CF_Gen_1[[#All],[Incurred]],0),0),0)-IFERROR(HLOOKUP("Exp_Acquisition",CF_Gen_1[#All],MATCH($B13,CF_Gen_1[[#All],[Incurred]],0),0),0)</f>
        <v>-491310256.07477373</v>
      </c>
      <c r="I13" s="22">
        <f>IF(AND($J13&lt;YEAR($A13),$B13&lt;=$A13),-IFERROR(HLOOKUP("Actual_Commission",CF_Gen_1[#All],MATCH($B13,CF_Gen_1[[#All],[Incurred]],0),0),0)-IFERROR(HLOOKUP("Actual_Acquisition",CF_Gen_1[#All],MATCH($B13,CF_Gen_1[[#All],[Incurred]],0),0),0),0)</f>
        <v>0</v>
      </c>
      <c r="J13" s="27">
        <f>VLOOKUP(L13,ICG[#All],2,0)</f>
        <v>2024</v>
      </c>
      <c r="K13" s="27" t="str">
        <f>VLOOKUP(L13,ICG[#All],3,0)</f>
        <v>IC-Property</v>
      </c>
      <c r="L13" s="27" t="str">
        <f t="shared" si="2"/>
        <v>#2024#IC-Property</v>
      </c>
    </row>
    <row r="14" spans="1:12">
      <c r="A14" s="26">
        <f t="shared" si="0"/>
        <v>45930</v>
      </c>
      <c r="B14" s="26">
        <f t="shared" si="1"/>
        <v>46843</v>
      </c>
      <c r="C14" s="21">
        <f>IFERROR(HLOOKUP("Exp_Premium",CF_Gen_1[#All],MATCH($B14,CF_Gen_1[[#All],[Incurred]],0),0),0)</f>
        <v>-1472405337.4620078</v>
      </c>
      <c r="D14" s="22">
        <f>IF(AND($J14&lt;YEAR($A14),$B14&lt;=$A14),IFERROR(HLOOKUP("Actual_Premium",CF_Gen_1[#All],MATCH($B14,CF_Gen_1[[#All],[Incurred]],0),0),0),0)</f>
        <v>0</v>
      </c>
      <c r="E14" s="21">
        <f>-IFERROR(HLOOKUP("Exp_Claim",CF_Gen_1[#All],MATCH($B14,CF_Gen_1[[#All],[Incurred]],0),0),0)-IFERROR(HLOOKUP("Exp_NPR",CF_Gen_1[#All],MATCH($B14,CF_Gen_1[[#All],[Incurred]],0),0),0)</f>
        <v>379312883.87613893</v>
      </c>
      <c r="F14" s="21">
        <f>-IFERROR(HLOOKUP("Exp_RA",CF_Gen_1[#All],MATCH($B14,CF_Gen_1[[#All],[Incurred]],0),0),0)</f>
        <v>53103803.742659457</v>
      </c>
      <c r="G14" s="21">
        <f>-IFERROR(HLOOKUP("Exp_Expense",CF_Gen_1[#All],MATCH($B14,CF_Gen_1[[#All],[Incurred]],0),0),0)</f>
        <v>84397116.662440896</v>
      </c>
      <c r="H14" s="21">
        <f>-IFERROR(HLOOKUP("Exp_Commission",CF_Gen_1[#All],MATCH($B14,CF_Gen_1[[#All],[Incurred]],0),0),0)-IFERROR(HLOOKUP("Exp_Acquisition",CF_Gen_1[#All],MATCH($B14,CF_Gen_1[[#All],[Incurred]],0),0),0)</f>
        <v>-445714778.68531847</v>
      </c>
      <c r="I14" s="22">
        <f>IF(AND($J14&lt;YEAR($A14),$B14&lt;=$A14),-IFERROR(HLOOKUP("Actual_Commission",CF_Gen_1[#All],MATCH($B14,CF_Gen_1[[#All],[Incurred]],0),0),0)-IFERROR(HLOOKUP("Actual_Acquisition",CF_Gen_1[#All],MATCH($B14,CF_Gen_1[[#All],[Incurred]],0),0),0),0)</f>
        <v>0</v>
      </c>
      <c r="J14" s="27">
        <f>VLOOKUP(L14,ICG[#All],2,0)</f>
        <v>2024</v>
      </c>
      <c r="K14" s="27" t="str">
        <f>VLOOKUP(L14,ICG[#All],3,0)</f>
        <v>IC-Property</v>
      </c>
      <c r="L14" s="27" t="str">
        <f t="shared" si="2"/>
        <v>#2024#IC-Property</v>
      </c>
    </row>
    <row r="15" spans="1:12">
      <c r="A15" s="26">
        <f t="shared" si="0"/>
        <v>45930</v>
      </c>
      <c r="B15" s="26">
        <f t="shared" si="1"/>
        <v>46934</v>
      </c>
      <c r="C15" s="21">
        <f>IFERROR(HLOOKUP("Exp_Premium",CF_Gen_1[#All],MATCH($B15,CF_Gen_1[[#All],[Incurred]],0),0),0)</f>
        <v>-1336147086.5005052</v>
      </c>
      <c r="D15" s="22">
        <f>IF(AND($J15&lt;YEAR($A15),$B15&lt;=$A15),IFERROR(HLOOKUP("Actual_Premium",CF_Gen_1[#All],MATCH($B15,CF_Gen_1[[#All],[Incurred]],0),0),0),0)</f>
        <v>0</v>
      </c>
      <c r="E15" s="21">
        <f>-IFERROR(HLOOKUP("Exp_Claim",CF_Gen_1[#All],MATCH($B15,CF_Gen_1[[#All],[Incurred]],0),0),0)-IFERROR(HLOOKUP("Exp_NPR",CF_Gen_1[#All],MATCH($B15,CF_Gen_1[[#All],[Incurred]],0),0),0)</f>
        <v>348432626.39738822</v>
      </c>
      <c r="F15" s="21">
        <f>-IFERROR(HLOOKUP("Exp_RA",CF_Gen_1[#All],MATCH($B15,CF_Gen_1[[#All],[Incurred]],0),0),0)</f>
        <v>48780567.695634358</v>
      </c>
      <c r="G15" s="21">
        <f>-IFERROR(HLOOKUP("Exp_Expense",CF_Gen_1[#All],MATCH($B15,CF_Gen_1[[#All],[Incurred]],0),0),0)</f>
        <v>77526259.373418868</v>
      </c>
      <c r="H15" s="21">
        <f>-IFERROR(HLOOKUP("Exp_Commission",CF_Gen_1[#All],MATCH($B15,CF_Gen_1[[#All],[Incurred]],0),0),0)-IFERROR(HLOOKUP("Exp_Acquisition",CF_Gen_1[#All],MATCH($B15,CF_Gen_1[[#All],[Incurred]],0),0),0)</f>
        <v>-404224682.61228788</v>
      </c>
      <c r="I15" s="22">
        <f>IF(AND($J15&lt;YEAR($A15),$B15&lt;=$A15),-IFERROR(HLOOKUP("Actual_Commission",CF_Gen_1[#All],MATCH($B15,CF_Gen_1[[#All],[Incurred]],0),0),0)-IFERROR(HLOOKUP("Actual_Acquisition",CF_Gen_1[#All],MATCH($B15,CF_Gen_1[[#All],[Incurred]],0),0),0),0)</f>
        <v>0</v>
      </c>
      <c r="J15" s="27">
        <f>VLOOKUP(L15,ICG[#All],2,0)</f>
        <v>2024</v>
      </c>
      <c r="K15" s="27" t="str">
        <f>VLOOKUP(L15,ICG[#All],3,0)</f>
        <v>IC-Property</v>
      </c>
      <c r="L15" s="27" t="str">
        <f t="shared" si="2"/>
        <v>#2024#IC-Property</v>
      </c>
    </row>
    <row r="16" spans="1:12">
      <c r="A16" s="26">
        <f t="shared" si="0"/>
        <v>45930</v>
      </c>
      <c r="B16" s="26">
        <f t="shared" si="1"/>
        <v>47026</v>
      </c>
      <c r="C16" s="21">
        <f>IFERROR(HLOOKUP("Exp_Premium",CF_Gen_1[#All],MATCH($B16,CF_Gen_1[[#All],[Incurred]],0),0),0)</f>
        <v>-1212128935.6356981</v>
      </c>
      <c r="D16" s="22">
        <f>IF(AND($J16&lt;YEAR($A16),$B16&lt;=$A16),IFERROR(HLOOKUP("Actual_Premium",CF_Gen_1[#All],MATCH($B16,CF_Gen_1[[#All],[Incurred]],0),0),0),0)</f>
        <v>0</v>
      </c>
      <c r="E16" s="21">
        <f>-IFERROR(HLOOKUP("Exp_Claim",CF_Gen_1[#All],MATCH($B16,CF_Gen_1[[#All],[Incurred]],0),0),0)-IFERROR(HLOOKUP("Exp_NPR",CF_Gen_1[#All],MATCH($B16,CF_Gen_1[[#All],[Incurred]],0),0),0)</f>
        <v>320016971.83466953</v>
      </c>
      <c r="F16" s="21">
        <f>-IFERROR(HLOOKUP("Exp_RA",CF_Gen_1[#All],MATCH($B16,CF_Gen_1[[#All],[Incurred]],0),0),0)</f>
        <v>44802376.056853741</v>
      </c>
      <c r="G16" s="21">
        <f>-IFERROR(HLOOKUP("Exp_Expense",CF_Gen_1[#All],MATCH($B16,CF_Gen_1[[#All],[Incurred]],0),0),0)</f>
        <v>71203776.233213961</v>
      </c>
      <c r="H16" s="21">
        <f>-IFERROR(HLOOKUP("Exp_Commission",CF_Gen_1[#All],MATCH($B16,CF_Gen_1[[#All],[Incurred]],0),0),0)-IFERROR(HLOOKUP("Exp_Acquisition",CF_Gen_1[#All],MATCH($B16,CF_Gen_1[[#All],[Incurred]],0),0),0)</f>
        <v>-366479571.87902427</v>
      </c>
      <c r="I16" s="22">
        <f>IF(AND($J16&lt;YEAR($A16),$B16&lt;=$A16),-IFERROR(HLOOKUP("Actual_Commission",CF_Gen_1[#All],MATCH($B16,CF_Gen_1[[#All],[Incurred]],0),0),0)-IFERROR(HLOOKUP("Actual_Acquisition",CF_Gen_1[#All],MATCH($B16,CF_Gen_1[[#All],[Incurred]],0),0),0),0)</f>
        <v>0</v>
      </c>
      <c r="J16" s="27">
        <f>VLOOKUP(L16,ICG[#All],2,0)</f>
        <v>2024</v>
      </c>
      <c r="K16" s="27" t="str">
        <f>VLOOKUP(L16,ICG[#All],3,0)</f>
        <v>IC-Property</v>
      </c>
      <c r="L16" s="27" t="str">
        <f t="shared" si="2"/>
        <v>#2024#IC-Property</v>
      </c>
    </row>
    <row r="17" spans="1:12">
      <c r="A17" s="26">
        <f t="shared" si="0"/>
        <v>45930</v>
      </c>
      <c r="B17" s="26">
        <f t="shared" si="1"/>
        <v>47118</v>
      </c>
      <c r="C17" s="21">
        <f>IFERROR(HLOOKUP("Exp_Premium",CF_Gen_1[#All],MATCH($B17,CF_Gen_1[[#All],[Incurred]],0),0),0)</f>
        <v>-1099278425.1056654</v>
      </c>
      <c r="D17" s="22">
        <f>IF(AND($J17&lt;YEAR($A17),$B17&lt;=$A17),IFERROR(HLOOKUP("Actual_Premium",CF_Gen_1[#All],MATCH($B17,CF_Gen_1[[#All],[Incurred]],0),0),0),0)</f>
        <v>0</v>
      </c>
      <c r="E17" s="21">
        <f>-IFERROR(HLOOKUP("Exp_Claim",CF_Gen_1[#All],MATCH($B17,CF_Gen_1[[#All],[Incurred]],0),0),0)-IFERROR(HLOOKUP("Exp_NPR",CF_Gen_1[#All],MATCH($B17,CF_Gen_1[[#All],[Incurred]],0),0),0)</f>
        <v>293872189.04138434</v>
      </c>
      <c r="F17" s="21">
        <f>-IFERROR(HLOOKUP("Exp_RA",CF_Gen_1[#All],MATCH($B17,CF_Gen_1[[#All],[Incurred]],0),0),0)</f>
        <v>41142106.465793811</v>
      </c>
      <c r="G17" s="21">
        <f>-IFERROR(HLOOKUP("Exp_Expense",CF_Gen_1[#All],MATCH($B17,CF_Gen_1[[#All],[Incurred]],0),0),0)</f>
        <v>65386562.061708011</v>
      </c>
      <c r="H17" s="21">
        <f>-IFERROR(HLOOKUP("Exp_Commission",CF_Gen_1[#All],MATCH($B17,CF_Gen_1[[#All],[Incurred]],0),0),0)-IFERROR(HLOOKUP("Exp_Acquisition",CF_Gen_1[#All],MATCH($B17,CF_Gen_1[[#All],[Incurred]],0),0),0)</f>
        <v>-332150023.80736095</v>
      </c>
      <c r="I17" s="22">
        <f>IF(AND($J17&lt;YEAR($A17),$B17&lt;=$A17),-IFERROR(HLOOKUP("Actual_Commission",CF_Gen_1[#All],MATCH($B17,CF_Gen_1[[#All],[Incurred]],0),0),0)-IFERROR(HLOOKUP("Actual_Acquisition",CF_Gen_1[#All],MATCH($B17,CF_Gen_1[[#All],[Incurred]],0),0),0),0)</f>
        <v>0</v>
      </c>
      <c r="J17" s="27">
        <f>VLOOKUP(L17,ICG[#All],2,0)</f>
        <v>2024</v>
      </c>
      <c r="K17" s="27" t="str">
        <f>VLOOKUP(L17,ICG[#All],3,0)</f>
        <v>IC-Property</v>
      </c>
      <c r="L17" s="27" t="str">
        <f t="shared" si="2"/>
        <v>#2024#IC-Property</v>
      </c>
    </row>
    <row r="18" spans="1:12">
      <c r="A18" s="26">
        <f t="shared" si="0"/>
        <v>45930</v>
      </c>
      <c r="B18" s="26">
        <f t="shared" si="1"/>
        <v>47208</v>
      </c>
      <c r="C18" s="21">
        <f>IFERROR(HLOOKUP("Exp_Premium",CF_Gen_1[#All],MATCH($B18,CF_Gen_1[[#All],[Incurred]],0),0),0)</f>
        <v>-996615118.80714786</v>
      </c>
      <c r="D18" s="22">
        <f>IF(AND($J18&lt;YEAR($A18),$B18&lt;=$A18),IFERROR(HLOOKUP("Actual_Premium",CF_Gen_1[#All],MATCH($B18,CF_Gen_1[[#All],[Incurred]],0),0),0),0)</f>
        <v>0</v>
      </c>
      <c r="E18" s="21">
        <f>-IFERROR(HLOOKUP("Exp_Claim",CF_Gen_1[#All],MATCH($B18,CF_Gen_1[[#All],[Incurred]],0),0),0)-IFERROR(HLOOKUP("Exp_NPR",CF_Gen_1[#All],MATCH($B18,CF_Gen_1[[#All],[Incurred]],0),0),0)</f>
        <v>269819592.67716902</v>
      </c>
      <c r="F18" s="21">
        <f>-IFERROR(HLOOKUP("Exp_RA",CF_Gen_1[#All],MATCH($B18,CF_Gen_1[[#All],[Incurred]],0),0),0)</f>
        <v>37774742.974803664</v>
      </c>
      <c r="G18" s="21">
        <f>-IFERROR(HLOOKUP("Exp_Expense",CF_Gen_1[#All],MATCH($B18,CF_Gen_1[[#All],[Incurred]],0),0),0)</f>
        <v>60034859.37067011</v>
      </c>
      <c r="H18" s="21">
        <f>-IFERROR(HLOOKUP("Exp_Commission",CF_Gen_1[#All],MATCH($B18,CF_Gen_1[[#All],[Incurred]],0),0),0)-IFERROR(HLOOKUP("Exp_Acquisition",CF_Gen_1[#All],MATCH($B18,CF_Gen_1[[#All],[Incurred]],0),0),0)</f>
        <v>-300934974.30000484</v>
      </c>
      <c r="I18" s="22">
        <f>IF(AND($J18&lt;YEAR($A18),$B18&lt;=$A18),-IFERROR(HLOOKUP("Actual_Commission",CF_Gen_1[#All],MATCH($B18,CF_Gen_1[[#All],[Incurred]],0),0),0)-IFERROR(HLOOKUP("Actual_Acquisition",CF_Gen_1[#All],MATCH($B18,CF_Gen_1[[#All],[Incurred]],0),0),0),0)</f>
        <v>0</v>
      </c>
      <c r="J18" s="27">
        <f>VLOOKUP(L18,ICG[#All],2,0)</f>
        <v>2024</v>
      </c>
      <c r="K18" s="27" t="str">
        <f>VLOOKUP(L18,ICG[#All],3,0)</f>
        <v>IC-Property</v>
      </c>
      <c r="L18" s="27" t="str">
        <f t="shared" si="2"/>
        <v>#2024#IC-Property</v>
      </c>
    </row>
    <row r="19" spans="1:12">
      <c r="A19" s="26">
        <f t="shared" si="0"/>
        <v>45930</v>
      </c>
      <c r="B19" s="26">
        <f t="shared" si="1"/>
        <v>47299</v>
      </c>
      <c r="C19" s="21">
        <f>IFERROR(HLOOKUP("Exp_Premium",CF_Gen_1[#All],MATCH($B19,CF_Gen_1[[#All],[Incurred]],0),0),0)</f>
        <v>-903242846.13139486</v>
      </c>
      <c r="D19" s="22">
        <f>IF(AND($J19&lt;YEAR($A19),$B19&lt;=$A19),IFERROR(HLOOKUP("Actual_Premium",CF_Gen_1[#All],MATCH($B19,CF_Gen_1[[#All],[Incurred]],0),0),0),0)</f>
        <v>0</v>
      </c>
      <c r="E19" s="21">
        <f>-IFERROR(HLOOKUP("Exp_Claim",CF_Gen_1[#All],MATCH($B19,CF_Gen_1[[#All],[Incurred]],0),0),0)-IFERROR(HLOOKUP("Exp_NPR",CF_Gen_1[#All],MATCH($B19,CF_Gen_1[[#All],[Incurred]],0),0),0)</f>
        <v>247694386.07764122</v>
      </c>
      <c r="F19" s="21">
        <f>-IFERROR(HLOOKUP("Exp_RA",CF_Gen_1[#All],MATCH($B19,CF_Gen_1[[#All],[Incurred]],0),0),0)</f>
        <v>34677214.05086977</v>
      </c>
      <c r="G19" s="21">
        <f>-IFERROR(HLOOKUP("Exp_Expense",CF_Gen_1[#All],MATCH($B19,CF_Gen_1[[#All],[Incurred]],0),0),0)</f>
        <v>55112000.902275167</v>
      </c>
      <c r="H19" s="21">
        <f>-IFERROR(HLOOKUP("Exp_Commission",CF_Gen_1[#All],MATCH($B19,CF_Gen_1[[#All],[Incurred]],0),0),0)-IFERROR(HLOOKUP("Exp_Acquisition",CF_Gen_1[#All],MATCH($B19,CF_Gen_1[[#All],[Incurred]],0),0),0)</f>
        <v>-272559320.52195042</v>
      </c>
      <c r="I19" s="22">
        <f>IF(AND($J19&lt;YEAR($A19),$B19&lt;=$A19),-IFERROR(HLOOKUP("Actual_Commission",CF_Gen_1[#All],MATCH($B19,CF_Gen_1[[#All],[Incurred]],0),0),0)-IFERROR(HLOOKUP("Actual_Acquisition",CF_Gen_1[#All],MATCH($B19,CF_Gen_1[[#All],[Incurred]],0),0),0),0)</f>
        <v>0</v>
      </c>
      <c r="J19" s="27">
        <f>VLOOKUP(L19,ICG[#All],2,0)</f>
        <v>2024</v>
      </c>
      <c r="K19" s="27" t="str">
        <f>VLOOKUP(L19,ICG[#All],3,0)</f>
        <v>IC-Property</v>
      </c>
      <c r="L19" s="27" t="str">
        <f t="shared" si="2"/>
        <v>#2024#IC-Property</v>
      </c>
    </row>
    <row r="20" spans="1:12">
      <c r="A20" s="26">
        <f t="shared" si="0"/>
        <v>45930</v>
      </c>
      <c r="B20" s="26">
        <f t="shared" si="1"/>
        <v>47391</v>
      </c>
      <c r="C20" s="21">
        <f>IFERROR(HLOOKUP("Exp_Premium",CF_Gen_1[#All],MATCH($B20,CF_Gen_1[[#All],[Incurred]],0),0),0)</f>
        <v>-818342588.12040365</v>
      </c>
      <c r="D20" s="22">
        <f>IF(AND($J20&lt;YEAR($A20),$B20&lt;=$A20),IFERROR(HLOOKUP("Actual_Premium",CF_Gen_1[#All],MATCH($B20,CF_Gen_1[[#All],[Incurred]],0),0),0),0)</f>
        <v>0</v>
      </c>
      <c r="E20" s="21">
        <f>-IFERROR(HLOOKUP("Exp_Claim",CF_Gen_1[#All],MATCH($B20,CF_Gen_1[[#All],[Incurred]],0),0),0)-IFERROR(HLOOKUP("Exp_NPR",CF_Gen_1[#All],MATCH($B20,CF_Gen_1[[#All],[Incurred]],0),0),0)</f>
        <v>227344592.39792901</v>
      </c>
      <c r="F20" s="21">
        <f>-IFERROR(HLOOKUP("Exp_RA",CF_Gen_1[#All],MATCH($B20,CF_Gen_1[[#All],[Incurred]],0),0),0)</f>
        <v>31828242.935710065</v>
      </c>
      <c r="G20" s="21">
        <f>-IFERROR(HLOOKUP("Exp_Expense",CF_Gen_1[#All],MATCH($B20,CF_Gen_1[[#All],[Incurred]],0),0),0)</f>
        <v>50584171.808539204</v>
      </c>
      <c r="H20" s="21">
        <f>-IFERROR(HLOOKUP("Exp_Commission",CF_Gen_1[#All],MATCH($B20,CF_Gen_1[[#All],[Incurred]],0),0),0)-IFERROR(HLOOKUP("Exp_Acquisition",CF_Gen_1[#All],MATCH($B20,CF_Gen_1[[#All],[Incurred]],0),0),0)</f>
        <v>-246771723.1396364</v>
      </c>
      <c r="I20" s="22">
        <f>IF(AND($J20&lt;YEAR($A20),$B20&lt;=$A20),-IFERROR(HLOOKUP("Actual_Commission",CF_Gen_1[#All],MATCH($B20,CF_Gen_1[[#All],[Incurred]],0),0),0)-IFERROR(HLOOKUP("Actual_Acquisition",CF_Gen_1[#All],MATCH($B20,CF_Gen_1[[#All],[Incurred]],0),0),0),0)</f>
        <v>0</v>
      </c>
      <c r="J20" s="27">
        <f>VLOOKUP(L20,ICG[#All],2,0)</f>
        <v>2024</v>
      </c>
      <c r="K20" s="27" t="str">
        <f>VLOOKUP(L20,ICG[#All],3,0)</f>
        <v>IC-Property</v>
      </c>
      <c r="L20" s="27" t="str">
        <f t="shared" si="2"/>
        <v>#2024#IC-Property</v>
      </c>
    </row>
    <row r="21" spans="1:12">
      <c r="A21" s="26">
        <f t="shared" si="0"/>
        <v>45930</v>
      </c>
      <c r="B21" s="26">
        <f t="shared" si="1"/>
        <v>47483</v>
      </c>
      <c r="C21" s="21">
        <f>IFERROR(HLOOKUP("Exp_Premium",CF_Gen_1[#All],MATCH($B21,CF_Gen_1[[#All],[Incurred]],0),0),0)</f>
        <v>-741165955.11715639</v>
      </c>
      <c r="D21" s="22">
        <f>IF(AND($J21&lt;YEAR($A21),$B21&lt;=$A21),IFERROR(HLOOKUP("Actual_Premium",CF_Gen_1[#All],MATCH($B21,CF_Gen_1[[#All],[Incurred]],0),0),0),0)</f>
        <v>0</v>
      </c>
      <c r="E21" s="21">
        <f>-IFERROR(HLOOKUP("Exp_Claim",CF_Gen_1[#All],MATCH($B21,CF_Gen_1[[#All],[Incurred]],0),0),0)-IFERROR(HLOOKUP("Exp_NPR",CF_Gen_1[#All],MATCH($B21,CF_Gen_1[[#All],[Incurred]],0),0),0)</f>
        <v>208630067.34159613</v>
      </c>
      <c r="F21" s="21">
        <f>-IFERROR(HLOOKUP("Exp_RA",CF_Gen_1[#All],MATCH($B21,CF_Gen_1[[#All],[Incurred]],0),0),0)</f>
        <v>29208209.427823462</v>
      </c>
      <c r="G21" s="21">
        <f>-IFERROR(HLOOKUP("Exp_Expense",CF_Gen_1[#All],MATCH($B21,CF_Gen_1[[#All],[Incurred]],0),0),0)</f>
        <v>46420189.983505137</v>
      </c>
      <c r="H21" s="21">
        <f>-IFERROR(HLOOKUP("Exp_Commission",CF_Gen_1[#All],MATCH($B21,CF_Gen_1[[#All],[Incurred]],0),0),0)-IFERROR(HLOOKUP("Exp_Acquisition",CF_Gen_1[#All],MATCH($B21,CF_Gen_1[[#All],[Incurred]],0),0),0)</f>
        <v>-223342591.72431001</v>
      </c>
      <c r="I21" s="22">
        <f>IF(AND($J21&lt;YEAR($A21),$B21&lt;=$A21),-IFERROR(HLOOKUP("Actual_Commission",CF_Gen_1[#All],MATCH($B21,CF_Gen_1[[#All],[Incurred]],0),0),0)-IFERROR(HLOOKUP("Actual_Acquisition",CF_Gen_1[#All],MATCH($B21,CF_Gen_1[[#All],[Incurred]],0),0),0),0)</f>
        <v>0</v>
      </c>
      <c r="J21" s="27">
        <f>VLOOKUP(L21,ICG[#All],2,0)</f>
        <v>2024</v>
      </c>
      <c r="K21" s="27" t="str">
        <f>VLOOKUP(L21,ICG[#All],3,0)</f>
        <v>IC-Property</v>
      </c>
      <c r="L21" s="27" t="str">
        <f t="shared" si="2"/>
        <v>#2024#IC-Property</v>
      </c>
    </row>
    <row r="22" spans="1:12">
      <c r="A22" s="26">
        <f t="shared" si="0"/>
        <v>45930</v>
      </c>
      <c r="B22" s="26">
        <f t="shared" si="1"/>
        <v>47573</v>
      </c>
      <c r="C22" s="21">
        <f>IFERROR(HLOOKUP("Exp_Premium",CF_Gen_1[#All],MATCH($B22,CF_Gen_1[[#All],[Incurred]],0),0),0)</f>
        <v>-671029207.3665657</v>
      </c>
      <c r="D22" s="22">
        <f>IF(AND($J22&lt;YEAR($A22),$B22&lt;=$A22),IFERROR(HLOOKUP("Actual_Premium",CF_Gen_1[#All],MATCH($B22,CF_Gen_1[[#All],[Incurred]],0),0),0),0)</f>
        <v>0</v>
      </c>
      <c r="E22" s="21">
        <f>-IFERROR(HLOOKUP("Exp_Claim",CF_Gen_1[#All],MATCH($B22,CF_Gen_1[[#All],[Incurred]],0),0),0)-IFERROR(HLOOKUP("Exp_NPR",CF_Gen_1[#All],MATCH($B22,CF_Gen_1[[#All],[Incurred]],0),0),0)</f>
        <v>191421587.29040006</v>
      </c>
      <c r="F22" s="21">
        <f>-IFERROR(HLOOKUP("Exp_RA",CF_Gen_1[#All],MATCH($B22,CF_Gen_1[[#All],[Incurred]],0),0),0)</f>
        <v>26799022.220656011</v>
      </c>
      <c r="G22" s="21">
        <f>-IFERROR(HLOOKUP("Exp_Expense",CF_Gen_1[#All],MATCH($B22,CF_Gen_1[[#All],[Incurred]],0),0),0)</f>
        <v>42591303.172114015</v>
      </c>
      <c r="H22" s="21">
        <f>-IFERROR(HLOOKUP("Exp_Commission",CF_Gen_1[#All],MATCH($B22,CF_Gen_1[[#All],[Incurred]],0),0),0)-IFERROR(HLOOKUP("Exp_Acquisition",CF_Gen_1[#All],MATCH($B22,CF_Gen_1[[#All],[Incurred]],0),0),0)</f>
        <v>-202062238.2574847</v>
      </c>
      <c r="I22" s="22">
        <f>IF(AND($J22&lt;YEAR($A22),$B22&lt;=$A22),-IFERROR(HLOOKUP("Actual_Commission",CF_Gen_1[#All],MATCH($B22,CF_Gen_1[[#All],[Incurred]],0),0),0)-IFERROR(HLOOKUP("Actual_Acquisition",CF_Gen_1[#All],MATCH($B22,CF_Gen_1[[#All],[Incurred]],0),0),0),0)</f>
        <v>0</v>
      </c>
      <c r="J22" s="27">
        <f>VLOOKUP(L22,ICG[#All],2,0)</f>
        <v>2024</v>
      </c>
      <c r="K22" s="27" t="str">
        <f>VLOOKUP(L22,ICG[#All],3,0)</f>
        <v>IC-Property</v>
      </c>
      <c r="L22" s="27" t="str">
        <f t="shared" si="2"/>
        <v>#2024#IC-Property</v>
      </c>
    </row>
    <row r="23" spans="1:12">
      <c r="A23" s="26">
        <f t="shared" si="0"/>
        <v>45930</v>
      </c>
      <c r="B23" s="26">
        <f t="shared" si="1"/>
        <v>47664</v>
      </c>
      <c r="C23" s="21">
        <f>IFERROR(HLOOKUP("Exp_Premium",CF_Gen_1[#All],MATCH($B23,CF_Gen_1[[#All],[Incurred]],0),0),0)</f>
        <v>-607307773.96299613</v>
      </c>
      <c r="D23" s="22">
        <f>IF(AND($J23&lt;YEAR($A23),$B23&lt;=$A23),IFERROR(HLOOKUP("Actual_Premium",CF_Gen_1[#All],MATCH($B23,CF_Gen_1[[#All],[Incurred]],0),0),0),0)</f>
        <v>0</v>
      </c>
      <c r="E23" s="21">
        <f>-IFERROR(HLOOKUP("Exp_Claim",CF_Gen_1[#All],MATCH($B23,CF_Gen_1[[#All],[Incurred]],0),0),0)-IFERROR(HLOOKUP("Exp_NPR",CF_Gen_1[#All],MATCH($B23,CF_Gen_1[[#All],[Incurred]],0),0),0)</f>
        <v>175600007.11639759</v>
      </c>
      <c r="F23" s="21">
        <f>-IFERROR(HLOOKUP("Exp_RA",CF_Gen_1[#All],MATCH($B23,CF_Gen_1[[#All],[Incurred]],0),0),0)</f>
        <v>24584000.996295664</v>
      </c>
      <c r="G23" s="21">
        <f>-IFERROR(HLOOKUP("Exp_Expense",CF_Gen_1[#All],MATCH($B23,CF_Gen_1[[#All],[Incurred]],0),0),0)</f>
        <v>39071001.583398461</v>
      </c>
      <c r="H23" s="21">
        <f>-IFERROR(HLOOKUP("Exp_Commission",CF_Gen_1[#All],MATCH($B23,CF_Gen_1[[#All],[Incurred]],0),0),0)-IFERROR(HLOOKUP("Exp_Acquisition",CF_Gen_1[#All],MATCH($B23,CF_Gen_1[[#All],[Incurred]],0),0),0)</f>
        <v>-182739184.90074372</v>
      </c>
      <c r="I23" s="22">
        <f>IF(AND($J23&lt;YEAR($A23),$B23&lt;=$A23),-IFERROR(HLOOKUP("Actual_Commission",CF_Gen_1[#All],MATCH($B23,CF_Gen_1[[#All],[Incurred]],0),0),0)-IFERROR(HLOOKUP("Actual_Acquisition",CF_Gen_1[#All],MATCH($B23,CF_Gen_1[[#All],[Incurred]],0),0),0),0)</f>
        <v>0</v>
      </c>
      <c r="J23" s="27">
        <f>VLOOKUP(L23,ICG[#All],2,0)</f>
        <v>2024</v>
      </c>
      <c r="K23" s="27" t="str">
        <f>VLOOKUP(L23,ICG[#All],3,0)</f>
        <v>IC-Property</v>
      </c>
      <c r="L23" s="27" t="str">
        <f t="shared" si="2"/>
        <v>#2024#IC-Property</v>
      </c>
    </row>
    <row r="24" spans="1:12">
      <c r="A24" s="26">
        <f t="shared" si="0"/>
        <v>45930</v>
      </c>
      <c r="B24" s="26">
        <f t="shared" si="1"/>
        <v>47756</v>
      </c>
      <c r="C24" s="21">
        <f>IFERROR(HLOOKUP("Exp_Premium",CF_Gen_1[#All],MATCH($B24,CF_Gen_1[[#All],[Incurred]],0),0),0)</f>
        <v>-549431229.16290128</v>
      </c>
      <c r="D24" s="22">
        <f>IF(AND($J24&lt;YEAR($A24),$B24&lt;=$A24),IFERROR(HLOOKUP("Actual_Premium",CF_Gen_1[#All],MATCH($B24,CF_Gen_1[[#All],[Incurred]],0),0),0),0)</f>
        <v>0</v>
      </c>
      <c r="E24" s="21">
        <f>-IFERROR(HLOOKUP("Exp_Claim",CF_Gen_1[#All],MATCH($B24,CF_Gen_1[[#All],[Incurred]],0),0),0)-IFERROR(HLOOKUP("Exp_NPR",CF_Gen_1[#All],MATCH($B24,CF_Gen_1[[#All],[Incurred]],0),0),0)</f>
        <v>161055482.38903254</v>
      </c>
      <c r="F24" s="21">
        <f>-IFERROR(HLOOKUP("Exp_RA",CF_Gen_1[#All],MATCH($B24,CF_Gen_1[[#All],[Incurred]],0),0),0)</f>
        <v>22547767.534464557</v>
      </c>
      <c r="G24" s="21">
        <f>-IFERROR(HLOOKUP("Exp_Expense",CF_Gen_1[#All],MATCH($B24,CF_Gen_1[[#All],[Incurred]],0),0),0)</f>
        <v>35834844.831559733</v>
      </c>
      <c r="H24" s="21">
        <f>-IFERROR(HLOOKUP("Exp_Commission",CF_Gen_1[#All],MATCH($B24,CF_Gen_1[[#All],[Incurred]],0),0),0)-IFERROR(HLOOKUP("Exp_Acquisition",CF_Gen_1[#All],MATCH($B24,CF_Gen_1[[#All],[Incurred]],0),0),0)</f>
        <v>-165198613.31797016</v>
      </c>
      <c r="I24" s="22">
        <f>IF(AND($J24&lt;YEAR($A24),$B24&lt;=$A24),-IFERROR(HLOOKUP("Actual_Commission",CF_Gen_1[#All],MATCH($B24,CF_Gen_1[[#All],[Incurred]],0),0),0)-IFERROR(HLOOKUP("Actual_Acquisition",CF_Gen_1[#All],MATCH($B24,CF_Gen_1[[#All],[Incurred]],0),0),0),0)</f>
        <v>0</v>
      </c>
      <c r="J24" s="27">
        <f>VLOOKUP(L24,ICG[#All],2,0)</f>
        <v>2024</v>
      </c>
      <c r="K24" s="27" t="str">
        <f>VLOOKUP(L24,ICG[#All],3,0)</f>
        <v>IC-Property</v>
      </c>
      <c r="L24" s="27" t="str">
        <f t="shared" si="2"/>
        <v>#2024#IC-Property</v>
      </c>
    </row>
    <row r="25" spans="1:12">
      <c r="A25" s="26">
        <f t="shared" si="0"/>
        <v>45930</v>
      </c>
      <c r="B25" s="26">
        <f t="shared" si="1"/>
        <v>47848</v>
      </c>
      <c r="C25" s="21">
        <f>IFERROR(HLOOKUP("Exp_Premium",CF_Gen_1[#All],MATCH($B25,CF_Gen_1[[#All],[Incurred]],0),0),0)</f>
        <v>-496878688.41245806</v>
      </c>
      <c r="D25" s="22">
        <f>IF(AND($J25&lt;YEAR($A25),$B25&lt;=$A25),IFERROR(HLOOKUP("Actual_Premium",CF_Gen_1[#All],MATCH($B25,CF_Gen_1[[#All],[Incurred]],0),0),0),0)</f>
        <v>0</v>
      </c>
      <c r="E25" s="21">
        <f>-IFERROR(HLOOKUP("Exp_Claim",CF_Gen_1[#All],MATCH($B25,CF_Gen_1[[#All],[Incurred]],0),0),0)-IFERROR(HLOOKUP("Exp_NPR",CF_Gen_1[#All],MATCH($B25,CF_Gen_1[[#All],[Incurred]],0),0),0)</f>
        <v>147686751.0886282</v>
      </c>
      <c r="F25" s="21">
        <f>-IFERROR(HLOOKUP("Exp_RA",CF_Gen_1[#All],MATCH($B25,CF_Gen_1[[#All],[Incurred]],0),0),0)</f>
        <v>20676145.152407952</v>
      </c>
      <c r="G25" s="21">
        <f>-IFERROR(HLOOKUP("Exp_Expense",CF_Gen_1[#All],MATCH($B25,CF_Gen_1[[#All],[Incurred]],0),0),0)</f>
        <v>32860302.117219776</v>
      </c>
      <c r="H25" s="21">
        <f>-IFERROR(HLOOKUP("Exp_Commission",CF_Gen_1[#All],MATCH($B25,CF_Gen_1[[#All],[Incurred]],0),0),0)-IFERROR(HLOOKUP("Exp_Acquisition",CF_Gen_1[#All],MATCH($B25,CF_Gen_1[[#All],[Incurred]],0),0),0)</f>
        <v>-149280943.87325272</v>
      </c>
      <c r="I25" s="22">
        <f>IF(AND($J25&lt;YEAR($A25),$B25&lt;=$A25),-IFERROR(HLOOKUP("Actual_Commission",CF_Gen_1[#All],MATCH($B25,CF_Gen_1[[#All],[Incurred]],0),0),0)-IFERROR(HLOOKUP("Actual_Acquisition",CF_Gen_1[#All],MATCH($B25,CF_Gen_1[[#All],[Incurred]],0),0),0),0)</f>
        <v>0</v>
      </c>
      <c r="J25" s="27">
        <f>VLOOKUP(L25,ICG[#All],2,0)</f>
        <v>2024</v>
      </c>
      <c r="K25" s="27" t="str">
        <f>VLOOKUP(L25,ICG[#All],3,0)</f>
        <v>IC-Property</v>
      </c>
      <c r="L25" s="27" t="str">
        <f t="shared" si="2"/>
        <v>#2024#IC-Property</v>
      </c>
    </row>
    <row r="26" spans="1:12">
      <c r="A26" s="26">
        <f t="shared" si="0"/>
        <v>45930</v>
      </c>
      <c r="B26" s="26">
        <f t="shared" si="1"/>
        <v>47938</v>
      </c>
      <c r="C26" s="21">
        <f>IFERROR(HLOOKUP("Exp_Premium",CF_Gen_1[#All],MATCH($B26,CF_Gen_1[[#All],[Incurred]],0),0),0)</f>
        <v>-449174589.50333077</v>
      </c>
      <c r="D26" s="22">
        <f>IF(AND($J26&lt;YEAR($A26),$B26&lt;=$A26),IFERROR(HLOOKUP("Actual_Premium",CF_Gen_1[#All],MATCH($B26,CF_Gen_1[[#All],[Incurred]],0),0),0),0)</f>
        <v>0</v>
      </c>
      <c r="E26" s="21">
        <f>-IFERROR(HLOOKUP("Exp_Claim",CF_Gen_1[#All],MATCH($B26,CF_Gen_1[[#All],[Incurred]],0),0),0)-IFERROR(HLOOKUP("Exp_NPR",CF_Gen_1[#All],MATCH($B26,CF_Gen_1[[#All],[Incurred]],0),0),0)</f>
        <v>135400470.30657423</v>
      </c>
      <c r="F26" s="21">
        <f>-IFERROR(HLOOKUP("Exp_RA",CF_Gen_1[#All],MATCH($B26,CF_Gen_1[[#All],[Incurred]],0),0),0)</f>
        <v>18956065.842920393</v>
      </c>
      <c r="G26" s="21">
        <f>-IFERROR(HLOOKUP("Exp_Expense",CF_Gen_1[#All],MATCH($B26,CF_Gen_1[[#All],[Incurred]],0),0),0)</f>
        <v>30126604.643212765</v>
      </c>
      <c r="H26" s="21">
        <f>-IFERROR(HLOOKUP("Exp_Commission",CF_Gen_1[#All],MATCH($B26,CF_Gen_1[[#All],[Incurred]],0),0),0)-IFERROR(HLOOKUP("Exp_Acquisition",CF_Gen_1[#All],MATCH($B26,CF_Gen_1[[#All],[Incurred]],0),0),0)</f>
        <v>-134840533.97944537</v>
      </c>
      <c r="I26" s="22">
        <f>IF(AND($J26&lt;YEAR($A26),$B26&lt;=$A26),-IFERROR(HLOOKUP("Actual_Commission",CF_Gen_1[#All],MATCH($B26,CF_Gen_1[[#All],[Incurred]],0),0),0)-IFERROR(HLOOKUP("Actual_Acquisition",CF_Gen_1[#All],MATCH($B26,CF_Gen_1[[#All],[Incurred]],0),0),0),0)</f>
        <v>0</v>
      </c>
      <c r="J26" s="27">
        <f>VLOOKUP(L26,ICG[#All],2,0)</f>
        <v>2024</v>
      </c>
      <c r="K26" s="27" t="str">
        <f>VLOOKUP(L26,ICG[#All],3,0)</f>
        <v>IC-Property</v>
      </c>
      <c r="L26" s="27" t="str">
        <f t="shared" si="2"/>
        <v>#2024#IC-Property</v>
      </c>
    </row>
    <row r="27" spans="1:12">
      <c r="A27" s="26">
        <f t="shared" si="0"/>
        <v>45930</v>
      </c>
      <c r="B27" s="26">
        <f t="shared" si="1"/>
        <v>48029</v>
      </c>
      <c r="C27" s="21">
        <f>IFERROR(HLOOKUP("Exp_Premium",CF_Gen_1[#All],MATCH($B27,CF_Gen_1[[#All],[Incurred]],0),0),0)</f>
        <v>-405884827.08627224</v>
      </c>
      <c r="D27" s="22">
        <f>IF(AND($J27&lt;YEAR($A27),$B27&lt;=$A27),IFERROR(HLOOKUP("Actual_Premium",CF_Gen_1[#All],MATCH($B27,CF_Gen_1[[#All],[Incurred]],0),0),0),0)</f>
        <v>0</v>
      </c>
      <c r="E27" s="21">
        <f>-IFERROR(HLOOKUP("Exp_Claim",CF_Gen_1[#All],MATCH($B27,CF_Gen_1[[#All],[Incurred]],0),0),0)-IFERROR(HLOOKUP("Exp_NPR",CF_Gen_1[#All],MATCH($B27,CF_Gen_1[[#All],[Incurred]],0),0),0)</f>
        <v>124110603.75367354</v>
      </c>
      <c r="F27" s="21">
        <f>-IFERROR(HLOOKUP("Exp_RA",CF_Gen_1[#All],MATCH($B27,CF_Gen_1[[#All],[Incurred]],0),0),0)</f>
        <v>17375484.525514297</v>
      </c>
      <c r="G27" s="21">
        <f>-IFERROR(HLOOKUP("Exp_Expense",CF_Gen_1[#All],MATCH($B27,CF_Gen_1[[#All],[Incurred]],0),0),0)</f>
        <v>27614609.33519236</v>
      </c>
      <c r="H27" s="21">
        <f>-IFERROR(HLOOKUP("Exp_Commission",CF_Gen_1[#All],MATCH($B27,CF_Gen_1[[#All],[Incurred]],0),0),0)-IFERROR(HLOOKUP("Exp_Acquisition",CF_Gen_1[#All],MATCH($B27,CF_Gen_1[[#All],[Incurred]],0),0),0)</f>
        <v>-121744485.74732631</v>
      </c>
      <c r="I27" s="22">
        <f>IF(AND($J27&lt;YEAR($A27),$B27&lt;=$A27),-IFERROR(HLOOKUP("Actual_Commission",CF_Gen_1[#All],MATCH($B27,CF_Gen_1[[#All],[Incurred]],0),0),0)-IFERROR(HLOOKUP("Actual_Acquisition",CF_Gen_1[#All],MATCH($B27,CF_Gen_1[[#All],[Incurred]],0),0),0),0)</f>
        <v>0</v>
      </c>
      <c r="J27" s="27">
        <f>VLOOKUP(L27,ICG[#All],2,0)</f>
        <v>2024</v>
      </c>
      <c r="K27" s="27" t="str">
        <f>VLOOKUP(L27,ICG[#All],3,0)</f>
        <v>IC-Property</v>
      </c>
      <c r="L27" s="27" t="str">
        <f t="shared" si="2"/>
        <v>#2024#IC-Property</v>
      </c>
    </row>
    <row r="28" spans="1:12">
      <c r="A28" s="26">
        <f t="shared" si="0"/>
        <v>45930</v>
      </c>
      <c r="B28" s="26">
        <f t="shared" si="1"/>
        <v>48121</v>
      </c>
      <c r="C28" s="21">
        <f>IFERROR(HLOOKUP("Exp_Premium",CF_Gen_1[#All],MATCH($B28,CF_Gen_1[[#All],[Incurred]],0),0),0)</f>
        <v>-366613211.36178672</v>
      </c>
      <c r="D28" s="22">
        <f>IF(AND($J28&lt;YEAR($A28),$B28&lt;=$A28),IFERROR(HLOOKUP("Actual_Premium",CF_Gen_1[#All],MATCH($B28,CF_Gen_1[[#All],[Incurred]],0),0),0),0)</f>
        <v>0</v>
      </c>
      <c r="E28" s="21">
        <f>-IFERROR(HLOOKUP("Exp_Claim",CF_Gen_1[#All],MATCH($B28,CF_Gen_1[[#All],[Incurred]],0),0),0)-IFERROR(HLOOKUP("Exp_NPR",CF_Gen_1[#All],MATCH($B28,CF_Gen_1[[#All],[Incurred]],0),0),0)</f>
        <v>113737856.21367672</v>
      </c>
      <c r="F28" s="21">
        <f>-IFERROR(HLOOKUP("Exp_RA",CF_Gen_1[#All],MATCH($B28,CF_Gen_1[[#All],[Incurred]],0),0),0)</f>
        <v>15923299.869914742</v>
      </c>
      <c r="G28" s="21">
        <f>-IFERROR(HLOOKUP("Exp_Expense",CF_Gen_1[#All],MATCH($B28,CF_Gen_1[[#All],[Incurred]],0),0),0)</f>
        <v>25306673.007543072</v>
      </c>
      <c r="H28" s="21">
        <f>-IFERROR(HLOOKUP("Exp_Commission",CF_Gen_1[#All],MATCH($B28,CF_Gen_1[[#All],[Incurred]],0),0),0)-IFERROR(HLOOKUP("Exp_Acquisition",CF_Gen_1[#All],MATCH($B28,CF_Gen_1[[#All],[Incurred]],0),0),0)</f>
        <v>-109871553.88963145</v>
      </c>
      <c r="I28" s="22">
        <f>IF(AND($J28&lt;YEAR($A28),$B28&lt;=$A28),-IFERROR(HLOOKUP("Actual_Commission",CF_Gen_1[#All],MATCH($B28,CF_Gen_1[[#All],[Incurred]],0),0),0)-IFERROR(HLOOKUP("Actual_Acquisition",CF_Gen_1[#All],MATCH($B28,CF_Gen_1[[#All],[Incurred]],0),0),0),0)</f>
        <v>0</v>
      </c>
      <c r="J28" s="27">
        <f>VLOOKUP(L28,ICG[#All],2,0)</f>
        <v>2024</v>
      </c>
      <c r="K28" s="27" t="str">
        <f>VLOOKUP(L28,ICG[#All],3,0)</f>
        <v>IC-Property</v>
      </c>
      <c r="L28" s="27" t="str">
        <f t="shared" si="2"/>
        <v>#2024#IC-Property</v>
      </c>
    </row>
    <row r="29" spans="1:12">
      <c r="A29" s="26">
        <f t="shared" si="0"/>
        <v>45930</v>
      </c>
      <c r="B29" s="26">
        <f t="shared" si="1"/>
        <v>48213</v>
      </c>
      <c r="C29" s="21">
        <f>IFERROR(HLOOKUP("Exp_Premium",CF_Gen_1[#All],MATCH($B29,CF_Gen_1[[#All],[Incurred]],0),0),0)</f>
        <v>-330998224.14776486</v>
      </c>
      <c r="D29" s="22">
        <f>IF(AND($J29&lt;YEAR($A29),$B29&lt;=$A29),IFERROR(HLOOKUP("Actual_Premium",CF_Gen_1[#All],MATCH($B29,CF_Gen_1[[#All],[Incurred]],0),0),0),0)</f>
        <v>0</v>
      </c>
      <c r="E29" s="21">
        <f>-IFERROR(HLOOKUP("Exp_Claim",CF_Gen_1[#All],MATCH($B29,CF_Gen_1[[#All],[Incurred]],0),0),0)-IFERROR(HLOOKUP("Exp_NPR",CF_Gen_1[#All],MATCH($B29,CF_Gen_1[[#All],[Incurred]],0),0),0)</f>
        <v>104209151.37088646</v>
      </c>
      <c r="F29" s="21">
        <f>-IFERROR(HLOOKUP("Exp_RA",CF_Gen_1[#All],MATCH($B29,CF_Gen_1[[#All],[Incurred]],0),0),0)</f>
        <v>14589281.191924106</v>
      </c>
      <c r="G29" s="21">
        <f>-IFERROR(HLOOKUP("Exp_Expense",CF_Gen_1[#All],MATCH($B29,CF_Gen_1[[#All],[Incurred]],0),0),0)</f>
        <v>23186536.180022236</v>
      </c>
      <c r="H29" s="21">
        <f>-IFERROR(HLOOKUP("Exp_Commission",CF_Gen_1[#All],MATCH($B29,CF_Gen_1[[#All],[Incurred]],0),0),0)-IFERROR(HLOOKUP("Exp_Acquisition",CF_Gen_1[#All],MATCH($B29,CF_Gen_1[[#All],[Incurred]],0),0),0)</f>
        <v>-99111145.573588878</v>
      </c>
      <c r="I29" s="22">
        <f>IF(AND($J29&lt;YEAR($A29),$B29&lt;=$A29),-IFERROR(HLOOKUP("Actual_Commission",CF_Gen_1[#All],MATCH($B29,CF_Gen_1[[#All],[Incurred]],0),0),0)-IFERROR(HLOOKUP("Actual_Acquisition",CF_Gen_1[#All],MATCH($B29,CF_Gen_1[[#All],[Incurred]],0),0),0),0)</f>
        <v>0</v>
      </c>
      <c r="J29" s="27">
        <f>VLOOKUP(L29,ICG[#All],2,0)</f>
        <v>2024</v>
      </c>
      <c r="K29" s="27" t="str">
        <f>VLOOKUP(L29,ICG[#All],3,0)</f>
        <v>IC-Property</v>
      </c>
      <c r="L29" s="27" t="str">
        <f t="shared" si="2"/>
        <v>#2024#IC-Property</v>
      </c>
    </row>
    <row r="30" spans="1:12">
      <c r="A30" s="26">
        <f t="shared" si="0"/>
        <v>45930</v>
      </c>
      <c r="B30" s="26">
        <f t="shared" si="1"/>
        <v>48304</v>
      </c>
      <c r="C30" s="21">
        <f>IFERROR(HLOOKUP("Exp_Premium",CF_Gen_1[#All],MATCH($B30,CF_Gen_1[[#All],[Incurred]],0),0),0)</f>
        <v>-298710047.71246874</v>
      </c>
      <c r="D30" s="22">
        <f>IF(AND($J30&lt;YEAR($A30),$B30&lt;=$A30),IFERROR(HLOOKUP("Actual_Premium",CF_Gen_1[#All],MATCH($B30,CF_Gen_1[[#All],[Incurred]],0),0),0),0)</f>
        <v>0</v>
      </c>
      <c r="E30" s="21">
        <f>-IFERROR(HLOOKUP("Exp_Claim",CF_Gen_1[#All],MATCH($B30,CF_Gen_1[[#All],[Incurred]],0),0),0)-IFERROR(HLOOKUP("Exp_NPR",CF_Gen_1[#All],MATCH($B30,CF_Gen_1[[#All],[Incurred]],0),0),0)</f>
        <v>95457149.710639834</v>
      </c>
      <c r="F30" s="21">
        <f>-IFERROR(HLOOKUP("Exp_RA",CF_Gen_1[#All],MATCH($B30,CF_Gen_1[[#All],[Incurred]],0),0),0)</f>
        <v>13364000.959489578</v>
      </c>
      <c r="G30" s="21">
        <f>-IFERROR(HLOOKUP("Exp_Expense",CF_Gen_1[#All],MATCH($B30,CF_Gen_1[[#All],[Incurred]],0),0),0)</f>
        <v>21239215.810617361</v>
      </c>
      <c r="H30" s="21">
        <f>-IFERROR(HLOOKUP("Exp_Commission",CF_Gen_1[#All],MATCH($B30,CF_Gen_1[[#All],[Incurred]],0),0),0)-IFERROR(HLOOKUP("Exp_Acquisition",CF_Gen_1[#All],MATCH($B30,CF_Gen_1[[#All],[Incurred]],0),0),0)</f>
        <v>-89362404.595148414</v>
      </c>
      <c r="I30" s="22">
        <f>IF(AND($J30&lt;YEAR($A30),$B30&lt;=$A30),-IFERROR(HLOOKUP("Actual_Commission",CF_Gen_1[#All],MATCH($B30,CF_Gen_1[[#All],[Incurred]],0),0),0)-IFERROR(HLOOKUP("Actual_Acquisition",CF_Gen_1[#All],MATCH($B30,CF_Gen_1[[#All],[Incurred]],0),0),0),0)</f>
        <v>0</v>
      </c>
      <c r="J30" s="27">
        <f>VLOOKUP(L30,ICG[#All],2,0)</f>
        <v>2024</v>
      </c>
      <c r="K30" s="27" t="str">
        <f>VLOOKUP(L30,ICG[#All],3,0)</f>
        <v>IC-Property</v>
      </c>
      <c r="L30" s="27" t="str">
        <f t="shared" si="2"/>
        <v>#2024#IC-Property</v>
      </c>
    </row>
    <row r="31" spans="1:12">
      <c r="A31" s="26">
        <f t="shared" si="0"/>
        <v>45930</v>
      </c>
      <c r="B31" s="26">
        <f t="shared" si="1"/>
        <v>48395</v>
      </c>
      <c r="C31" s="21">
        <f>IFERROR(HLOOKUP("Exp_Premium",CF_Gen_1[#All],MATCH($B31,CF_Gen_1[[#All],[Incurred]],0),0),0)</f>
        <v>-269447843.77291489</v>
      </c>
      <c r="D31" s="22">
        <f>IF(AND($J31&lt;YEAR($A31),$B31&lt;=$A31),IFERROR(HLOOKUP("Actual_Premium",CF_Gen_1[#All],MATCH($B31,CF_Gen_1[[#All],[Incurred]],0),0),0),0)</f>
        <v>0</v>
      </c>
      <c r="E31" s="21">
        <f>-IFERROR(HLOOKUP("Exp_Claim",CF_Gen_1[#All],MATCH($B31,CF_Gen_1[[#All],[Incurred]],0),0),0)-IFERROR(HLOOKUP("Exp_NPR",CF_Gen_1[#All],MATCH($B31,CF_Gen_1[[#All],[Incurred]],0),0),0)</f>
        <v>87419803.441110373</v>
      </c>
      <c r="F31" s="21">
        <f>-IFERROR(HLOOKUP("Exp_RA",CF_Gen_1[#All],MATCH($B31,CF_Gen_1[[#All],[Incurred]],0),0),0)</f>
        <v>12238772.481755454</v>
      </c>
      <c r="G31" s="21">
        <f>-IFERROR(HLOOKUP("Exp_Expense",CF_Gen_1[#All],MATCH($B31,CF_Gen_1[[#All],[Incurred]],0),0),0)</f>
        <v>19450906.265647057</v>
      </c>
      <c r="H31" s="21">
        <f>-IFERROR(HLOOKUP("Exp_Commission",CF_Gen_1[#All],MATCH($B31,CF_Gen_1[[#All],[Incurred]],0),0),0)-IFERROR(HLOOKUP("Exp_Acquisition",CF_Gen_1[#All],MATCH($B31,CF_Gen_1[[#All],[Incurred]],0),0),0)</f>
        <v>-80533372.872675285</v>
      </c>
      <c r="I31" s="22">
        <f>IF(AND($J31&lt;YEAR($A31),$B31&lt;=$A31),-IFERROR(HLOOKUP("Actual_Commission",CF_Gen_1[#All],MATCH($B31,CF_Gen_1[[#All],[Incurred]],0),0),0)-IFERROR(HLOOKUP("Actual_Acquisition",CF_Gen_1[#All],MATCH($B31,CF_Gen_1[[#All],[Incurred]],0),0),0),0)</f>
        <v>0</v>
      </c>
      <c r="J31" s="27">
        <f>VLOOKUP(L31,ICG[#All],2,0)</f>
        <v>2024</v>
      </c>
      <c r="K31" s="27" t="str">
        <f>VLOOKUP(L31,ICG[#All],3,0)</f>
        <v>IC-Property</v>
      </c>
      <c r="L31" s="27" t="str">
        <f t="shared" si="2"/>
        <v>#2024#IC-Property</v>
      </c>
    </row>
    <row r="32" spans="1:12">
      <c r="A32" s="26">
        <f t="shared" si="0"/>
        <v>45930</v>
      </c>
      <c r="B32" s="26">
        <f t="shared" si="1"/>
        <v>48487</v>
      </c>
      <c r="C32" s="21">
        <f>IFERROR(HLOOKUP("Exp_Premium",CF_Gen_1[#All],MATCH($B32,CF_Gen_1[[#All],[Incurred]],0),0),0)</f>
        <v>-242937261.90771371</v>
      </c>
      <c r="D32" s="22">
        <f>IF(AND($J32&lt;YEAR($A32),$B32&lt;=$A32),IFERROR(HLOOKUP("Actual_Premium",CF_Gen_1[#All],MATCH($B32,CF_Gen_1[[#All],[Incurred]],0),0),0),0)</f>
        <v>0</v>
      </c>
      <c r="E32" s="21">
        <f>-IFERROR(HLOOKUP("Exp_Claim",CF_Gen_1[#All],MATCH($B32,CF_Gen_1[[#All],[Incurred]],0),0),0)-IFERROR(HLOOKUP("Exp_NPR",CF_Gen_1[#All],MATCH($B32,CF_Gen_1[[#All],[Incurred]],0),0),0)</f>
        <v>80039945.615732908</v>
      </c>
      <c r="F32" s="21">
        <f>-IFERROR(HLOOKUP("Exp_RA",CF_Gen_1[#All],MATCH($B32,CF_Gen_1[[#All],[Incurred]],0),0),0)</f>
        <v>11205592.386202607</v>
      </c>
      <c r="G32" s="21">
        <f>-IFERROR(HLOOKUP("Exp_Expense",CF_Gen_1[#All],MATCH($B32,CF_Gen_1[[#All],[Incurred]],0),0),0)</f>
        <v>17808887.899500571</v>
      </c>
      <c r="H32" s="21">
        <f>-IFERROR(HLOOKUP("Exp_Commission",CF_Gen_1[#All],MATCH($B32,CF_Gen_1[[#All],[Incurred]],0),0),0)-IFERROR(HLOOKUP("Exp_Acquisition",CF_Gen_1[#All],MATCH($B32,CF_Gen_1[[#All],[Incurred]],0),0),0)</f>
        <v>-72540222.83186771</v>
      </c>
      <c r="I32" s="22">
        <f>IF(AND($J32&lt;YEAR($A32),$B32&lt;=$A32),-IFERROR(HLOOKUP("Actual_Commission",CF_Gen_1[#All],MATCH($B32,CF_Gen_1[[#All],[Incurred]],0),0),0)-IFERROR(HLOOKUP("Actual_Acquisition",CF_Gen_1[#All],MATCH($B32,CF_Gen_1[[#All],[Incurred]],0),0),0),0)</f>
        <v>0</v>
      </c>
      <c r="J32" s="27">
        <f>VLOOKUP(L32,ICG[#All],2,0)</f>
        <v>2024</v>
      </c>
      <c r="K32" s="27" t="str">
        <f>VLOOKUP(L32,ICG[#All],3,0)</f>
        <v>IC-Property</v>
      </c>
      <c r="L32" s="27" t="str">
        <f t="shared" si="2"/>
        <v>#2024#IC-Property</v>
      </c>
    </row>
    <row r="33" spans="1:12">
      <c r="A33" s="26">
        <f t="shared" si="0"/>
        <v>45930</v>
      </c>
      <c r="B33" s="26">
        <f t="shared" si="1"/>
        <v>48579</v>
      </c>
      <c r="C33" s="21">
        <f>IFERROR(HLOOKUP("Exp_Premium",CF_Gen_1[#All],MATCH($B33,CF_Gen_1[[#All],[Incurred]],0),0),0)</f>
        <v>-218928158.33279711</v>
      </c>
      <c r="D33" s="22">
        <f>IF(AND($J33&lt;YEAR($A33),$B33&lt;=$A33),IFERROR(HLOOKUP("Actual_Premium",CF_Gen_1[#All],MATCH($B33,CF_Gen_1[[#All],[Incurred]],0),0),0),0)</f>
        <v>0</v>
      </c>
      <c r="E33" s="21">
        <f>-IFERROR(HLOOKUP("Exp_Claim",CF_Gen_1[#All],MATCH($B33,CF_Gen_1[[#All],[Incurred]],0),0),0)-IFERROR(HLOOKUP("Exp_NPR",CF_Gen_1[#All],MATCH($B33,CF_Gen_1[[#All],[Incurred]],0),0),0)</f>
        <v>73264910.849046871</v>
      </c>
      <c r="F33" s="21">
        <f>-IFERROR(HLOOKUP("Exp_RA",CF_Gen_1[#All],MATCH($B33,CF_Gen_1[[#All],[Incurred]],0),0),0)</f>
        <v>10257087.518866563</v>
      </c>
      <c r="G33" s="21">
        <f>-IFERROR(HLOOKUP("Exp_Expense",CF_Gen_1[#All],MATCH($B33,CF_Gen_1[[#All],[Incurred]],0),0),0)</f>
        <v>16301442.663912926</v>
      </c>
      <c r="H33" s="21">
        <f>-IFERROR(HLOOKUP("Exp_Commission",CF_Gen_1[#All],MATCH($B33,CF_Gen_1[[#All],[Incurred]],0),0),0)-IFERROR(HLOOKUP("Exp_Acquisition",CF_Gen_1[#All],MATCH($B33,CF_Gen_1[[#All],[Incurred]],0),0),0)</f>
        <v>-65306554.781120114</v>
      </c>
      <c r="I33" s="22">
        <f>IF(AND($J33&lt;YEAR($A33),$B33&lt;=$A33),-IFERROR(HLOOKUP("Actual_Commission",CF_Gen_1[#All],MATCH($B33,CF_Gen_1[[#All],[Incurred]],0),0),0)-IFERROR(HLOOKUP("Actual_Acquisition",CF_Gen_1[#All],MATCH($B33,CF_Gen_1[[#All],[Incurred]],0),0),0),0)</f>
        <v>0</v>
      </c>
      <c r="J33" s="27">
        <f>VLOOKUP(L33,ICG[#All],2,0)</f>
        <v>2024</v>
      </c>
      <c r="K33" s="27" t="str">
        <f>VLOOKUP(L33,ICG[#All],3,0)</f>
        <v>IC-Property</v>
      </c>
      <c r="L33" s="27" t="str">
        <f t="shared" si="2"/>
        <v>#2024#IC-Property</v>
      </c>
    </row>
    <row r="34" spans="1:12">
      <c r="A34" s="26">
        <f t="shared" ref="A34:A65" si="3">ValuationDate</f>
        <v>45930</v>
      </c>
      <c r="B34" s="26">
        <f t="shared" si="1"/>
        <v>48669</v>
      </c>
      <c r="C34" s="21">
        <f>IFERROR(HLOOKUP("Exp_Premium",CF_Gen_1[#All],MATCH($B34,CF_Gen_1[[#All],[Incurred]],0),0),0)</f>
        <v>-197192507.55020973</v>
      </c>
      <c r="D34" s="22">
        <f>IF(AND($J34&lt;YEAR($A34),$B34&lt;=$A34),IFERROR(HLOOKUP("Actual_Premium",CF_Gen_1[#All],MATCH($B34,CF_Gen_1[[#All],[Incurred]],0),0),0),0)</f>
        <v>0</v>
      </c>
      <c r="E34" s="21">
        <f>-IFERROR(HLOOKUP("Exp_Claim",CF_Gen_1[#All],MATCH($B34,CF_Gen_1[[#All],[Incurred]],0),0),0)-IFERROR(HLOOKUP("Exp_NPR",CF_Gen_1[#All],MATCH($B34,CF_Gen_1[[#All],[Incurred]],0),0),0)</f>
        <v>67046185.216179766</v>
      </c>
      <c r="F34" s="21">
        <f>-IFERROR(HLOOKUP("Exp_RA",CF_Gen_1[#All],MATCH($B34,CF_Gen_1[[#All],[Incurred]],0),0),0)</f>
        <v>9386465.9302651677</v>
      </c>
      <c r="G34" s="21">
        <f>-IFERROR(HLOOKUP("Exp_Expense",CF_Gen_1[#All],MATCH($B34,CF_Gen_1[[#All],[Incurred]],0),0),0)</f>
        <v>14917776.210599998</v>
      </c>
      <c r="H34" s="21">
        <f>-IFERROR(HLOOKUP("Exp_Commission",CF_Gen_1[#All],MATCH($B34,CF_Gen_1[[#All],[Incurred]],0),0),0)-IFERROR(HLOOKUP("Exp_Acquisition",CF_Gen_1[#All],MATCH($B34,CF_Gen_1[[#All],[Incurred]],0),0),0)</f>
        <v>-58762753.86122445</v>
      </c>
      <c r="I34" s="22">
        <f>IF(AND($J34&lt;YEAR($A34),$B34&lt;=$A34),-IFERROR(HLOOKUP("Actual_Commission",CF_Gen_1[#All],MATCH($B34,CF_Gen_1[[#All],[Incurred]],0),0),0)-IFERROR(HLOOKUP("Actual_Acquisition",CF_Gen_1[#All],MATCH($B34,CF_Gen_1[[#All],[Incurred]],0),0),0),0)</f>
        <v>0</v>
      </c>
      <c r="J34" s="27">
        <f>VLOOKUP(L34,ICG[#All],2,0)</f>
        <v>2024</v>
      </c>
      <c r="K34" s="27" t="str">
        <f>VLOOKUP(L34,ICG[#All],3,0)</f>
        <v>IC-Property</v>
      </c>
      <c r="L34" s="27" t="str">
        <f t="shared" si="2"/>
        <v>#2024#IC-Property</v>
      </c>
    </row>
    <row r="35" spans="1:12">
      <c r="A35" s="26">
        <f t="shared" si="3"/>
        <v>45930</v>
      </c>
      <c r="B35" s="26">
        <f t="shared" si="1"/>
        <v>48760</v>
      </c>
      <c r="C35" s="21">
        <f>IFERROR(HLOOKUP("Exp_Premium",CF_Gen_1[#All],MATCH($B35,CF_Gen_1[[#All],[Incurred]],0),0),0)</f>
        <v>-177522490.81527928</v>
      </c>
      <c r="D35" s="22">
        <f>IF(AND($J35&lt;YEAR($A35),$B35&lt;=$A35),IFERROR(HLOOKUP("Actual_Premium",CF_Gen_1[#All],MATCH($B35,CF_Gen_1[[#All],[Incurred]],0),0),0),0)</f>
        <v>0</v>
      </c>
      <c r="E35" s="21">
        <f>-IFERROR(HLOOKUP("Exp_Claim",CF_Gen_1[#All],MATCH($B35,CF_Gen_1[[#All],[Incurred]],0),0),0)-IFERROR(HLOOKUP("Exp_NPR",CF_Gen_1[#All],MATCH($B35,CF_Gen_1[[#All],[Incurred]],0),0),0)</f>
        <v>61339083.108753733</v>
      </c>
      <c r="F35" s="21">
        <f>-IFERROR(HLOOKUP("Exp_RA",CF_Gen_1[#All],MATCH($B35,CF_Gen_1[[#All],[Incurred]],0),0),0)</f>
        <v>8587471.6352255233</v>
      </c>
      <c r="G35" s="21">
        <f>-IFERROR(HLOOKUP("Exp_Expense",CF_Gen_1[#All],MATCH($B35,CF_Gen_1[[#All],[Incurred]],0),0),0)</f>
        <v>13647945.991697706</v>
      </c>
      <c r="H35" s="21">
        <f>-IFERROR(HLOOKUP("Exp_Commission",CF_Gen_1[#All],MATCH($B35,CF_Gen_1[[#All],[Incurred]],0),0),0)-IFERROR(HLOOKUP("Exp_Acquisition",CF_Gen_1[#All],MATCH($B35,CF_Gen_1[[#All],[Incurred]],0),0),0)</f>
        <v>-52845401.598616496</v>
      </c>
      <c r="I35" s="22">
        <f>IF(AND($J35&lt;YEAR($A35),$B35&lt;=$A35),-IFERROR(HLOOKUP("Actual_Commission",CF_Gen_1[#All],MATCH($B35,CF_Gen_1[[#All],[Incurred]],0),0),0)-IFERROR(HLOOKUP("Actual_Acquisition",CF_Gen_1[#All],MATCH($B35,CF_Gen_1[[#All],[Incurred]],0),0),0),0)</f>
        <v>0</v>
      </c>
      <c r="J35" s="27">
        <f>VLOOKUP(L35,ICG[#All],2,0)</f>
        <v>2024</v>
      </c>
      <c r="K35" s="27" t="str">
        <f>VLOOKUP(L35,ICG[#All],3,0)</f>
        <v>IC-Property</v>
      </c>
      <c r="L35" s="27" t="str">
        <f t="shared" si="2"/>
        <v>#2024#IC-Property</v>
      </c>
    </row>
    <row r="36" spans="1:12">
      <c r="A36" s="26">
        <f t="shared" si="3"/>
        <v>45930</v>
      </c>
      <c r="B36" s="26">
        <f t="shared" si="1"/>
        <v>48852</v>
      </c>
      <c r="C36" s="21">
        <f>IFERROR(HLOOKUP("Exp_Premium",CF_Gen_1[#All],MATCH($B36,CF_Gen_1[[#All],[Incurred]],0),0),0)</f>
        <v>-159728746.68619373</v>
      </c>
      <c r="D36" s="22">
        <f>IF(AND($J36&lt;YEAR($A36),$B36&lt;=$A36),IFERROR(HLOOKUP("Actual_Premium",CF_Gen_1[#All],MATCH($B36,CF_Gen_1[[#All],[Incurred]],0),0),0),0)</f>
        <v>0</v>
      </c>
      <c r="E36" s="21">
        <f>-IFERROR(HLOOKUP("Exp_Claim",CF_Gen_1[#All],MATCH($B36,CF_Gen_1[[#All],[Incurred]],0),0),0)-IFERROR(HLOOKUP("Exp_NPR",CF_Gen_1[#All],MATCH($B36,CF_Gen_1[[#All],[Incurred]],0),0),0)</f>
        <v>56102448.988808051</v>
      </c>
      <c r="F36" s="21">
        <f>-IFERROR(HLOOKUP("Exp_RA",CF_Gen_1[#All],MATCH($B36,CF_Gen_1[[#All],[Incurred]],0),0),0)</f>
        <v>7854342.8584331274</v>
      </c>
      <c r="G36" s="21">
        <f>-IFERROR(HLOOKUP("Exp_Expense",CF_Gen_1[#All],MATCH($B36,CF_Gen_1[[#All],[Incurred]],0),0),0)</f>
        <v>12482794.90000979</v>
      </c>
      <c r="H36" s="21">
        <f>-IFERROR(HLOOKUP("Exp_Commission",CF_Gen_1[#All],MATCH($B36,CF_Gen_1[[#All],[Incurred]],0),0),0)-IFERROR(HLOOKUP("Exp_Acquisition",CF_Gen_1[#All],MATCH($B36,CF_Gen_1[[#All],[Incurred]],0),0),0)</f>
        <v>-47496737.50049834</v>
      </c>
      <c r="I36" s="22">
        <f>IF(AND($J36&lt;YEAR($A36),$B36&lt;=$A36),-IFERROR(HLOOKUP("Actual_Commission",CF_Gen_1[#All],MATCH($B36,CF_Gen_1[[#All],[Incurred]],0),0),0)-IFERROR(HLOOKUP("Actual_Acquisition",CF_Gen_1[#All],MATCH($B36,CF_Gen_1[[#All],[Incurred]],0),0),0),0)</f>
        <v>0</v>
      </c>
      <c r="J36" s="27">
        <f>VLOOKUP(L36,ICG[#All],2,0)</f>
        <v>2024</v>
      </c>
      <c r="K36" s="27" t="str">
        <f>VLOOKUP(L36,ICG[#All],3,0)</f>
        <v>IC-Property</v>
      </c>
      <c r="L36" s="27" t="str">
        <f t="shared" si="2"/>
        <v>#2024#IC-Property</v>
      </c>
    </row>
    <row r="37" spans="1:12">
      <c r="A37" s="26">
        <f t="shared" si="3"/>
        <v>45930</v>
      </c>
      <c r="B37" s="26">
        <f t="shared" si="1"/>
        <v>48944</v>
      </c>
      <c r="C37" s="21">
        <f>IFERROR(HLOOKUP("Exp_Premium",CF_Gen_1[#All],MATCH($B37,CF_Gen_1[[#All],[Incurred]],0),0),0)</f>
        <v>-143638770.13163951</v>
      </c>
      <c r="D37" s="22">
        <f>IF(AND($J37&lt;YEAR($A37),$B37&lt;=$A37),IFERROR(HLOOKUP("Actual_Premium",CF_Gen_1[#All],MATCH($B37,CF_Gen_1[[#All],[Incurred]],0),0),0),0)</f>
        <v>0</v>
      </c>
      <c r="E37" s="21">
        <f>-IFERROR(HLOOKUP("Exp_Claim",CF_Gen_1[#All],MATCH($B37,CF_Gen_1[[#All],[Incurred]],0),0),0)-IFERROR(HLOOKUP("Exp_NPR",CF_Gen_1[#All],MATCH($B37,CF_Gen_1[[#All],[Incurred]],0),0),0)</f>
        <v>51298382.138421893</v>
      </c>
      <c r="F37" s="21">
        <f>-IFERROR(HLOOKUP("Exp_RA",CF_Gen_1[#All],MATCH($B37,CF_Gen_1[[#All],[Incurred]],0),0),0)</f>
        <v>7181773.4993790658</v>
      </c>
      <c r="G37" s="21">
        <f>-IFERROR(HLOOKUP("Exp_Expense",CF_Gen_1[#All],MATCH($B37,CF_Gen_1[[#All],[Incurred]],0),0),0)</f>
        <v>11413890.025798872</v>
      </c>
      <c r="H37" s="21">
        <f>-IFERROR(HLOOKUP("Exp_Commission",CF_Gen_1[#All],MATCH($B37,CF_Gen_1[[#All],[Incurred]],0),0),0)-IFERROR(HLOOKUP("Exp_Acquisition",CF_Gen_1[#All],MATCH($B37,CF_Gen_1[[#All],[Incurred]],0),0),0)</f>
        <v>-42664166.50601308</v>
      </c>
      <c r="I37" s="22">
        <f>IF(AND($J37&lt;YEAR($A37),$B37&lt;=$A37),-IFERROR(HLOOKUP("Actual_Commission",CF_Gen_1[#All],MATCH($B37,CF_Gen_1[[#All],[Incurred]],0),0),0)-IFERROR(HLOOKUP("Actual_Acquisition",CF_Gen_1[#All],MATCH($B37,CF_Gen_1[[#All],[Incurred]],0),0),0),0)</f>
        <v>0</v>
      </c>
      <c r="J37" s="27">
        <f>VLOOKUP(L37,ICG[#All],2,0)</f>
        <v>2024</v>
      </c>
      <c r="K37" s="27" t="str">
        <f>VLOOKUP(L37,ICG[#All],3,0)</f>
        <v>IC-Property</v>
      </c>
      <c r="L37" s="27" t="str">
        <f t="shared" si="2"/>
        <v>#2024#IC-Property</v>
      </c>
    </row>
    <row r="38" spans="1:12">
      <c r="A38" s="26">
        <f t="shared" si="3"/>
        <v>45930</v>
      </c>
      <c r="B38" s="26">
        <f t="shared" si="1"/>
        <v>49034</v>
      </c>
      <c r="C38" s="21">
        <f>IFERROR(HLOOKUP("Exp_Premium",CF_Gen_1[#All],MATCH($B38,CF_Gen_1[[#All],[Incurred]],0),0),0)</f>
        <v>-129095447.78531283</v>
      </c>
      <c r="D38" s="22">
        <f>IF(AND($J38&lt;YEAR($A38),$B38&lt;=$A38),IFERROR(HLOOKUP("Actual_Premium",CF_Gen_1[#All],MATCH($B38,CF_Gen_1[[#All],[Incurred]],0),0),0),0)</f>
        <v>0</v>
      </c>
      <c r="E38" s="21">
        <f>-IFERROR(HLOOKUP("Exp_Claim",CF_Gen_1[#All],MATCH($B38,CF_Gen_1[[#All],[Incurred]],0),0),0)-IFERROR(HLOOKUP("Exp_NPR",CF_Gen_1[#All],MATCH($B38,CF_Gen_1[[#All],[Incurred]],0),0),0)</f>
        <v>46891982.647044629</v>
      </c>
      <c r="F38" s="21">
        <f>-IFERROR(HLOOKUP("Exp_RA",CF_Gen_1[#All],MATCH($B38,CF_Gen_1[[#All],[Incurred]],0),0),0)</f>
        <v>6564877.5705862483</v>
      </c>
      <c r="G38" s="21">
        <f>-IFERROR(HLOOKUP("Exp_Expense",CF_Gen_1[#All],MATCH($B38,CF_Gen_1[[#All],[Incurred]],0),0),0)</f>
        <v>10433466.138967428</v>
      </c>
      <c r="H38" s="21">
        <f>-IFERROR(HLOOKUP("Exp_Commission",CF_Gen_1[#All],MATCH($B38,CF_Gen_1[[#All],[Incurred]],0),0),0)-IFERROR(HLOOKUP("Exp_Acquisition",CF_Gen_1[#All],MATCH($B38,CF_Gen_1[[#All],[Incurred]],0),0),0)</f>
        <v>-38299808.452891819</v>
      </c>
      <c r="I38" s="22">
        <f>IF(AND($J38&lt;YEAR($A38),$B38&lt;=$A38),-IFERROR(HLOOKUP("Actual_Commission",CF_Gen_1[#All],MATCH($B38,CF_Gen_1[[#All],[Incurred]],0),0),0)-IFERROR(HLOOKUP("Actual_Acquisition",CF_Gen_1[#All],MATCH($B38,CF_Gen_1[[#All],[Incurred]],0),0),0),0)</f>
        <v>0</v>
      </c>
      <c r="J38" s="27">
        <f>VLOOKUP(L38,ICG[#All],2,0)</f>
        <v>2024</v>
      </c>
      <c r="K38" s="27" t="str">
        <f>VLOOKUP(L38,ICG[#All],3,0)</f>
        <v>IC-Property</v>
      </c>
      <c r="L38" s="27" t="str">
        <f t="shared" si="2"/>
        <v>#2024#IC-Property</v>
      </c>
    </row>
    <row r="39" spans="1:12">
      <c r="A39" s="26">
        <f t="shared" si="3"/>
        <v>45930</v>
      </c>
      <c r="B39" s="26">
        <f t="shared" si="1"/>
        <v>49125</v>
      </c>
      <c r="C39" s="21">
        <f>IFERROR(HLOOKUP("Exp_Premium",CF_Gen_1[#All],MATCH($B39,CF_Gen_1[[#All],[Incurred]],0),0),0)</f>
        <v>-115955717.95872451</v>
      </c>
      <c r="D39" s="22">
        <f>IF(AND($J39&lt;YEAR($A39),$B39&lt;=$A39),IFERROR(HLOOKUP("Actual_Premium",CF_Gen_1[#All],MATCH($B39,CF_Gen_1[[#All],[Incurred]],0),0),0),0)</f>
        <v>0</v>
      </c>
      <c r="E39" s="21">
        <f>-IFERROR(HLOOKUP("Exp_Claim",CF_Gen_1[#All],MATCH($B39,CF_Gen_1[[#All],[Incurred]],0),0),0)-IFERROR(HLOOKUP("Exp_NPR",CF_Gen_1[#All],MATCH($B39,CF_Gen_1[[#All],[Incurred]],0),0),0)</f>
        <v>42851117.011981912</v>
      </c>
      <c r="F39" s="21">
        <f>-IFERROR(HLOOKUP("Exp_RA",CF_Gen_1[#All],MATCH($B39,CF_Gen_1[[#All],[Incurred]],0),0),0)</f>
        <v>5999156.3816774683</v>
      </c>
      <c r="G39" s="21">
        <f>-IFERROR(HLOOKUP("Exp_Expense",CF_Gen_1[#All],MATCH($B39,CF_Gen_1[[#All],[Incurred]],0),0),0)</f>
        <v>9534373.5351659767</v>
      </c>
      <c r="H39" s="21">
        <f>-IFERROR(HLOOKUP("Exp_Commission",CF_Gen_1[#All],MATCH($B39,CF_Gen_1[[#All],[Incurred]],0),0),0)-IFERROR(HLOOKUP("Exp_Acquisition",CF_Gen_1[#All],MATCH($B39,CF_Gen_1[[#All],[Incurred]],0),0),0)</f>
        <v>-34360086.036104381</v>
      </c>
      <c r="I39" s="22">
        <f>IF(AND($J39&lt;YEAR($A39),$B39&lt;=$A39),-IFERROR(HLOOKUP("Actual_Commission",CF_Gen_1[#All],MATCH($B39,CF_Gen_1[[#All],[Incurred]],0),0),0)-IFERROR(HLOOKUP("Actual_Acquisition",CF_Gen_1[#All],MATCH($B39,CF_Gen_1[[#All],[Incurred]],0),0),0),0)</f>
        <v>0</v>
      </c>
      <c r="J39" s="27">
        <f>VLOOKUP(L39,ICG[#All],2,0)</f>
        <v>2024</v>
      </c>
      <c r="K39" s="27" t="str">
        <f>VLOOKUP(L39,ICG[#All],3,0)</f>
        <v>IC-Property</v>
      </c>
      <c r="L39" s="27" t="str">
        <f t="shared" si="2"/>
        <v>#2024#IC-Property</v>
      </c>
    </row>
    <row r="40" spans="1:12">
      <c r="A40" s="26">
        <f t="shared" si="3"/>
        <v>45930</v>
      </c>
      <c r="B40" s="26">
        <f t="shared" si="1"/>
        <v>49217</v>
      </c>
      <c r="C40" s="21">
        <f>IFERROR(HLOOKUP("Exp_Premium",CF_Gen_1[#All],MATCH($B40,CF_Gen_1[[#All],[Incurred]],0),0),0)</f>
        <v>-104089344.96306539</v>
      </c>
      <c r="D40" s="22">
        <f>IF(AND($J40&lt;YEAR($A40),$B40&lt;=$A40),IFERROR(HLOOKUP("Actual_Premium",CF_Gen_1[#All],MATCH($B40,CF_Gen_1[[#All],[Incurred]],0),0),0),0)</f>
        <v>0</v>
      </c>
      <c r="E40" s="21">
        <f>-IFERROR(HLOOKUP("Exp_Claim",CF_Gen_1[#All],MATCH($B40,CF_Gen_1[[#All],[Incurred]],0),0),0)-IFERROR(HLOOKUP("Exp_NPR",CF_Gen_1[#All],MATCH($B40,CF_Gen_1[[#All],[Incurred]],0),0),0)</f>
        <v>39146201.850857459</v>
      </c>
      <c r="F40" s="21">
        <f>-IFERROR(HLOOKUP("Exp_RA",CF_Gen_1[#All],MATCH($B40,CF_Gen_1[[#All],[Incurred]],0),0),0)</f>
        <v>5480468.2591200452</v>
      </c>
      <c r="G40" s="21">
        <f>-IFERROR(HLOOKUP("Exp_Expense",CF_Gen_1[#All],MATCH($B40,CF_Gen_1[[#All],[Incurred]],0),0),0)</f>
        <v>8710029.9118157849</v>
      </c>
      <c r="H40" s="21">
        <f>-IFERROR(HLOOKUP("Exp_Commission",CF_Gen_1[#All],MATCH($B40,CF_Gen_1[[#All],[Incurred]],0),0),0)-IFERROR(HLOOKUP("Exp_Acquisition",CF_Gen_1[#All],MATCH($B40,CF_Gen_1[[#All],[Incurred]],0),0),0)</f>
        <v>-30805348.026289981</v>
      </c>
      <c r="I40" s="22">
        <f>IF(AND($J40&lt;YEAR($A40),$B40&lt;=$A40),-IFERROR(HLOOKUP("Actual_Commission",CF_Gen_1[#All],MATCH($B40,CF_Gen_1[[#All],[Incurred]],0),0),0)-IFERROR(HLOOKUP("Actual_Acquisition",CF_Gen_1[#All],MATCH($B40,CF_Gen_1[[#All],[Incurred]],0),0),0),0)</f>
        <v>0</v>
      </c>
      <c r="J40" s="27">
        <f>VLOOKUP(L40,ICG[#All],2,0)</f>
        <v>2024</v>
      </c>
      <c r="K40" s="27" t="str">
        <f>VLOOKUP(L40,ICG[#All],3,0)</f>
        <v>IC-Property</v>
      </c>
      <c r="L40" s="27" t="str">
        <f t="shared" si="2"/>
        <v>#2024#IC-Property</v>
      </c>
    </row>
    <row r="41" spans="1:12">
      <c r="A41" s="26">
        <f t="shared" si="3"/>
        <v>45930</v>
      </c>
      <c r="B41" s="26">
        <f t="shared" si="1"/>
        <v>49309</v>
      </c>
      <c r="C41" s="21">
        <f>IFERROR(HLOOKUP("Exp_Premium",CF_Gen_1[#All],MATCH($B41,CF_Gen_1[[#All],[Incurred]],0),0),0)</f>
        <v>-93377798.153700784</v>
      </c>
      <c r="D41" s="22">
        <f>IF(AND($J41&lt;YEAR($A41),$B41&lt;=$A41),IFERROR(HLOOKUP("Actual_Premium",CF_Gen_1[#All],MATCH($B41,CF_Gen_1[[#All],[Incurred]],0),0),0),0)</f>
        <v>0</v>
      </c>
      <c r="E41" s="21">
        <f>-IFERROR(HLOOKUP("Exp_Claim",CF_Gen_1[#All],MATCH($B41,CF_Gen_1[[#All],[Incurred]],0),0),0)-IFERROR(HLOOKUP("Exp_NPR",CF_Gen_1[#All],MATCH($B41,CF_Gen_1[[#All],[Incurred]],0),0),0)</f>
        <v>35750004.338931724</v>
      </c>
      <c r="F41" s="21">
        <f>-IFERROR(HLOOKUP("Exp_RA",CF_Gen_1[#All],MATCH($B41,CF_Gen_1[[#All],[Incurred]],0),0),0)</f>
        <v>5005000.6074504415</v>
      </c>
      <c r="G41" s="21">
        <f>-IFERROR(HLOOKUP("Exp_Expense",CF_Gen_1[#All],MATCH($B41,CF_Gen_1[[#All],[Incurred]],0),0),0)</f>
        <v>7954375.9654123075</v>
      </c>
      <c r="H41" s="21">
        <f>-IFERROR(HLOOKUP("Exp_Commission",CF_Gen_1[#All],MATCH($B41,CF_Gen_1[[#All],[Incurred]],0),0),0)-IFERROR(HLOOKUP("Exp_Acquisition",CF_Gen_1[#All],MATCH($B41,CF_Gen_1[[#All],[Incurred]],0),0),0)</f>
        <v>-27599524.783211704</v>
      </c>
      <c r="I41" s="22">
        <f>IF(AND($J41&lt;YEAR($A41),$B41&lt;=$A41),-IFERROR(HLOOKUP("Actual_Commission",CF_Gen_1[#All],MATCH($B41,CF_Gen_1[[#All],[Incurred]],0),0),0)-IFERROR(HLOOKUP("Actual_Acquisition",CF_Gen_1[#All],MATCH($B41,CF_Gen_1[[#All],[Incurred]],0),0),0),0)</f>
        <v>0</v>
      </c>
      <c r="J41" s="27">
        <f>VLOOKUP(L41,ICG[#All],2,0)</f>
        <v>2024</v>
      </c>
      <c r="K41" s="27" t="str">
        <f>VLOOKUP(L41,ICG[#All],3,0)</f>
        <v>IC-Property</v>
      </c>
      <c r="L41" s="27" t="str">
        <f t="shared" si="2"/>
        <v>#2024#IC-Property</v>
      </c>
    </row>
    <row r="42" spans="1:12">
      <c r="A42" s="26">
        <f t="shared" si="3"/>
        <v>45930</v>
      </c>
      <c r="B42" s="26">
        <f t="shared" si="1"/>
        <v>49399</v>
      </c>
      <c r="C42" s="21">
        <f>IFERROR(HLOOKUP("Exp_Premium",CF_Gen_1[#All],MATCH($B42,CF_Gen_1[[#All],[Incurred]],0),0),0)</f>
        <v>-83713226.90328519</v>
      </c>
      <c r="D42" s="22">
        <f>IF(AND($J42&lt;YEAR($A42),$B42&lt;=$A42),IFERROR(HLOOKUP("Actual_Premium",CF_Gen_1[#All],MATCH($B42,CF_Gen_1[[#All],[Incurred]],0),0),0),0)</f>
        <v>0</v>
      </c>
      <c r="E42" s="21">
        <f>-IFERROR(HLOOKUP("Exp_Claim",CF_Gen_1[#All],MATCH($B42,CF_Gen_1[[#All],[Incurred]],0),0),0)-IFERROR(HLOOKUP("Exp_NPR",CF_Gen_1[#All],MATCH($B42,CF_Gen_1[[#All],[Incurred]],0),0),0)</f>
        <v>32637458.089606382</v>
      </c>
      <c r="F42" s="21">
        <f>-IFERROR(HLOOKUP("Exp_RA",CF_Gen_1[#All],MATCH($B42,CF_Gen_1[[#All],[Incurred]],0),0),0)</f>
        <v>4569244.1325448938</v>
      </c>
      <c r="G42" s="21">
        <f>-IFERROR(HLOOKUP("Exp_Expense",CF_Gen_1[#All],MATCH($B42,CF_Gen_1[[#All],[Incurred]],0),0),0)</f>
        <v>7261834.4249374196</v>
      </c>
      <c r="H42" s="21">
        <f>-IFERROR(HLOOKUP("Exp_Commission",CF_Gen_1[#All],MATCH($B42,CF_Gen_1[[#All],[Incurred]],0),0),0)-IFERROR(HLOOKUP("Exp_Acquisition",CF_Gen_1[#All],MATCH($B42,CF_Gen_1[[#All],[Incurred]],0),0),0)</f>
        <v>-24709813.345088862</v>
      </c>
      <c r="I42" s="22">
        <f>IF(AND($J42&lt;YEAR($A42),$B42&lt;=$A42),-IFERROR(HLOOKUP("Actual_Commission",CF_Gen_1[#All],MATCH($B42,CF_Gen_1[[#All],[Incurred]],0),0),0)-IFERROR(HLOOKUP("Actual_Acquisition",CF_Gen_1[#All],MATCH($B42,CF_Gen_1[[#All],[Incurred]],0),0),0),0)</f>
        <v>0</v>
      </c>
      <c r="J42" s="27">
        <f>VLOOKUP(L42,ICG[#All],2,0)</f>
        <v>2024</v>
      </c>
      <c r="K42" s="27" t="str">
        <f>VLOOKUP(L42,ICG[#All],3,0)</f>
        <v>IC-Property</v>
      </c>
      <c r="L42" s="27" t="str">
        <f t="shared" si="2"/>
        <v>#2024#IC-Property</v>
      </c>
    </row>
    <row r="43" spans="1:12">
      <c r="A43" s="26">
        <f t="shared" si="3"/>
        <v>45930</v>
      </c>
      <c r="B43" s="26">
        <f t="shared" si="1"/>
        <v>49490</v>
      </c>
      <c r="C43" s="21">
        <f>IFERROR(HLOOKUP("Exp_Premium",CF_Gen_1[#All],MATCH($B43,CF_Gen_1[[#All],[Incurred]],0),0),0)</f>
        <v>-74997523.437214673</v>
      </c>
      <c r="D43" s="22">
        <f>IF(AND($J43&lt;YEAR($A43),$B43&lt;=$A43),IFERROR(HLOOKUP("Actual_Premium",CF_Gen_1[#All],MATCH($B43,CF_Gen_1[[#All],[Incurred]],0),0),0),0)</f>
        <v>0</v>
      </c>
      <c r="E43" s="21">
        <f>-IFERROR(HLOOKUP("Exp_Claim",CF_Gen_1[#All],MATCH($B43,CF_Gen_1[[#All],[Incurred]],0),0),0)-IFERROR(HLOOKUP("Exp_NPR",CF_Gen_1[#All],MATCH($B43,CF_Gen_1[[#All],[Incurred]],0),0),0)</f>
        <v>29785493.293925811</v>
      </c>
      <c r="F43" s="21">
        <f>-IFERROR(HLOOKUP("Exp_RA",CF_Gen_1[#All],MATCH($B43,CF_Gen_1[[#All],[Incurred]],0),0),0)</f>
        <v>4169969.0611496139</v>
      </c>
      <c r="G43" s="21">
        <f>-IFERROR(HLOOKUP("Exp_Expense",CF_Gen_1[#All],MATCH($B43,CF_Gen_1[[#All],[Incurred]],0),0),0)</f>
        <v>6627272.2578984927</v>
      </c>
      <c r="H43" s="21">
        <f>-IFERROR(HLOOKUP("Exp_Commission",CF_Gen_1[#All],MATCH($B43,CF_Gen_1[[#All],[Incurred]],0),0),0)-IFERROR(HLOOKUP("Exp_Acquisition",CF_Gen_1[#All],MATCH($B43,CF_Gen_1[[#All],[Incurred]],0),0),0)</f>
        <v>-22106389.600181047</v>
      </c>
      <c r="I43" s="22">
        <f>IF(AND($J43&lt;YEAR($A43),$B43&lt;=$A43),-IFERROR(HLOOKUP("Actual_Commission",CF_Gen_1[#All],MATCH($B43,CF_Gen_1[[#All],[Incurred]],0),0),0)-IFERROR(HLOOKUP("Actual_Acquisition",CF_Gen_1[#All],MATCH($B43,CF_Gen_1[[#All],[Incurred]],0),0),0),0)</f>
        <v>0</v>
      </c>
      <c r="J43" s="27">
        <f>VLOOKUP(L43,ICG[#All],2,0)</f>
        <v>2024</v>
      </c>
      <c r="K43" s="27" t="str">
        <f>VLOOKUP(L43,ICG[#All],3,0)</f>
        <v>IC-Property</v>
      </c>
      <c r="L43" s="27" t="str">
        <f t="shared" si="2"/>
        <v>#2024#IC-Property</v>
      </c>
    </row>
    <row r="44" spans="1:12">
      <c r="A44" s="26">
        <f t="shared" si="3"/>
        <v>45930</v>
      </c>
      <c r="B44" s="26">
        <f t="shared" si="1"/>
        <v>49582</v>
      </c>
      <c r="C44" s="21">
        <f>IFERROR(HLOOKUP("Exp_Premium",CF_Gen_1[#All],MATCH($B44,CF_Gen_1[[#All],[Incurred]],0),0),0)</f>
        <v>-67141466.133391127</v>
      </c>
      <c r="D44" s="22">
        <f>IF(AND($J44&lt;YEAR($A44),$B44&lt;=$A44),IFERROR(HLOOKUP("Actual_Premium",CF_Gen_1[#All],MATCH($B44,CF_Gen_1[[#All],[Incurred]],0),0),0),0)</f>
        <v>0</v>
      </c>
      <c r="E44" s="21">
        <f>-IFERROR(HLOOKUP("Exp_Claim",CF_Gen_1[#All],MATCH($B44,CF_Gen_1[[#All],[Incurred]],0),0),0)-IFERROR(HLOOKUP("Exp_NPR",CF_Gen_1[#All],MATCH($B44,CF_Gen_1[[#All],[Incurred]],0),0),0)</f>
        <v>27172880.025001466</v>
      </c>
      <c r="F44" s="21">
        <f>-IFERROR(HLOOKUP("Exp_RA",CF_Gen_1[#All],MATCH($B44,CF_Gen_1[[#All],[Incurred]],0),0),0)</f>
        <v>3804203.2035002057</v>
      </c>
      <c r="G44" s="21">
        <f>-IFERROR(HLOOKUP("Exp_Expense",CF_Gen_1[#All],MATCH($B44,CF_Gen_1[[#All],[Incurred]],0),0),0)</f>
        <v>6045965.8055628259</v>
      </c>
      <c r="H44" s="21">
        <f>-IFERROR(HLOOKUP("Exp_Commission",CF_Gen_1[#All],MATCH($B44,CF_Gen_1[[#All],[Incurred]],0),0),0)-IFERROR(HLOOKUP("Exp_Acquisition",CF_Gen_1[#All],MATCH($B44,CF_Gen_1[[#All],[Incurred]],0),0),0)</f>
        <v>-19762145.25405287</v>
      </c>
      <c r="I44" s="22">
        <f>IF(AND($J44&lt;YEAR($A44),$B44&lt;=$A44),-IFERROR(HLOOKUP("Actual_Commission",CF_Gen_1[#All],MATCH($B44,CF_Gen_1[[#All],[Incurred]],0),0),0)-IFERROR(HLOOKUP("Actual_Acquisition",CF_Gen_1[#All],MATCH($B44,CF_Gen_1[[#All],[Incurred]],0),0),0),0)</f>
        <v>0</v>
      </c>
      <c r="J44" s="27">
        <f>VLOOKUP(L44,ICG[#All],2,0)</f>
        <v>2024</v>
      </c>
      <c r="K44" s="27" t="str">
        <f>VLOOKUP(L44,ICG[#All],3,0)</f>
        <v>IC-Property</v>
      </c>
      <c r="L44" s="27" t="str">
        <f t="shared" si="2"/>
        <v>#2024#IC-Property</v>
      </c>
    </row>
    <row r="45" spans="1:12">
      <c r="A45" s="26">
        <f t="shared" si="3"/>
        <v>45930</v>
      </c>
      <c r="B45" s="26">
        <f t="shared" si="1"/>
        <v>49674</v>
      </c>
      <c r="C45" s="21">
        <f>IFERROR(HLOOKUP("Exp_Premium",CF_Gen_1[#All],MATCH($B45,CF_Gen_1[[#All],[Incurred]],0),0),0)</f>
        <v>-60063936.501866132</v>
      </c>
      <c r="D45" s="22">
        <f>IF(AND($J45&lt;YEAR($A45),$B45&lt;=$A45),IFERROR(HLOOKUP("Actual_Premium",CF_Gen_1[#All],MATCH($B45,CF_Gen_1[[#All],[Incurred]],0),0),0),0)</f>
        <v>0</v>
      </c>
      <c r="E45" s="21">
        <f>-IFERROR(HLOOKUP("Exp_Claim",CF_Gen_1[#All],MATCH($B45,CF_Gen_1[[#All],[Incurred]],0),0),0)-IFERROR(HLOOKUP("Exp_NPR",CF_Gen_1[#All],MATCH($B45,CF_Gen_1[[#All],[Incurred]],0),0),0)</f>
        <v>24780083.696586289</v>
      </c>
      <c r="F45" s="21">
        <f>-IFERROR(HLOOKUP("Exp_RA",CF_Gen_1[#All],MATCH($B45,CF_Gen_1[[#All],[Incurred]],0),0),0)</f>
        <v>3469211.7175220805</v>
      </c>
      <c r="G45" s="21">
        <f>-IFERROR(HLOOKUP("Exp_Expense",CF_Gen_1[#All],MATCH($B45,CF_Gen_1[[#All],[Incurred]],0),0),0)</f>
        <v>5513568.6224904489</v>
      </c>
      <c r="H45" s="21">
        <f>-IFERROR(HLOOKUP("Exp_Commission",CF_Gen_1[#All],MATCH($B45,CF_Gen_1[[#All],[Incurred]],0),0),0)-IFERROR(HLOOKUP("Exp_Acquisition",CF_Gen_1[#All],MATCH($B45,CF_Gen_1[[#All],[Incurred]],0),0),0)</f>
        <v>-17652447.496033378</v>
      </c>
      <c r="I45" s="22">
        <f>IF(AND($J45&lt;YEAR($A45),$B45&lt;=$A45),-IFERROR(HLOOKUP("Actual_Commission",CF_Gen_1[#All],MATCH($B45,CF_Gen_1[[#All],[Incurred]],0),0),0)-IFERROR(HLOOKUP("Actual_Acquisition",CF_Gen_1[#All],MATCH($B45,CF_Gen_1[[#All],[Incurred]],0),0),0),0)</f>
        <v>0</v>
      </c>
      <c r="J45" s="27">
        <f>VLOOKUP(L45,ICG[#All],2,0)</f>
        <v>2024</v>
      </c>
      <c r="K45" s="27" t="str">
        <f>VLOOKUP(L45,ICG[#All],3,0)</f>
        <v>IC-Property</v>
      </c>
      <c r="L45" s="27" t="str">
        <f t="shared" si="2"/>
        <v>#2024#IC-Property</v>
      </c>
    </row>
    <row r="46" spans="1:12">
      <c r="A46" s="26">
        <f t="shared" si="3"/>
        <v>45930</v>
      </c>
      <c r="B46" s="26">
        <f t="shared" si="1"/>
        <v>49765</v>
      </c>
      <c r="C46" s="21">
        <f>IFERROR(HLOOKUP("Exp_Premium",CF_Gen_1[#All],MATCH($B46,CF_Gen_1[[#All],[Incurred]],0),0),0)</f>
        <v>-53691203.623284213</v>
      </c>
      <c r="D46" s="22">
        <f>IF(AND($J46&lt;YEAR($A46),$B46&lt;=$A46),IFERROR(HLOOKUP("Actual_Premium",CF_Gen_1[#All],MATCH($B46,CF_Gen_1[[#All],[Incurred]],0),0),0),0)</f>
        <v>0</v>
      </c>
      <c r="E46" s="21">
        <f>-IFERROR(HLOOKUP("Exp_Claim",CF_Gen_1[#All],MATCH($B46,CF_Gen_1[[#All],[Incurred]],0),0),0)-IFERROR(HLOOKUP("Exp_NPR",CF_Gen_1[#All],MATCH($B46,CF_Gen_1[[#All],[Incurred]],0),0),0)</f>
        <v>22589131.742026731</v>
      </c>
      <c r="F46" s="21">
        <f>-IFERROR(HLOOKUP("Exp_RA",CF_Gen_1[#All],MATCH($B46,CF_Gen_1[[#All],[Incurred]],0),0),0)</f>
        <v>3162478.4438837427</v>
      </c>
      <c r="G46" s="21">
        <f>-IFERROR(HLOOKUP("Exp_Expense",CF_Gen_1[#All],MATCH($B46,CF_Gen_1[[#All],[Incurred]],0),0),0)</f>
        <v>5026081.8126009479</v>
      </c>
      <c r="H46" s="21">
        <f>-IFERROR(HLOOKUP("Exp_Commission",CF_Gen_1[#All],MATCH($B46,CF_Gen_1[[#All],[Incurred]],0),0),0)-IFERROR(HLOOKUP("Exp_Acquisition",CF_Gen_1[#All],MATCH($B46,CF_Gen_1[[#All],[Incurred]],0),0),0)</f>
        <v>-15754919.442874976</v>
      </c>
      <c r="I46" s="22">
        <f>IF(AND($J46&lt;YEAR($A46),$B46&lt;=$A46),-IFERROR(HLOOKUP("Actual_Commission",CF_Gen_1[#All],MATCH($B46,CF_Gen_1[[#All],[Incurred]],0),0),0)-IFERROR(HLOOKUP("Actual_Acquisition",CF_Gen_1[#All],MATCH($B46,CF_Gen_1[[#All],[Incurred]],0),0),0),0)</f>
        <v>0</v>
      </c>
      <c r="J46" s="27">
        <f>VLOOKUP(L46,ICG[#All],2,0)</f>
        <v>2024</v>
      </c>
      <c r="K46" s="27" t="str">
        <f>VLOOKUP(L46,ICG[#All],3,0)</f>
        <v>IC-Property</v>
      </c>
      <c r="L46" s="27" t="str">
        <f t="shared" si="2"/>
        <v>#2024#IC-Property</v>
      </c>
    </row>
    <row r="47" spans="1:12">
      <c r="A47" s="26">
        <f t="shared" si="3"/>
        <v>45930</v>
      </c>
      <c r="B47" s="26">
        <f t="shared" si="1"/>
        <v>49856</v>
      </c>
      <c r="C47" s="21">
        <f>IFERROR(HLOOKUP("Exp_Premium",CF_Gen_1[#All],MATCH($B47,CF_Gen_1[[#All],[Incurred]],0),0),0)</f>
        <v>-47956270.342226975</v>
      </c>
      <c r="D47" s="22">
        <f>IF(AND($J47&lt;YEAR($A47),$B47&lt;=$A47),IFERROR(HLOOKUP("Actual_Premium",CF_Gen_1[#All],MATCH($B47,CF_Gen_1[[#All],[Incurred]],0),0),0),0)</f>
        <v>0</v>
      </c>
      <c r="E47" s="21">
        <f>-IFERROR(HLOOKUP("Exp_Claim",CF_Gen_1[#All],MATCH($B47,CF_Gen_1[[#All],[Incurred]],0),0),0)-IFERROR(HLOOKUP("Exp_NPR",CF_Gen_1[#All],MATCH($B47,CF_Gen_1[[#All],[Incurred]],0),0),0)</f>
        <v>20583490.650992233</v>
      </c>
      <c r="F47" s="21">
        <f>-IFERROR(HLOOKUP("Exp_RA",CF_Gen_1[#All],MATCH($B47,CF_Gen_1[[#All],[Incurred]],0),0),0)</f>
        <v>2881688.6911389129</v>
      </c>
      <c r="G47" s="21">
        <f>-IFERROR(HLOOKUP("Exp_Expense",CF_Gen_1[#All],MATCH($B47,CF_Gen_1[[#All],[Incurred]],0),0),0)</f>
        <v>4579826.669845772</v>
      </c>
      <c r="H47" s="21">
        <f>-IFERROR(HLOOKUP("Exp_Commission",CF_Gen_1[#All],MATCH($B47,CF_Gen_1[[#All],[Incurred]],0),0),0)-IFERROR(HLOOKUP("Exp_Acquisition",CF_Gen_1[#All],MATCH($B47,CF_Gen_1[[#All],[Incurred]],0),0),0)</f>
        <v>-14049239.597777581</v>
      </c>
      <c r="I47" s="22">
        <f>IF(AND($J47&lt;YEAR($A47),$B47&lt;=$A47),-IFERROR(HLOOKUP("Actual_Commission",CF_Gen_1[#All],MATCH($B47,CF_Gen_1[[#All],[Incurred]],0),0),0)-IFERROR(HLOOKUP("Actual_Acquisition",CF_Gen_1[#All],MATCH($B47,CF_Gen_1[[#All],[Incurred]],0),0),0),0)</f>
        <v>0</v>
      </c>
      <c r="J47" s="27">
        <f>VLOOKUP(L47,ICG[#All],2,0)</f>
        <v>2024</v>
      </c>
      <c r="K47" s="27" t="str">
        <f>VLOOKUP(L47,ICG[#All],3,0)</f>
        <v>IC-Property</v>
      </c>
      <c r="L47" s="27" t="str">
        <f t="shared" si="2"/>
        <v>#2024#IC-Property</v>
      </c>
    </row>
    <row r="48" spans="1:12">
      <c r="A48" s="26">
        <f t="shared" si="3"/>
        <v>45930</v>
      </c>
      <c r="B48" s="26">
        <f t="shared" si="1"/>
        <v>49948</v>
      </c>
      <c r="C48" s="21">
        <f>IFERROR(HLOOKUP("Exp_Premium",CF_Gen_1[#All],MATCH($B48,CF_Gen_1[[#All],[Incurred]],0),0),0)</f>
        <v>-42798275.98630929</v>
      </c>
      <c r="D48" s="22">
        <f>IF(AND($J48&lt;YEAR($A48),$B48&lt;=$A48),IFERROR(HLOOKUP("Actual_Premium",CF_Gen_1[#All],MATCH($B48,CF_Gen_1[[#All],[Incurred]],0),0),0),0)</f>
        <v>0</v>
      </c>
      <c r="E48" s="21">
        <f>-IFERROR(HLOOKUP("Exp_Claim",CF_Gen_1[#All],MATCH($B48,CF_Gen_1[[#All],[Incurred]],0),0),0)-IFERROR(HLOOKUP("Exp_NPR",CF_Gen_1[#All],MATCH($B48,CF_Gen_1[[#All],[Incurred]],0),0),0)</f>
        <v>18747952.567166641</v>
      </c>
      <c r="F48" s="21">
        <f>-IFERROR(HLOOKUP("Exp_RA",CF_Gen_1[#All],MATCH($B48,CF_Gen_1[[#All],[Incurred]],0),0),0)</f>
        <v>2624713.3594033299</v>
      </c>
      <c r="G48" s="21">
        <f>-IFERROR(HLOOKUP("Exp_Expense",CF_Gen_1[#All],MATCH($B48,CF_Gen_1[[#All],[Incurred]],0),0),0)</f>
        <v>4171419.446194578</v>
      </c>
      <c r="H48" s="21">
        <f>-IFERROR(HLOOKUP("Exp_Commission",CF_Gen_1[#All],MATCH($B48,CF_Gen_1[[#All],[Incurred]],0),0),0)-IFERROR(HLOOKUP("Exp_Acquisition",CF_Gen_1[#All],MATCH($B48,CF_Gen_1[[#All],[Incurred]],0),0),0)</f>
        <v>-12516958.709938668</v>
      </c>
      <c r="I48" s="22">
        <f>IF(AND($J48&lt;YEAR($A48),$B48&lt;=$A48),-IFERROR(HLOOKUP("Actual_Commission",CF_Gen_1[#All],MATCH($B48,CF_Gen_1[[#All],[Incurred]],0),0),0)-IFERROR(HLOOKUP("Actual_Acquisition",CF_Gen_1[#All],MATCH($B48,CF_Gen_1[[#All],[Incurred]],0),0),0),0)</f>
        <v>0</v>
      </c>
      <c r="J48" s="27">
        <f>VLOOKUP(L48,ICG[#All],2,0)</f>
        <v>2024</v>
      </c>
      <c r="K48" s="27" t="str">
        <f>VLOOKUP(L48,ICG[#All],3,0)</f>
        <v>IC-Property</v>
      </c>
      <c r="L48" s="27" t="str">
        <f t="shared" si="2"/>
        <v>#2024#IC-Property</v>
      </c>
    </row>
    <row r="49" spans="1:12">
      <c r="A49" s="26">
        <f t="shared" si="3"/>
        <v>45930</v>
      </c>
      <c r="B49" s="26">
        <f t="shared" si="1"/>
        <v>50040</v>
      </c>
      <c r="C49" s="21">
        <f>IFERROR(HLOOKUP("Exp_Premium",CF_Gen_1[#All],MATCH($B49,CF_Gen_1[[#All],[Incurred]],0),0),0)</f>
        <v>-38161950.817640543</v>
      </c>
      <c r="D49" s="22">
        <f>IF(AND($J49&lt;YEAR($A49),$B49&lt;=$A49),IFERROR(HLOOKUP("Actual_Premium",CF_Gen_1[#All],MATCH($B49,CF_Gen_1[[#All],[Incurred]],0),0),0),0)</f>
        <v>0</v>
      </c>
      <c r="E49" s="21">
        <f>-IFERROR(HLOOKUP("Exp_Claim",CF_Gen_1[#All],MATCH($B49,CF_Gen_1[[#All],[Incurred]],0),0),0)-IFERROR(HLOOKUP("Exp_NPR",CF_Gen_1[#All],MATCH($B49,CF_Gen_1[[#All],[Incurred]],0),0),0)</f>
        <v>17068530.710886769</v>
      </c>
      <c r="F49" s="21">
        <f>-IFERROR(HLOOKUP("Exp_RA",CF_Gen_1[#All],MATCH($B49,CF_Gen_1[[#All],[Incurred]],0),0),0)</f>
        <v>2389594.299524148</v>
      </c>
      <c r="G49" s="21">
        <f>-IFERROR(HLOOKUP("Exp_Expense",CF_Gen_1[#All],MATCH($B49,CF_Gen_1[[#All],[Incurred]],0),0),0)</f>
        <v>3797748.0831723055</v>
      </c>
      <c r="H49" s="21">
        <f>-IFERROR(HLOOKUP("Exp_Commission",CF_Gen_1[#All],MATCH($B49,CF_Gen_1[[#All],[Incurred]],0),0),0)-IFERROR(HLOOKUP("Exp_Acquisition",CF_Gen_1[#All],MATCH($B49,CF_Gen_1[[#All],[Incurred]],0),0),0)</f>
        <v>-11141332.554687981</v>
      </c>
      <c r="I49" s="22">
        <f>IF(AND($J49&lt;YEAR($A49),$B49&lt;=$A49),-IFERROR(HLOOKUP("Actual_Commission",CF_Gen_1[#All],MATCH($B49,CF_Gen_1[[#All],[Incurred]],0),0),0)-IFERROR(HLOOKUP("Actual_Acquisition",CF_Gen_1[#All],MATCH($B49,CF_Gen_1[[#All],[Incurred]],0),0),0),0)</f>
        <v>0</v>
      </c>
      <c r="J49" s="27">
        <f>VLOOKUP(L49,ICG[#All],2,0)</f>
        <v>2024</v>
      </c>
      <c r="K49" s="27" t="str">
        <f>VLOOKUP(L49,ICG[#All],3,0)</f>
        <v>IC-Property</v>
      </c>
      <c r="L49" s="27" t="str">
        <f t="shared" si="2"/>
        <v>#2024#IC-Property</v>
      </c>
    </row>
    <row r="50" spans="1:12">
      <c r="A50" s="26">
        <f t="shared" si="3"/>
        <v>45930</v>
      </c>
      <c r="B50" s="26">
        <f t="shared" si="1"/>
        <v>50130</v>
      </c>
      <c r="C50" s="21">
        <f>IFERROR(HLOOKUP("Exp_Premium",CF_Gen_1[#All],MATCH($B50,CF_Gen_1[[#All],[Incurred]],0),0),0)</f>
        <v>-33997117.823203117</v>
      </c>
      <c r="D50" s="22">
        <f>IF(AND($J50&lt;YEAR($A50),$B50&lt;=$A50),IFERROR(HLOOKUP("Actual_Premium",CF_Gen_1[#All],MATCH($B50,CF_Gen_1[[#All],[Incurred]],0),0),0),0)</f>
        <v>0</v>
      </c>
      <c r="E50" s="21">
        <f>-IFERROR(HLOOKUP("Exp_Claim",CF_Gen_1[#All],MATCH($B50,CF_Gen_1[[#All],[Incurred]],0),0),0)-IFERROR(HLOOKUP("Exp_NPR",CF_Gen_1[#All],MATCH($B50,CF_Gen_1[[#All],[Incurred]],0),0),0)</f>
        <v>15532362.946906962</v>
      </c>
      <c r="F50" s="21">
        <f>-IFERROR(HLOOKUP("Exp_RA",CF_Gen_1[#All],MATCH($B50,CF_Gen_1[[#All],[Incurred]],0),0),0)</f>
        <v>2174530.8125669747</v>
      </c>
      <c r="G50" s="21">
        <f>-IFERROR(HLOOKUP("Exp_Expense",CF_Gen_1[#All],MATCH($B50,CF_Gen_1[[#All],[Incurred]],0),0),0)</f>
        <v>3455950.7556867986</v>
      </c>
      <c r="H50" s="21">
        <f>-IFERROR(HLOOKUP("Exp_Commission",CF_Gen_1[#All],MATCH($B50,CF_Gen_1[[#All],[Incurred]],0),0),0)-IFERROR(HLOOKUP("Exp_Acquisition",CF_Gen_1[#All],MATCH($B50,CF_Gen_1[[#All],[Incurred]],0),0),0)</f>
        <v>-9907169.2780511901</v>
      </c>
      <c r="I50" s="22">
        <f>IF(AND($J50&lt;YEAR($A50),$B50&lt;=$A50),-IFERROR(HLOOKUP("Actual_Commission",CF_Gen_1[#All],MATCH($B50,CF_Gen_1[[#All],[Incurred]],0),0),0)-IFERROR(HLOOKUP("Actual_Acquisition",CF_Gen_1[#All],MATCH($B50,CF_Gen_1[[#All],[Incurred]],0),0),0),0)</f>
        <v>0</v>
      </c>
      <c r="J50" s="27">
        <f>VLOOKUP(L50,ICG[#All],2,0)</f>
        <v>2024</v>
      </c>
      <c r="K50" s="27" t="str">
        <f>VLOOKUP(L50,ICG[#All],3,0)</f>
        <v>IC-Property</v>
      </c>
      <c r="L50" s="27" t="str">
        <f t="shared" si="2"/>
        <v>#2024#IC-Property</v>
      </c>
    </row>
    <row r="51" spans="1:12">
      <c r="A51" s="26">
        <f t="shared" si="3"/>
        <v>45930</v>
      </c>
      <c r="B51" s="26">
        <f t="shared" si="1"/>
        <v>50221</v>
      </c>
      <c r="C51" s="21">
        <f>IFERROR(HLOOKUP("Exp_Premium",CF_Gen_1[#All],MATCH($B51,CF_Gen_1[[#All],[Incurred]],0),0),0)</f>
        <v>-30258237.817724533</v>
      </c>
      <c r="D51" s="22">
        <f>IF(AND($J51&lt;YEAR($A51),$B51&lt;=$A51),IFERROR(HLOOKUP("Actual_Premium",CF_Gen_1[#All],MATCH($B51,CF_Gen_1[[#All],[Incurred]],0),0),0),0)</f>
        <v>0</v>
      </c>
      <c r="E51" s="21">
        <f>-IFERROR(HLOOKUP("Exp_Claim",CF_Gen_1[#All],MATCH($B51,CF_Gen_1[[#All],[Incurred]],0),0),0)-IFERROR(HLOOKUP("Exp_NPR",CF_Gen_1[#All],MATCH($B51,CF_Gen_1[[#All],[Incurred]],0),0),0)</f>
        <v>14127622.869400976</v>
      </c>
      <c r="F51" s="21">
        <f>-IFERROR(HLOOKUP("Exp_RA",CF_Gen_1[#All],MATCH($B51,CF_Gen_1[[#All],[Incurred]],0),0),0)</f>
        <v>1977867.2017161369</v>
      </c>
      <c r="G51" s="21">
        <f>-IFERROR(HLOOKUP("Exp_Expense",CF_Gen_1[#All],MATCH($B51,CF_Gen_1[[#All],[Incurred]],0),0),0)</f>
        <v>3143396.088441717</v>
      </c>
      <c r="H51" s="21">
        <f>-IFERROR(HLOOKUP("Exp_Commission",CF_Gen_1[#All],MATCH($B51,CF_Gen_1[[#All],[Incurred]],0),0),0)-IFERROR(HLOOKUP("Exp_Acquisition",CF_Gen_1[#All],MATCH($B51,CF_Gen_1[[#All],[Incurred]],0),0),0)</f>
        <v>-8800690.0631640516</v>
      </c>
      <c r="I51" s="22">
        <f>IF(AND($J51&lt;YEAR($A51),$B51&lt;=$A51),-IFERROR(HLOOKUP("Actual_Commission",CF_Gen_1[#All],MATCH($B51,CF_Gen_1[[#All],[Incurred]],0),0),0)-IFERROR(HLOOKUP("Actual_Acquisition",CF_Gen_1[#All],MATCH($B51,CF_Gen_1[[#All],[Incurred]],0),0),0),0)</f>
        <v>0</v>
      </c>
      <c r="J51" s="27">
        <f>VLOOKUP(L51,ICG[#All],2,0)</f>
        <v>2024</v>
      </c>
      <c r="K51" s="27" t="str">
        <f>VLOOKUP(L51,ICG[#All],3,0)</f>
        <v>IC-Property</v>
      </c>
      <c r="L51" s="27" t="str">
        <f t="shared" si="2"/>
        <v>#2024#IC-Property</v>
      </c>
    </row>
    <row r="52" spans="1:12">
      <c r="A52" s="26">
        <f t="shared" si="3"/>
        <v>45930</v>
      </c>
      <c r="B52" s="26">
        <f t="shared" si="1"/>
        <v>50313</v>
      </c>
      <c r="C52" s="21">
        <f>IFERROR(HLOOKUP("Exp_Premium",CF_Gen_1[#All],MATCH($B52,CF_Gen_1[[#All],[Incurred]],0),0),0)</f>
        <v>-26903994.169411235</v>
      </c>
      <c r="D52" s="22">
        <f>IF(AND($J52&lt;YEAR($A52),$B52&lt;=$A52),IFERROR(HLOOKUP("Actual_Premium",CF_Gen_1[#All],MATCH($B52,CF_Gen_1[[#All],[Incurred]],0),0),0),0)</f>
        <v>0</v>
      </c>
      <c r="E52" s="21">
        <f>-IFERROR(HLOOKUP("Exp_Claim",CF_Gen_1[#All],MATCH($B52,CF_Gen_1[[#All],[Incurred]],0),0),0)-IFERROR(HLOOKUP("Exp_NPR",CF_Gen_1[#All],MATCH($B52,CF_Gen_1[[#All],[Incurred]],0),0),0)</f>
        <v>12843437.824305989</v>
      </c>
      <c r="F52" s="21">
        <f>-IFERROR(HLOOKUP("Exp_RA",CF_Gen_1[#All],MATCH($B52,CF_Gen_1[[#All],[Incurred]],0),0),0)</f>
        <v>1798081.2954028386</v>
      </c>
      <c r="G52" s="21">
        <f>-IFERROR(HLOOKUP("Exp_Expense",CF_Gen_1[#All],MATCH($B52,CF_Gen_1[[#All],[Incurred]],0),0),0)</f>
        <v>2857664.9159080824</v>
      </c>
      <c r="H52" s="21">
        <f>-IFERROR(HLOOKUP("Exp_Commission",CF_Gen_1[#All],MATCH($B52,CF_Gen_1[[#All],[Incurred]],0),0),0)-IFERROR(HLOOKUP("Exp_Acquisition",CF_Gen_1[#All],MATCH($B52,CF_Gen_1[[#All],[Incurred]],0),0),0)</f>
        <v>-7809401.9801594447</v>
      </c>
      <c r="I52" s="22">
        <f>IF(AND($J52&lt;YEAR($A52),$B52&lt;=$A52),-IFERROR(HLOOKUP("Actual_Commission",CF_Gen_1[#All],MATCH($B52,CF_Gen_1[[#All],[Incurred]],0),0),0)-IFERROR(HLOOKUP("Actual_Acquisition",CF_Gen_1[#All],MATCH($B52,CF_Gen_1[[#All],[Incurred]],0),0),0),0)</f>
        <v>0</v>
      </c>
      <c r="J52" s="27">
        <f>VLOOKUP(L52,ICG[#All],2,0)</f>
        <v>2024</v>
      </c>
      <c r="K52" s="27" t="str">
        <f>VLOOKUP(L52,ICG[#All],3,0)</f>
        <v>IC-Property</v>
      </c>
      <c r="L52" s="27" t="str">
        <f t="shared" si="2"/>
        <v>#2024#IC-Property</v>
      </c>
    </row>
    <row r="53" spans="1:12">
      <c r="A53" s="26">
        <f t="shared" si="3"/>
        <v>45930</v>
      </c>
      <c r="B53" s="26">
        <f t="shared" si="1"/>
        <v>50405</v>
      </c>
      <c r="C53" s="21">
        <f>IFERROR(HLOOKUP("Exp_Premium",CF_Gen_1[#All],MATCH($B53,CF_Gen_1[[#All],[Incurred]],0),0),0)</f>
        <v>-23896913.767925669</v>
      </c>
      <c r="D53" s="22">
        <f>IF(AND($J53&lt;YEAR($A53),$B53&lt;=$A53),IFERROR(HLOOKUP("Actual_Premium",CF_Gen_1[#All],MATCH($B53,CF_Gen_1[[#All],[Incurred]],0),0),0),0)</f>
        <v>0</v>
      </c>
      <c r="E53" s="21">
        <f>-IFERROR(HLOOKUP("Exp_Claim",CF_Gen_1[#All],MATCH($B53,CF_Gen_1[[#All],[Incurred]],0),0),0)-IFERROR(HLOOKUP("Exp_NPR",CF_Gen_1[#All],MATCH($B53,CF_Gen_1[[#All],[Incurred]],0),0),0)</f>
        <v>11669813.333464235</v>
      </c>
      <c r="F53" s="21">
        <f>-IFERROR(HLOOKUP("Exp_RA",CF_Gen_1[#All],MATCH($B53,CF_Gen_1[[#All],[Incurred]],0),0),0)</f>
        <v>1633773.866684993</v>
      </c>
      <c r="G53" s="21">
        <f>-IFERROR(HLOOKUP("Exp_Expense",CF_Gen_1[#All],MATCH($B53,CF_Gen_1[[#All],[Incurred]],0),0),0)</f>
        <v>2596533.466695792</v>
      </c>
      <c r="H53" s="21">
        <f>-IFERROR(HLOOKUP("Exp_Commission",CF_Gen_1[#All],MATCH($B53,CF_Gen_1[[#All],[Incurred]],0),0),0)-IFERROR(HLOOKUP("Exp_Acquisition",CF_Gen_1[#All],MATCH($B53,CF_Gen_1[[#All],[Incurred]],0),0),0)</f>
        <v>-6921981.9767384985</v>
      </c>
      <c r="I53" s="22">
        <f>IF(AND($J53&lt;YEAR($A53),$B53&lt;=$A53),-IFERROR(HLOOKUP("Actual_Commission",CF_Gen_1[#All],MATCH($B53,CF_Gen_1[[#All],[Incurred]],0),0),0)-IFERROR(HLOOKUP("Actual_Acquisition",CF_Gen_1[#All],MATCH($B53,CF_Gen_1[[#All],[Incurred]],0),0),0),0)</f>
        <v>0</v>
      </c>
      <c r="J53" s="27">
        <f>VLOOKUP(L53,ICG[#All],2,0)</f>
        <v>2024</v>
      </c>
      <c r="K53" s="27" t="str">
        <f>VLOOKUP(L53,ICG[#All],3,0)</f>
        <v>IC-Property</v>
      </c>
      <c r="L53" s="27" t="str">
        <f t="shared" si="2"/>
        <v>#2024#IC-Property</v>
      </c>
    </row>
    <row r="54" spans="1:12">
      <c r="A54" s="26">
        <f t="shared" si="3"/>
        <v>45930</v>
      </c>
      <c r="B54" s="26">
        <f t="shared" si="1"/>
        <v>50495</v>
      </c>
      <c r="C54" s="21">
        <f>IFERROR(HLOOKUP("Exp_Premium",CF_Gen_1[#All],MATCH($B54,CF_Gen_1[[#All],[Incurred]],0),0),0)</f>
        <v>-21203021.137492746</v>
      </c>
      <c r="D54" s="22">
        <f>IF(AND($J54&lt;YEAR($A54),$B54&lt;=$A54),IFERROR(HLOOKUP("Actual_Premium",CF_Gen_1[#All],MATCH($B54,CF_Gen_1[[#All],[Incurred]],0),0),0),0)</f>
        <v>0</v>
      </c>
      <c r="E54" s="21">
        <f>-IFERROR(HLOOKUP("Exp_Claim",CF_Gen_1[#All],MATCH($B54,CF_Gen_1[[#All],[Incurred]],0),0),0)-IFERROR(HLOOKUP("Exp_NPR",CF_Gen_1[#All],MATCH($B54,CF_Gen_1[[#All],[Incurred]],0),0),0)</f>
        <v>10597563.426001227</v>
      </c>
      <c r="F54" s="21">
        <f>-IFERROR(HLOOKUP("Exp_RA",CF_Gen_1[#All],MATCH($B54,CF_Gen_1[[#All],[Incurred]],0),0),0)</f>
        <v>1483658.8796401718</v>
      </c>
      <c r="G54" s="21">
        <f>-IFERROR(HLOOKUP("Exp_Expense",CF_Gen_1[#All],MATCH($B54,CF_Gen_1[[#All],[Incurred]],0),0),0)</f>
        <v>2357957.8622852727</v>
      </c>
      <c r="H54" s="21">
        <f>-IFERROR(HLOOKUP("Exp_Commission",CF_Gen_1[#All],MATCH($B54,CF_Gen_1[[#All],[Incurred]],0),0),0)-IFERROR(HLOOKUP("Exp_Acquisition",CF_Gen_1[#All],MATCH($B54,CF_Gen_1[[#All],[Incurred]],0),0),0)</f>
        <v>-6128171.0543171531</v>
      </c>
      <c r="I54" s="22">
        <f>IF(AND($J54&lt;YEAR($A54),$B54&lt;=$A54),-IFERROR(HLOOKUP("Actual_Commission",CF_Gen_1[#All],MATCH($B54,CF_Gen_1[[#All],[Incurred]],0),0),0)-IFERROR(HLOOKUP("Actual_Acquisition",CF_Gen_1[#All],MATCH($B54,CF_Gen_1[[#All],[Incurred]],0),0),0),0)</f>
        <v>0</v>
      </c>
      <c r="J54" s="27">
        <f>VLOOKUP(L54,ICG[#All],2,0)</f>
        <v>2024</v>
      </c>
      <c r="K54" s="27" t="str">
        <f>VLOOKUP(L54,ICG[#All],3,0)</f>
        <v>IC-Property</v>
      </c>
      <c r="L54" s="27" t="str">
        <f t="shared" si="2"/>
        <v>#2024#IC-Property</v>
      </c>
    </row>
    <row r="55" spans="1:12">
      <c r="A55" s="26">
        <f t="shared" si="3"/>
        <v>45930</v>
      </c>
      <c r="B55" s="26">
        <f t="shared" si="1"/>
        <v>50586</v>
      </c>
      <c r="C55" s="21">
        <f>IFERROR(HLOOKUP("Exp_Premium",CF_Gen_1[#All],MATCH($B55,CF_Gen_1[[#All],[Incurred]],0),0),0)</f>
        <v>-18791522.85809315</v>
      </c>
      <c r="D55" s="22">
        <f>IF(AND($J55&lt;YEAR($A55),$B55&lt;=$A55),IFERROR(HLOOKUP("Actual_Premium",CF_Gen_1[#All],MATCH($B55,CF_Gen_1[[#All],[Incurred]],0),0),0),0)</f>
        <v>0</v>
      </c>
      <c r="E55" s="21">
        <f>-IFERROR(HLOOKUP("Exp_Claim",CF_Gen_1[#All],MATCH($B55,CF_Gen_1[[#All],[Incurred]],0),0),0)-IFERROR(HLOOKUP("Exp_NPR",CF_Gen_1[#All],MATCH($B55,CF_Gen_1[[#All],[Incurred]],0),0),0)</f>
        <v>9618246.4202490654</v>
      </c>
      <c r="F55" s="21">
        <f>-IFERROR(HLOOKUP("Exp_RA",CF_Gen_1[#All],MATCH($B55,CF_Gen_1[[#All],[Incurred]],0),0),0)</f>
        <v>1346554.4988348694</v>
      </c>
      <c r="G55" s="21">
        <f>-IFERROR(HLOOKUP("Exp_Expense",CF_Gen_1[#All],MATCH($B55,CF_Gen_1[[#All],[Incurred]],0),0),0)</f>
        <v>2140059.8285054173</v>
      </c>
      <c r="H55" s="21">
        <f>-IFERROR(HLOOKUP("Exp_Commission",CF_Gen_1[#All],MATCH($B55,CF_Gen_1[[#All],[Incurred]],0),0),0)-IFERROR(HLOOKUP("Exp_Acquisition",CF_Gen_1[#All],MATCH($B55,CF_Gen_1[[#All],[Incurred]],0),0),0)</f>
        <v>-5418677.7550565843</v>
      </c>
      <c r="I55" s="22">
        <f>IF(AND($J55&lt;YEAR($A55),$B55&lt;=$A55),-IFERROR(HLOOKUP("Actual_Commission",CF_Gen_1[#All],MATCH($B55,CF_Gen_1[[#All],[Incurred]],0),0),0)-IFERROR(HLOOKUP("Actual_Acquisition",CF_Gen_1[#All],MATCH($B55,CF_Gen_1[[#All],[Incurred]],0),0),0),0)</f>
        <v>0</v>
      </c>
      <c r="J55" s="27">
        <f>VLOOKUP(L55,ICG[#All],2,0)</f>
        <v>2024</v>
      </c>
      <c r="K55" s="27" t="str">
        <f>VLOOKUP(L55,ICG[#All],3,0)</f>
        <v>IC-Property</v>
      </c>
      <c r="L55" s="27" t="str">
        <f t="shared" si="2"/>
        <v>#2024#IC-Property</v>
      </c>
    </row>
    <row r="56" spans="1:12">
      <c r="A56" s="26">
        <f t="shared" si="3"/>
        <v>45930</v>
      </c>
      <c r="B56" s="26">
        <f t="shared" si="1"/>
        <v>50678</v>
      </c>
      <c r="C56" s="21">
        <f>IFERROR(HLOOKUP("Exp_Premium",CF_Gen_1[#All],MATCH($B56,CF_Gen_1[[#All],[Incurred]],0),0),0)</f>
        <v>-16634519.696254836</v>
      </c>
      <c r="D56" s="22">
        <f>IF(AND($J56&lt;YEAR($A56),$B56&lt;=$A56),IFERROR(HLOOKUP("Actual_Premium",CF_Gen_1[#All],MATCH($B56,CF_Gen_1[[#All],[Incurred]],0),0),0),0)</f>
        <v>0</v>
      </c>
      <c r="E56" s="21">
        <f>-IFERROR(HLOOKUP("Exp_Claim",CF_Gen_1[#All],MATCH($B56,CF_Gen_1[[#All],[Incurred]],0),0),0)-IFERROR(HLOOKUP("Exp_NPR",CF_Gen_1[#All],MATCH($B56,CF_Gen_1[[#All],[Incurred]],0),0),0)</f>
        <v>8724105.7345148008</v>
      </c>
      <c r="F56" s="21">
        <f>-IFERROR(HLOOKUP("Exp_RA",CF_Gen_1[#All],MATCH($B56,CF_Gen_1[[#All],[Incurred]],0),0),0)</f>
        <v>1221374.8028320721</v>
      </c>
      <c r="G56" s="21">
        <f>-IFERROR(HLOOKUP("Exp_Expense",CF_Gen_1[#All],MATCH($B56,CF_Gen_1[[#All],[Incurred]],0),0),0)</f>
        <v>1941113.5259295432</v>
      </c>
      <c r="H56" s="21">
        <f>-IFERROR(HLOOKUP("Exp_Commission",CF_Gen_1[#All],MATCH($B56,CF_Gen_1[[#All],[Incurred]],0),0),0)-IFERROR(HLOOKUP("Exp_Acquisition",CF_Gen_1[#All],MATCH($B56,CF_Gen_1[[#All],[Incurred]],0),0),0)</f>
        <v>-4785090.1588346008</v>
      </c>
      <c r="I56" s="22">
        <f>IF(AND($J56&lt;YEAR($A56),$B56&lt;=$A56),-IFERROR(HLOOKUP("Actual_Commission",CF_Gen_1[#All],MATCH($B56,CF_Gen_1[[#All],[Incurred]],0),0),0)-IFERROR(HLOOKUP("Actual_Acquisition",CF_Gen_1[#All],MATCH($B56,CF_Gen_1[[#All],[Incurred]],0),0),0),0)</f>
        <v>0</v>
      </c>
      <c r="J56" s="27">
        <f>VLOOKUP(L56,ICG[#All],2,0)</f>
        <v>2024</v>
      </c>
      <c r="K56" s="27" t="str">
        <f>VLOOKUP(L56,ICG[#All],3,0)</f>
        <v>IC-Property</v>
      </c>
      <c r="L56" s="27" t="str">
        <f t="shared" si="2"/>
        <v>#2024#IC-Property</v>
      </c>
    </row>
    <row r="57" spans="1:12">
      <c r="A57" s="26">
        <f t="shared" si="3"/>
        <v>45930</v>
      </c>
      <c r="B57" s="26">
        <f t="shared" si="1"/>
        <v>50770</v>
      </c>
      <c r="C57" s="21">
        <f>IFERROR(HLOOKUP("Exp_Premium",CF_Gen_1[#All],MATCH($B57,CF_Gen_1[[#All],[Incurred]],0),0),0)</f>
        <v>-14706744.065746952</v>
      </c>
      <c r="D57" s="22">
        <f>IF(AND($J57&lt;YEAR($A57),$B57&lt;=$A57),IFERROR(HLOOKUP("Actual_Premium",CF_Gen_1[#All],MATCH($B57,CF_Gen_1[[#All],[Incurred]],0),0),0),0)</f>
        <v>0</v>
      </c>
      <c r="E57" s="21">
        <f>-IFERROR(HLOOKUP("Exp_Claim",CF_Gen_1[#All],MATCH($B57,CF_Gen_1[[#All],[Incurred]],0),0),0)-IFERROR(HLOOKUP("Exp_NPR",CF_Gen_1[#All],MATCH($B57,CF_Gen_1[[#All],[Incurred]],0),0),0)</f>
        <v>7908015.3373241127</v>
      </c>
      <c r="F57" s="21">
        <f>-IFERROR(HLOOKUP("Exp_RA",CF_Gen_1[#All],MATCH($B57,CF_Gen_1[[#All],[Incurred]],0),0),0)</f>
        <v>1107122.147225376</v>
      </c>
      <c r="G57" s="21">
        <f>-IFERROR(HLOOKUP("Exp_Expense",CF_Gen_1[#All],MATCH($B57,CF_Gen_1[[#All],[Incurred]],0),0),0)</f>
        <v>1759533.4125546152</v>
      </c>
      <c r="H57" s="21">
        <f>-IFERROR(HLOOKUP("Exp_Commission",CF_Gen_1[#All],MATCH($B57,CF_Gen_1[[#All],[Incurred]],0),0),0)-IFERROR(HLOOKUP("Exp_Acquisition",CF_Gen_1[#All],MATCH($B57,CF_Gen_1[[#All],[Incurred]],0),0),0)</f>
        <v>-4219795.6568405991</v>
      </c>
      <c r="I57" s="22">
        <f>IF(AND($J57&lt;YEAR($A57),$B57&lt;=$A57),-IFERROR(HLOOKUP("Actual_Commission",CF_Gen_1[#All],MATCH($B57,CF_Gen_1[[#All],[Incurred]],0),0),0)-IFERROR(HLOOKUP("Actual_Acquisition",CF_Gen_1[#All],MATCH($B57,CF_Gen_1[[#All],[Incurred]],0),0),0),0)</f>
        <v>0</v>
      </c>
      <c r="J57" s="27">
        <f>VLOOKUP(L57,ICG[#All],2,0)</f>
        <v>2024</v>
      </c>
      <c r="K57" s="27" t="str">
        <f>VLOOKUP(L57,ICG[#All],3,0)</f>
        <v>IC-Property</v>
      </c>
      <c r="L57" s="27" t="str">
        <f t="shared" si="2"/>
        <v>#2024#IC-Property</v>
      </c>
    </row>
    <row r="58" spans="1:12">
      <c r="A58" s="26">
        <f t="shared" si="3"/>
        <v>45930</v>
      </c>
      <c r="B58" s="26">
        <f t="shared" si="1"/>
        <v>50860</v>
      </c>
      <c r="C58" s="21">
        <f>IFERROR(HLOOKUP("Exp_Premium",CF_Gen_1[#All],MATCH($B58,CF_Gen_1[[#All],[Incurred]],0),0),0)</f>
        <v>-12985320.639128802</v>
      </c>
      <c r="D58" s="22">
        <f>IF(AND($J58&lt;YEAR($A58),$B58&lt;=$A58),IFERROR(HLOOKUP("Actual_Premium",CF_Gen_1[#All],MATCH($B58,CF_Gen_1[[#All],[Incurred]],0),0),0),0)</f>
        <v>0</v>
      </c>
      <c r="E58" s="21">
        <f>-IFERROR(HLOOKUP("Exp_Claim",CF_Gen_1[#All],MATCH($B58,CF_Gen_1[[#All],[Incurred]],0),0),0)-IFERROR(HLOOKUP("Exp_NPR",CF_Gen_1[#All],MATCH($B58,CF_Gen_1[[#All],[Incurred]],0),0),0)</f>
        <v>7163429.4776409985</v>
      </c>
      <c r="F58" s="21">
        <f>-IFERROR(HLOOKUP("Exp_RA",CF_Gen_1[#All],MATCH($B58,CF_Gen_1[[#All],[Incurred]],0),0),0)</f>
        <v>1002880.1268697398</v>
      </c>
      <c r="G58" s="21">
        <f>-IFERROR(HLOOKUP("Exp_Expense",CF_Gen_1[#All],MATCH($B58,CF_Gen_1[[#All],[Incurred]],0),0),0)</f>
        <v>1593863.058775122</v>
      </c>
      <c r="H58" s="21">
        <f>-IFERROR(HLOOKUP("Exp_Commission",CF_Gen_1[#All],MATCH($B58,CF_Gen_1[[#All],[Incurred]],0),0),0)-IFERROR(HLOOKUP("Exp_Acquisition",CF_Gen_1[#All],MATCH($B58,CF_Gen_1[[#All],[Incurred]],0),0),0)</f>
        <v>-3715907.8304811832</v>
      </c>
      <c r="I58" s="22">
        <f>IF(AND($J58&lt;YEAR($A58),$B58&lt;=$A58),-IFERROR(HLOOKUP("Actual_Commission",CF_Gen_1[#All],MATCH($B58,CF_Gen_1[[#All],[Incurred]],0),0),0)-IFERROR(HLOOKUP("Actual_Acquisition",CF_Gen_1[#All],MATCH($B58,CF_Gen_1[[#All],[Incurred]],0),0),0),0)</f>
        <v>0</v>
      </c>
      <c r="J58" s="27">
        <f>VLOOKUP(L58,ICG[#All],2,0)</f>
        <v>2024</v>
      </c>
      <c r="K58" s="27" t="str">
        <f>VLOOKUP(L58,ICG[#All],3,0)</f>
        <v>IC-Property</v>
      </c>
      <c r="L58" s="27" t="str">
        <f t="shared" si="2"/>
        <v>#2024#IC-Property</v>
      </c>
    </row>
    <row r="59" spans="1:12">
      <c r="A59" s="26">
        <f t="shared" si="3"/>
        <v>45930</v>
      </c>
      <c r="B59" s="26">
        <f t="shared" si="1"/>
        <v>50951</v>
      </c>
      <c r="C59" s="21">
        <f>IFERROR(HLOOKUP("Exp_Premium",CF_Gen_1[#All],MATCH($B59,CF_Gen_1[[#All],[Incurred]],0),0),0)</f>
        <v>-11449548.115096197</v>
      </c>
      <c r="D59" s="22">
        <f>IF(AND($J59&lt;YEAR($A59),$B59&lt;=$A59),IFERROR(HLOOKUP("Actual_Premium",CF_Gen_1[#All],MATCH($B59,CF_Gen_1[[#All],[Incurred]],0),0),0),0)</f>
        <v>0</v>
      </c>
      <c r="E59" s="21">
        <f>-IFERROR(HLOOKUP("Exp_Claim",CF_Gen_1[#All],MATCH($B59,CF_Gen_1[[#All],[Incurred]],0),0),0)-IFERROR(HLOOKUP("Exp_NPR",CF_Gen_1[#All],MATCH($B59,CF_Gen_1[[#All],[Incurred]],0),0),0)</f>
        <v>6484336.3631606326</v>
      </c>
      <c r="F59" s="21">
        <f>-IFERROR(HLOOKUP("Exp_RA",CF_Gen_1[#All],MATCH($B59,CF_Gen_1[[#All],[Incurred]],0),0),0)</f>
        <v>907807.09084248869</v>
      </c>
      <c r="G59" s="21">
        <f>-IFERROR(HLOOKUP("Exp_Expense",CF_Gen_1[#All],MATCH($B59,CF_Gen_1[[#All],[Incurred]],0),0),0)</f>
        <v>1442764.8408032407</v>
      </c>
      <c r="H59" s="21">
        <f>-IFERROR(HLOOKUP("Exp_Commission",CF_Gen_1[#All],MATCH($B59,CF_Gen_1[[#All],[Incurred]],0),0),0)-IFERROR(HLOOKUP("Exp_Acquisition",CF_Gen_1[#All],MATCH($B59,CF_Gen_1[[#All],[Incurred]],0),0),0)</f>
        <v>-3267199.8211279213</v>
      </c>
      <c r="I59" s="22">
        <f>IF(AND($J59&lt;YEAR($A59),$B59&lt;=$A59),-IFERROR(HLOOKUP("Actual_Commission",CF_Gen_1[#All],MATCH($B59,CF_Gen_1[[#All],[Incurred]],0),0),0)-IFERROR(HLOOKUP("Actual_Acquisition",CF_Gen_1[#All],MATCH($B59,CF_Gen_1[[#All],[Incurred]],0),0),0),0)</f>
        <v>0</v>
      </c>
      <c r="J59" s="27">
        <f>VLOOKUP(L59,ICG[#All],2,0)</f>
        <v>2024</v>
      </c>
      <c r="K59" s="27" t="str">
        <f>VLOOKUP(L59,ICG[#All],3,0)</f>
        <v>IC-Property</v>
      </c>
      <c r="L59" s="27" t="str">
        <f t="shared" si="2"/>
        <v>#2024#IC-Property</v>
      </c>
    </row>
    <row r="60" spans="1:12">
      <c r="A60" s="26">
        <f t="shared" si="3"/>
        <v>45930</v>
      </c>
      <c r="B60" s="26">
        <f t="shared" si="1"/>
        <v>51043</v>
      </c>
      <c r="C60" s="21">
        <f>IFERROR(HLOOKUP("Exp_Premium",CF_Gen_1[#All],MATCH($B60,CF_Gen_1[[#All],[Incurred]],0),0),0)</f>
        <v>-10080700.315262908</v>
      </c>
      <c r="D60" s="22">
        <f>IF(AND($J60&lt;YEAR($A60),$B60&lt;=$A60),IFERROR(HLOOKUP("Actual_Premium",CF_Gen_1[#All],MATCH($B60,CF_Gen_1[[#All],[Incurred]],0),0),0),0)</f>
        <v>0</v>
      </c>
      <c r="E60" s="21">
        <f>-IFERROR(HLOOKUP("Exp_Claim",CF_Gen_1[#All],MATCH($B60,CF_Gen_1[[#All],[Incurred]],0),0),0)-IFERROR(HLOOKUP("Exp_NPR",CF_Gen_1[#All],MATCH($B60,CF_Gen_1[[#All],[Incurred]],0),0),0)</f>
        <v>5865215.4802670749</v>
      </c>
      <c r="F60" s="21">
        <f>-IFERROR(HLOOKUP("Exp_RA",CF_Gen_1[#All],MATCH($B60,CF_Gen_1[[#All],[Incurred]],0),0),0)</f>
        <v>821130.16723739053</v>
      </c>
      <c r="G60" s="21">
        <f>-IFERROR(HLOOKUP("Exp_Expense",CF_Gen_1[#All],MATCH($B60,CF_Gen_1[[#All],[Incurred]],0),0),0)</f>
        <v>1305010.4443594241</v>
      </c>
      <c r="H60" s="21">
        <f>-IFERROR(HLOOKUP("Exp_Commission",CF_Gen_1[#All],MATCH($B60,CF_Gen_1[[#All],[Incurred]],0),0),0)-IFERROR(HLOOKUP("Exp_Acquisition",CF_Gen_1[#All],MATCH($B60,CF_Gen_1[[#All],[Incurred]],0),0),0)</f>
        <v>-2868043.6283467077</v>
      </c>
      <c r="I60" s="22">
        <f>IF(AND($J60&lt;YEAR($A60),$B60&lt;=$A60),-IFERROR(HLOOKUP("Actual_Commission",CF_Gen_1[#All],MATCH($B60,CF_Gen_1[[#All],[Incurred]],0),0),0)-IFERROR(HLOOKUP("Actual_Acquisition",CF_Gen_1[#All],MATCH($B60,CF_Gen_1[[#All],[Incurred]],0),0),0),0)</f>
        <v>0</v>
      </c>
      <c r="J60" s="27">
        <f>VLOOKUP(L60,ICG[#All],2,0)</f>
        <v>2024</v>
      </c>
      <c r="K60" s="27" t="str">
        <f>VLOOKUP(L60,ICG[#All],3,0)</f>
        <v>IC-Property</v>
      </c>
      <c r="L60" s="27" t="str">
        <f t="shared" si="2"/>
        <v>#2024#IC-Property</v>
      </c>
    </row>
    <row r="61" spans="1:12">
      <c r="A61" s="26">
        <f t="shared" si="3"/>
        <v>45930</v>
      </c>
      <c r="B61" s="26">
        <f t="shared" si="1"/>
        <v>51135</v>
      </c>
      <c r="C61" s="21">
        <f>IFERROR(HLOOKUP("Exp_Premium",CF_Gen_1[#All],MATCH($B61,CF_Gen_1[[#All],[Incurred]],0),0),0)</f>
        <v>-8861844.9386711344</v>
      </c>
      <c r="D61" s="22">
        <f>IF(AND($J61&lt;YEAR($A61),$B61&lt;=$A61),IFERROR(HLOOKUP("Actual_Premium",CF_Gen_1[#All],MATCH($B61,CF_Gen_1[[#All],[Incurred]],0),0),0),0)</f>
        <v>0</v>
      </c>
      <c r="E61" s="21">
        <f>-IFERROR(HLOOKUP("Exp_Claim",CF_Gen_1[#All],MATCH($B61,CF_Gen_1[[#All],[Incurred]],0),0),0)-IFERROR(HLOOKUP("Exp_NPR",CF_Gen_1[#All],MATCH($B61,CF_Gen_1[[#All],[Incurred]],0),0),0)</f>
        <v>5300998.2727991305</v>
      </c>
      <c r="F61" s="21">
        <f>-IFERROR(HLOOKUP("Exp_RA",CF_Gen_1[#All],MATCH($B61,CF_Gen_1[[#All],[Incurred]],0),0),0)</f>
        <v>742139.75819187833</v>
      </c>
      <c r="G61" s="21">
        <f>-IFERROR(HLOOKUP("Exp_Expense",CF_Gen_1[#All],MATCH($B61,CF_Gen_1[[#All],[Incurred]],0),0),0)</f>
        <v>1179472.1156978062</v>
      </c>
      <c r="H61" s="21">
        <f>-IFERROR(HLOOKUP("Exp_Commission",CF_Gen_1[#All],MATCH($B61,CF_Gen_1[[#All],[Incurred]],0),0),0)-IFERROR(HLOOKUP("Exp_Acquisition",CF_Gen_1[#All],MATCH($B61,CF_Gen_1[[#All],[Incurred]],0),0),0)</f>
        <v>-2513354.8220090503</v>
      </c>
      <c r="I61" s="22">
        <f>IF(AND($J61&lt;YEAR($A61),$B61&lt;=$A61),-IFERROR(HLOOKUP("Actual_Commission",CF_Gen_1[#All],MATCH($B61,CF_Gen_1[[#All],[Incurred]],0),0),0)-IFERROR(HLOOKUP("Actual_Acquisition",CF_Gen_1[#All],MATCH($B61,CF_Gen_1[[#All],[Incurred]],0),0),0),0)</f>
        <v>0</v>
      </c>
      <c r="J61" s="27">
        <f>VLOOKUP(L61,ICG[#All],2,0)</f>
        <v>2024</v>
      </c>
      <c r="K61" s="27" t="str">
        <f>VLOOKUP(L61,ICG[#All],3,0)</f>
        <v>IC-Property</v>
      </c>
      <c r="L61" s="27" t="str">
        <f t="shared" si="2"/>
        <v>#2024#IC-Property</v>
      </c>
    </row>
    <row r="62" spans="1:12">
      <c r="A62" s="26">
        <f t="shared" si="3"/>
        <v>45930</v>
      </c>
      <c r="B62" s="26">
        <f t="shared" si="1"/>
        <v>51226</v>
      </c>
      <c r="C62" s="21">
        <f>IFERROR(HLOOKUP("Exp_Premium",CF_Gen_1[#All],MATCH($B62,CF_Gen_1[[#All],[Incurred]],0),0),0)</f>
        <v>-7777678.4440942314</v>
      </c>
      <c r="D62" s="22">
        <f>IF(AND($J62&lt;YEAR($A62),$B62&lt;=$A62),IFERROR(HLOOKUP("Actual_Premium",CF_Gen_1[#All],MATCH($B62,CF_Gen_1[[#All],[Incurred]],0),0),0),0)</f>
        <v>0</v>
      </c>
      <c r="E62" s="21">
        <f>-IFERROR(HLOOKUP("Exp_Claim",CF_Gen_1[#All],MATCH($B62,CF_Gen_1[[#All],[Incurred]],0),0),0)-IFERROR(HLOOKUP("Exp_NPR",CF_Gen_1[#All],MATCH($B62,CF_Gen_1[[#All],[Incurred]],0),0),0)</f>
        <v>4787031.9185233889</v>
      </c>
      <c r="F62" s="21">
        <f>-IFERROR(HLOOKUP("Exp_RA",CF_Gen_1[#All],MATCH($B62,CF_Gen_1[[#All],[Incurred]],0),0),0)</f>
        <v>670184.46859327448</v>
      </c>
      <c r="G62" s="21">
        <f>-IFERROR(HLOOKUP("Exp_Expense",CF_Gen_1[#All],MATCH($B62,CF_Gen_1[[#All],[Incurred]],0),0),0)</f>
        <v>1065114.6018714539</v>
      </c>
      <c r="H62" s="21">
        <f>-IFERROR(HLOOKUP("Exp_Commission",CF_Gen_1[#All],MATCH($B62,CF_Gen_1[[#All],[Incurred]],0),0),0)-IFERROR(HLOOKUP("Exp_Acquisition",CF_Gen_1[#All],MATCH($B62,CF_Gen_1[[#All],[Incurred]],0),0),0)</f>
        <v>-2198542.1974570388</v>
      </c>
      <c r="I62" s="22">
        <f>IF(AND($J62&lt;YEAR($A62),$B62&lt;=$A62),-IFERROR(HLOOKUP("Actual_Commission",CF_Gen_1[#All],MATCH($B62,CF_Gen_1[[#All],[Incurred]],0),0),0)-IFERROR(HLOOKUP("Actual_Acquisition",CF_Gen_1[#All],MATCH($B62,CF_Gen_1[[#All],[Incurred]],0),0),0),0)</f>
        <v>0</v>
      </c>
      <c r="J62" s="27">
        <f>VLOOKUP(L62,ICG[#All],2,0)</f>
        <v>2024</v>
      </c>
      <c r="K62" s="27" t="str">
        <f>VLOOKUP(L62,ICG[#All],3,0)</f>
        <v>IC-Property</v>
      </c>
      <c r="L62" s="27" t="str">
        <f t="shared" si="2"/>
        <v>#2024#IC-Property</v>
      </c>
    </row>
    <row r="63" spans="1:12">
      <c r="A63" s="26">
        <f t="shared" si="3"/>
        <v>45930</v>
      </c>
      <c r="B63" s="26">
        <f t="shared" si="1"/>
        <v>51317</v>
      </c>
      <c r="C63" s="21">
        <f>IFERROR(HLOOKUP("Exp_Premium",CF_Gen_1[#All],MATCH($B63,CF_Gen_1[[#All],[Incurred]],0),0),0)</f>
        <v>-6814375.6601368384</v>
      </c>
      <c r="D63" s="22">
        <f>IF(AND($J63&lt;YEAR($A63),$B63&lt;=$A63),IFERROR(HLOOKUP("Actual_Premium",CF_Gen_1[#All],MATCH($B63,CF_Gen_1[[#All],[Incurred]],0),0),0),0)</f>
        <v>0</v>
      </c>
      <c r="E63" s="21">
        <f>-IFERROR(HLOOKUP("Exp_Claim",CF_Gen_1[#All],MATCH($B63,CF_Gen_1[[#All],[Incurred]],0),0),0)-IFERROR(HLOOKUP("Exp_NPR",CF_Gen_1[#All],MATCH($B63,CF_Gen_1[[#All],[Incurred]],0),0),0)</f>
        <v>4319045.9623095347</v>
      </c>
      <c r="F63" s="21">
        <f>-IFERROR(HLOOKUP("Exp_RA",CF_Gen_1[#All],MATCH($B63,CF_Gen_1[[#All],[Incurred]],0),0),0)</f>
        <v>604666.43472333485</v>
      </c>
      <c r="G63" s="21">
        <f>-IFERROR(HLOOKUP("Exp_Expense",CF_Gen_1[#All],MATCH($B63,CF_Gen_1[[#All],[Incurred]],0),0),0)</f>
        <v>960987.7266138714</v>
      </c>
      <c r="H63" s="21">
        <f>-IFERROR(HLOOKUP("Exp_Commission",CF_Gen_1[#All],MATCH($B63,CF_Gen_1[[#All],[Incurred]],0),0),0)-IFERROR(HLOOKUP("Exp_Acquisition",CF_Gen_1[#All],MATCH($B63,CF_Gen_1[[#All],[Incurred]],0),0),0)</f>
        <v>-1919461.9430043292</v>
      </c>
      <c r="I63" s="22">
        <f>IF(AND($J63&lt;YEAR($A63),$B63&lt;=$A63),-IFERROR(HLOOKUP("Actual_Commission",CF_Gen_1[#All],MATCH($B63,CF_Gen_1[[#All],[Incurred]],0),0),0)-IFERROR(HLOOKUP("Actual_Acquisition",CF_Gen_1[#All],MATCH($B63,CF_Gen_1[[#All],[Incurred]],0),0),0),0)</f>
        <v>0</v>
      </c>
      <c r="J63" s="27">
        <f>VLOOKUP(L63,ICG[#All],2,0)</f>
        <v>2024</v>
      </c>
      <c r="K63" s="27" t="str">
        <f>VLOOKUP(L63,ICG[#All],3,0)</f>
        <v>IC-Property</v>
      </c>
      <c r="L63" s="27" t="str">
        <f t="shared" si="2"/>
        <v>#2024#IC-Property</v>
      </c>
    </row>
    <row r="64" spans="1:12">
      <c r="A64" s="26">
        <f t="shared" si="3"/>
        <v>45930</v>
      </c>
      <c r="B64" s="26">
        <f t="shared" si="1"/>
        <v>51409</v>
      </c>
      <c r="C64" s="21">
        <f>IFERROR(HLOOKUP("Exp_Premium",CF_Gen_1[#All],MATCH($B64,CF_Gen_1[[#All],[Incurred]],0),0),0)</f>
        <v>-5959452.8422251754</v>
      </c>
      <c r="D64" s="22">
        <f>IF(AND($J64&lt;YEAR($A64),$B64&lt;=$A64),IFERROR(HLOOKUP("Actual_Premium",CF_Gen_1[#All],MATCH($B64,CF_Gen_1[[#All],[Incurred]],0),0),0),0)</f>
        <v>0</v>
      </c>
      <c r="E64" s="21">
        <f>-IFERROR(HLOOKUP("Exp_Claim",CF_Gen_1[#All],MATCH($B64,CF_Gen_1[[#All],[Incurred]],0),0),0)-IFERROR(HLOOKUP("Exp_NPR",CF_Gen_1[#All],MATCH($B64,CF_Gen_1[[#All],[Incurred]],0),0),0)</f>
        <v>3893121.5835648552</v>
      </c>
      <c r="F64" s="21">
        <f>-IFERROR(HLOOKUP("Exp_RA",CF_Gen_1[#All],MATCH($B64,CF_Gen_1[[#All],[Incurred]],0),0),0)</f>
        <v>545037.02169907978</v>
      </c>
      <c r="G64" s="21">
        <f>-IFERROR(HLOOKUP("Exp_Expense",CF_Gen_1[#All],MATCH($B64,CF_Gen_1[[#All],[Incurred]],0),0),0)</f>
        <v>866219.55234318029</v>
      </c>
      <c r="H64" s="21">
        <f>-IFERROR(HLOOKUP("Exp_Commission",CF_Gen_1[#All],MATCH($B64,CF_Gen_1[[#All],[Incurred]],0),0),0)-IFERROR(HLOOKUP("Exp_Acquisition",CF_Gen_1[#All],MATCH($B64,CF_Gen_1[[#All],[Incurred]],0),0),0)</f>
        <v>-1672375.925807032</v>
      </c>
      <c r="I64" s="22">
        <f>IF(AND($J64&lt;YEAR($A64),$B64&lt;=$A64),-IFERROR(HLOOKUP("Actual_Commission",CF_Gen_1[#All],MATCH($B64,CF_Gen_1[[#All],[Incurred]],0),0),0)-IFERROR(HLOOKUP("Actual_Acquisition",CF_Gen_1[#All],MATCH($B64,CF_Gen_1[[#All],[Incurred]],0),0),0),0)</f>
        <v>0</v>
      </c>
      <c r="J64" s="27">
        <f>VLOOKUP(L64,ICG[#All],2,0)</f>
        <v>2024</v>
      </c>
      <c r="K64" s="27" t="str">
        <f>VLOOKUP(L64,ICG[#All],3,0)</f>
        <v>IC-Property</v>
      </c>
      <c r="L64" s="27" t="str">
        <f t="shared" si="2"/>
        <v>#2024#IC-Property</v>
      </c>
    </row>
    <row r="65" spans="1:12">
      <c r="A65" s="26">
        <f t="shared" si="3"/>
        <v>45930</v>
      </c>
      <c r="B65" s="26">
        <f t="shared" si="1"/>
        <v>51501</v>
      </c>
      <c r="C65" s="21">
        <f>IFERROR(HLOOKUP("Exp_Premium",CF_Gen_1[#All],MATCH($B65,CF_Gen_1[[#All],[Incurred]],0),0),0)</f>
        <v>-5201643.0047074873</v>
      </c>
      <c r="D65" s="22">
        <f>IF(AND($J65&lt;YEAR($A65),$B65&lt;=$A65),IFERROR(HLOOKUP("Actual_Premium",CF_Gen_1[#All],MATCH($B65,CF_Gen_1[[#All],[Incurred]],0),0),0),0)</f>
        <v>0</v>
      </c>
      <c r="E65" s="21">
        <f>-IFERROR(HLOOKUP("Exp_Claim",CF_Gen_1[#All],MATCH($B65,CF_Gen_1[[#All],[Incurred]],0),0),0)-IFERROR(HLOOKUP("Exp_NPR",CF_Gen_1[#All],MATCH($B65,CF_Gen_1[[#All],[Incurred]],0),0),0)</f>
        <v>3505663.2926291139</v>
      </c>
      <c r="F65" s="21">
        <f>-IFERROR(HLOOKUP("Exp_RA",CF_Gen_1[#All],MATCH($B65,CF_Gen_1[[#All],[Incurred]],0),0),0)</f>
        <v>490792.86096807598</v>
      </c>
      <c r="G65" s="21">
        <f>-IFERROR(HLOOKUP("Exp_Expense",CF_Gen_1[#All],MATCH($B65,CF_Gen_1[[#All],[Incurred]],0),0),0)</f>
        <v>780010.08260997781</v>
      </c>
      <c r="H65" s="21">
        <f>-IFERROR(HLOOKUP("Exp_Commission",CF_Gen_1[#All],MATCH($B65,CF_Gen_1[[#All],[Incurred]],0),0),0)-IFERROR(HLOOKUP("Exp_Acquisition",CF_Gen_1[#All],MATCH($B65,CF_Gen_1[[#All],[Incurred]],0),0),0)</f>
        <v>-1453913.7358082393</v>
      </c>
      <c r="I65" s="22">
        <f>IF(AND($J65&lt;YEAR($A65),$B65&lt;=$A65),-IFERROR(HLOOKUP("Actual_Commission",CF_Gen_1[#All],MATCH($B65,CF_Gen_1[[#All],[Incurred]],0),0),0)-IFERROR(HLOOKUP("Actual_Acquisition",CF_Gen_1[#All],MATCH($B65,CF_Gen_1[[#All],[Incurred]],0),0),0),0)</f>
        <v>0</v>
      </c>
      <c r="J65" s="27">
        <f>VLOOKUP(L65,ICG[#All],2,0)</f>
        <v>2024</v>
      </c>
      <c r="K65" s="27" t="str">
        <f>VLOOKUP(L65,ICG[#All],3,0)</f>
        <v>IC-Property</v>
      </c>
      <c r="L65" s="27" t="str">
        <f t="shared" si="2"/>
        <v>#2024#IC-Property</v>
      </c>
    </row>
    <row r="66" spans="1:12">
      <c r="A66" s="26">
        <f t="shared" ref="A66:A97" si="4">ValuationDate</f>
        <v>45930</v>
      </c>
      <c r="B66" s="26">
        <f t="shared" si="1"/>
        <v>51591</v>
      </c>
      <c r="C66" s="21">
        <f>IFERROR(HLOOKUP("Exp_Premium",CF_Gen_1[#All],MATCH($B66,CF_Gen_1[[#All],[Incurred]],0),0),0)</f>
        <v>-4530782.456272915</v>
      </c>
      <c r="D66" s="22">
        <f>IF(AND($J66&lt;YEAR($A66),$B66&lt;=$A66),IFERROR(HLOOKUP("Actual_Premium",CF_Gen_1[#All],MATCH($B66,CF_Gen_1[[#All],[Incurred]],0),0),0),0)</f>
        <v>0</v>
      </c>
      <c r="E66" s="21">
        <f>-IFERROR(HLOOKUP("Exp_Claim",CF_Gen_1[#All],MATCH($B66,CF_Gen_1[[#All],[Incurred]],0),0),0)-IFERROR(HLOOKUP("Exp_NPR",CF_Gen_1[#All],MATCH($B66,CF_Gen_1[[#All],[Incurred]],0),0),0)</f>
        <v>3153372.8666649098</v>
      </c>
      <c r="F66" s="21">
        <f>-IFERROR(HLOOKUP("Exp_RA",CF_Gen_1[#All],MATCH($B66,CF_Gen_1[[#All],[Incurred]],0),0),0)</f>
        <v>441472.2013330874</v>
      </c>
      <c r="G66" s="21">
        <f>-IFERROR(HLOOKUP("Exp_Expense",CF_Gen_1[#All],MATCH($B66,CF_Gen_1[[#All],[Incurred]],0),0),0)</f>
        <v>701625.46283294237</v>
      </c>
      <c r="H66" s="21">
        <f>-IFERROR(HLOOKUP("Exp_Commission",CF_Gen_1[#All],MATCH($B66,CF_Gen_1[[#All],[Incurred]],0),0),0)-IFERROR(HLOOKUP("Exp_Acquisition",CF_Gen_1[#All],MATCH($B66,CF_Gen_1[[#All],[Incurred]],0),0),0)</f>
        <v>-1261038.1583026145</v>
      </c>
      <c r="I66" s="22">
        <f>IF(AND($J66&lt;YEAR($A66),$B66&lt;=$A66),-IFERROR(HLOOKUP("Actual_Commission",CF_Gen_1[#All],MATCH($B66,CF_Gen_1[[#All],[Incurred]],0),0),0)-IFERROR(HLOOKUP("Actual_Acquisition",CF_Gen_1[#All],MATCH($B66,CF_Gen_1[[#All],[Incurred]],0),0),0),0)</f>
        <v>0</v>
      </c>
      <c r="J66" s="27">
        <f>VLOOKUP(L66,ICG[#All],2,0)</f>
        <v>2024</v>
      </c>
      <c r="K66" s="27" t="str">
        <f>VLOOKUP(L66,ICG[#All],3,0)</f>
        <v>IC-Property</v>
      </c>
      <c r="L66" s="27" t="str">
        <f t="shared" si="2"/>
        <v>#2024#IC-Property</v>
      </c>
    </row>
    <row r="67" spans="1:12">
      <c r="A67" s="26">
        <f t="shared" si="4"/>
        <v>45930</v>
      </c>
      <c r="B67" s="26">
        <f t="shared" ref="B67:B105" si="5">EOMONTH(B66,3)</f>
        <v>51682</v>
      </c>
      <c r="C67" s="21">
        <f>IFERROR(HLOOKUP("Exp_Premium",CF_Gen_1[#All],MATCH($B67,CF_Gen_1[[#All],[Incurred]],0),0),0)</f>
        <v>-3937707.5585006308</v>
      </c>
      <c r="D67" s="22">
        <f>IF(AND($J67&lt;YEAR($A67),$B67&lt;=$A67),IFERROR(HLOOKUP("Actual_Premium",CF_Gen_1[#All],MATCH($B67,CF_Gen_1[[#All],[Incurred]],0),0),0),0)</f>
        <v>0</v>
      </c>
      <c r="E67" s="21">
        <f>-IFERROR(HLOOKUP("Exp_Claim",CF_Gen_1[#All],MATCH($B67,CF_Gen_1[[#All],[Incurred]],0),0),0)-IFERROR(HLOOKUP("Exp_NPR",CF_Gen_1[#All],MATCH($B67,CF_Gen_1[[#All],[Incurred]],0),0),0)</f>
        <v>2833225.3502018107</v>
      </c>
      <c r="F67" s="21">
        <f>-IFERROR(HLOOKUP("Exp_RA",CF_Gen_1[#All],MATCH($B67,CF_Gen_1[[#All],[Incurred]],0),0),0)</f>
        <v>396651.54902825353</v>
      </c>
      <c r="G67" s="21">
        <f>-IFERROR(HLOOKUP("Exp_Expense",CF_Gen_1[#All],MATCH($B67,CF_Gen_1[[#All],[Incurred]],0),0),0)</f>
        <v>630392.64041990286</v>
      </c>
      <c r="H67" s="21">
        <f>-IFERROR(HLOOKUP("Exp_Commission",CF_Gen_1[#All],MATCH($B67,CF_Gen_1[[#All],[Incurred]],0),0),0)-IFERROR(HLOOKUP("Exp_Acquisition",CF_Gen_1[#All],MATCH($B67,CF_Gen_1[[#All],[Incurred]],0),0),0)</f>
        <v>-1091013.7739170222</v>
      </c>
      <c r="I67" s="22">
        <f>IF(AND($J67&lt;YEAR($A67),$B67&lt;=$A67),-IFERROR(HLOOKUP("Actual_Commission",CF_Gen_1[#All],MATCH($B67,CF_Gen_1[[#All],[Incurred]],0),0),0)-IFERROR(HLOOKUP("Actual_Acquisition",CF_Gen_1[#All],MATCH($B67,CF_Gen_1[[#All],[Incurred]],0),0),0),0)</f>
        <v>0</v>
      </c>
      <c r="J67" s="27">
        <f>VLOOKUP(L67,ICG[#All],2,0)</f>
        <v>2024</v>
      </c>
      <c r="K67" s="27" t="str">
        <f>VLOOKUP(L67,ICG[#All],3,0)</f>
        <v>IC-Property</v>
      </c>
      <c r="L67" s="27" t="str">
        <f t="shared" si="2"/>
        <v>#2024#IC-Property</v>
      </c>
    </row>
    <row r="68" spans="1:12">
      <c r="A68" s="26">
        <f t="shared" si="4"/>
        <v>45930</v>
      </c>
      <c r="B68" s="26">
        <f t="shared" si="5"/>
        <v>51774</v>
      </c>
      <c r="C68" s="21">
        <f>IFERROR(HLOOKUP("Exp_Premium",CF_Gen_1[#All],MATCH($B68,CF_Gen_1[[#All],[Incurred]],0),0),0)</f>
        <v>-3414160.8112629284</v>
      </c>
      <c r="D68" s="22">
        <f>IF(AND($J68&lt;YEAR($A68),$B68&lt;=$A68),IFERROR(HLOOKUP("Actual_Premium",CF_Gen_1[#All],MATCH($B68,CF_Gen_1[[#All],[Incurred]],0),0),0),0)</f>
        <v>0</v>
      </c>
      <c r="E68" s="21">
        <f>-IFERROR(HLOOKUP("Exp_Claim",CF_Gen_1[#All],MATCH($B68,CF_Gen_1[[#All],[Incurred]],0),0),0)-IFERROR(HLOOKUP("Exp_NPR",CF_Gen_1[#All],MATCH($B68,CF_Gen_1[[#All],[Incurred]],0),0),0)</f>
        <v>2542446.9589968883</v>
      </c>
      <c r="F68" s="21">
        <f>-IFERROR(HLOOKUP("Exp_RA",CF_Gen_1[#All],MATCH($B68,CF_Gen_1[[#All],[Incurred]],0),0),0)</f>
        <v>355942.5742595644</v>
      </c>
      <c r="G68" s="21">
        <f>-IFERROR(HLOOKUP("Exp_Expense",CF_Gen_1[#All],MATCH($B68,CF_Gen_1[[#All],[Incurred]],0),0),0)</f>
        <v>565694.44837680762</v>
      </c>
      <c r="H68" s="21">
        <f>-IFERROR(HLOOKUP("Exp_Commission",CF_Gen_1[#All],MATCH($B68,CF_Gen_1[[#All],[Incurred]],0),0),0)-IFERROR(HLOOKUP("Exp_Acquisition",CF_Gen_1[#All],MATCH($B68,CF_Gen_1[[#All],[Incurred]],0),0),0)</f>
        <v>-941378.41067420645</v>
      </c>
      <c r="I68" s="22">
        <f>IF(AND($J68&lt;YEAR($A68),$B68&lt;=$A68),-IFERROR(HLOOKUP("Actual_Commission",CF_Gen_1[#All],MATCH($B68,CF_Gen_1[[#All],[Incurred]],0),0),0)-IFERROR(HLOOKUP("Actual_Acquisition",CF_Gen_1[#All],MATCH($B68,CF_Gen_1[[#All],[Incurred]],0),0),0),0)</f>
        <v>0</v>
      </c>
      <c r="J68" s="27">
        <f>VLOOKUP(L68,ICG[#All],2,0)</f>
        <v>2024</v>
      </c>
      <c r="K68" s="27" t="str">
        <f>VLOOKUP(L68,ICG[#All],3,0)</f>
        <v>IC-Property</v>
      </c>
      <c r="L68" s="27" t="str">
        <f t="shared" ref="L68:L105" si="6">L67</f>
        <v>#2024#IC-Property</v>
      </c>
    </row>
    <row r="69" spans="1:12">
      <c r="A69" s="26">
        <f t="shared" si="4"/>
        <v>45930</v>
      </c>
      <c r="B69" s="26">
        <f t="shared" si="5"/>
        <v>51866</v>
      </c>
      <c r="C69" s="21">
        <f>IFERROR(HLOOKUP("Exp_Premium",CF_Gen_1[#All],MATCH($B69,CF_Gen_1[[#All],[Incurred]],0),0),0)</f>
        <v>-2952705.4455622952</v>
      </c>
      <c r="D69" s="22">
        <f>IF(AND($J69&lt;YEAR($A69),$B69&lt;=$A69),IFERROR(HLOOKUP("Actual_Premium",CF_Gen_1[#All],MATCH($B69,CF_Gen_1[[#All],[Incurred]],0),0),0),0)</f>
        <v>0</v>
      </c>
      <c r="E69" s="21">
        <f>-IFERROR(HLOOKUP("Exp_Claim",CF_Gen_1[#All],MATCH($B69,CF_Gen_1[[#All],[Incurred]],0),0),0)-IFERROR(HLOOKUP("Exp_NPR",CF_Gen_1[#All],MATCH($B69,CF_Gen_1[[#All],[Incurred]],0),0),0)</f>
        <v>2278494.7383446652</v>
      </c>
      <c r="F69" s="21">
        <f>-IFERROR(HLOOKUP("Exp_RA",CF_Gen_1[#All],MATCH($B69,CF_Gen_1[[#All],[Incurred]],0),0),0)</f>
        <v>318989.26336825313</v>
      </c>
      <c r="G69" s="21">
        <f>-IFERROR(HLOOKUP("Exp_Expense",CF_Gen_1[#All],MATCH($B69,CF_Gen_1[[#All],[Incurred]],0),0),0)</f>
        <v>506965.07928168797</v>
      </c>
      <c r="H69" s="21">
        <f>-IFERROR(HLOOKUP("Exp_Commission",CF_Gen_1[#All],MATCH($B69,CF_Gen_1[[#All],[Incurred]],0),0),0)-IFERROR(HLOOKUP("Exp_Acquisition",CF_Gen_1[#All],MATCH($B69,CF_Gen_1[[#All],[Incurred]],0),0),0)</f>
        <v>-809917.19649635477</v>
      </c>
      <c r="I69" s="22">
        <f>IF(AND($J69&lt;YEAR($A69),$B69&lt;=$A69),-IFERROR(HLOOKUP("Actual_Commission",CF_Gen_1[#All],MATCH($B69,CF_Gen_1[[#All],[Incurred]],0),0),0)-IFERROR(HLOOKUP("Actual_Acquisition",CF_Gen_1[#All],MATCH($B69,CF_Gen_1[[#All],[Incurred]],0),0),0),0)</f>
        <v>0</v>
      </c>
      <c r="J69" s="27">
        <f>VLOOKUP(L69,ICG[#All],2,0)</f>
        <v>2024</v>
      </c>
      <c r="K69" s="27" t="str">
        <f>VLOOKUP(L69,ICG[#All],3,0)</f>
        <v>IC-Property</v>
      </c>
      <c r="L69" s="27" t="str">
        <f t="shared" si="6"/>
        <v>#2024#IC-Property</v>
      </c>
    </row>
    <row r="70" spans="1:12">
      <c r="A70" s="26">
        <f t="shared" si="4"/>
        <v>45930</v>
      </c>
      <c r="B70" s="26">
        <f t="shared" si="5"/>
        <v>51956</v>
      </c>
      <c r="C70" s="21">
        <f>IFERROR(HLOOKUP("Exp_Premium",CF_Gen_1[#All],MATCH($B70,CF_Gen_1[[#All],[Incurred]],0),0),0)</f>
        <v>-2546647.774767776</v>
      </c>
      <c r="D70" s="22">
        <f>IF(AND($J70&lt;YEAR($A70),$B70&lt;=$A70),IFERROR(HLOOKUP("Actual_Premium",CF_Gen_1[#All],MATCH($B70,CF_Gen_1[[#All],[Incurred]],0),0),0),0)</f>
        <v>0</v>
      </c>
      <c r="E70" s="21">
        <f>-IFERROR(HLOOKUP("Exp_Claim",CF_Gen_1[#All],MATCH($B70,CF_Gen_1[[#All],[Incurred]],0),0),0)-IFERROR(HLOOKUP("Exp_NPR",CF_Gen_1[#All],MATCH($B70,CF_Gen_1[[#All],[Incurred]],0),0),0)</f>
        <v>2039037.8384846696</v>
      </c>
      <c r="F70" s="21">
        <f>-IFERROR(HLOOKUP("Exp_RA",CF_Gen_1[#All],MATCH($B70,CF_Gen_1[[#All],[Incurred]],0),0),0)</f>
        <v>285465.29738785379</v>
      </c>
      <c r="G70" s="21">
        <f>-IFERROR(HLOOKUP("Exp_Expense",CF_Gen_1[#All],MATCH($B70,CF_Gen_1[[#All],[Incurred]],0),0),0)</f>
        <v>453685.91906283901</v>
      </c>
      <c r="H70" s="21">
        <f>-IFERROR(HLOOKUP("Exp_Commission",CF_Gen_1[#All],MATCH($B70,CF_Gen_1[[#All],[Incurred]],0),0),0)-IFERROR(HLOOKUP("Exp_Acquisition",CF_Gen_1[#All],MATCH($B70,CF_Gen_1[[#All],[Incurred]],0),0),0)</f>
        <v>-694638.98219504009</v>
      </c>
      <c r="I70" s="22">
        <f>IF(AND($J70&lt;YEAR($A70),$B70&lt;=$A70),-IFERROR(HLOOKUP("Actual_Commission",CF_Gen_1[#All],MATCH($B70,CF_Gen_1[[#All],[Incurred]],0),0),0)-IFERROR(HLOOKUP("Actual_Acquisition",CF_Gen_1[#All],MATCH($B70,CF_Gen_1[[#All],[Incurred]],0),0),0),0)</f>
        <v>0</v>
      </c>
      <c r="J70" s="27">
        <f>VLOOKUP(L70,ICG[#All],2,0)</f>
        <v>2024</v>
      </c>
      <c r="K70" s="27" t="str">
        <f>VLOOKUP(L70,ICG[#All],3,0)</f>
        <v>IC-Property</v>
      </c>
      <c r="L70" s="27" t="str">
        <f t="shared" si="6"/>
        <v>#2024#IC-Property</v>
      </c>
    </row>
    <row r="71" spans="1:12">
      <c r="A71" s="26">
        <f t="shared" si="4"/>
        <v>45930</v>
      </c>
      <c r="B71" s="26">
        <f t="shared" si="5"/>
        <v>52047</v>
      </c>
      <c r="C71" s="21">
        <f>IFERROR(HLOOKUP("Exp_Premium",CF_Gen_1[#All],MATCH($B71,CF_Gen_1[[#All],[Incurred]],0),0),0)</f>
        <v>-2189966.619666623</v>
      </c>
      <c r="D71" s="22">
        <f>IF(AND($J71&lt;YEAR($A71),$B71&lt;=$A71),IFERROR(HLOOKUP("Actual_Premium",CF_Gen_1[#All],MATCH($B71,CF_Gen_1[[#All],[Incurred]],0),0),0),0)</f>
        <v>0</v>
      </c>
      <c r="E71" s="21">
        <f>-IFERROR(HLOOKUP("Exp_Claim",CF_Gen_1[#All],MATCH($B71,CF_Gen_1[[#All],[Incurred]],0),0),0)-IFERROR(HLOOKUP("Exp_NPR",CF_Gen_1[#All],MATCH($B71,CF_Gen_1[[#All],[Incurred]],0),0),0)</f>
        <v>1821940.2803871846</v>
      </c>
      <c r="F71" s="21">
        <f>-IFERROR(HLOOKUP("Exp_RA",CF_Gen_1[#All],MATCH($B71,CF_Gen_1[[#All],[Incurred]],0),0),0)</f>
        <v>255071.63925420586</v>
      </c>
      <c r="G71" s="21">
        <f>-IFERROR(HLOOKUP("Exp_Expense",CF_Gen_1[#All],MATCH($B71,CF_Gen_1[[#All],[Incurred]],0),0),0)</f>
        <v>405381.71238614852</v>
      </c>
      <c r="H71" s="21">
        <f>-IFERROR(HLOOKUP("Exp_Commission",CF_Gen_1[#All],MATCH($B71,CF_Gen_1[[#All],[Incurred]],0),0),0)-IFERROR(HLOOKUP("Exp_Acquisition",CF_Gen_1[#All],MATCH($B71,CF_Gen_1[[#All],[Incurred]],0),0),0)</f>
        <v>-593754.92484974326</v>
      </c>
      <c r="I71" s="22">
        <f>IF(AND($J71&lt;YEAR($A71),$B71&lt;=$A71),-IFERROR(HLOOKUP("Actual_Commission",CF_Gen_1[#All],MATCH($B71,CF_Gen_1[[#All],[Incurred]],0),0),0)-IFERROR(HLOOKUP("Actual_Acquisition",CF_Gen_1[#All],MATCH($B71,CF_Gen_1[[#All],[Incurred]],0),0),0),0)</f>
        <v>0</v>
      </c>
      <c r="J71" s="27">
        <f>VLOOKUP(L71,ICG[#All],2,0)</f>
        <v>2024</v>
      </c>
      <c r="K71" s="27" t="str">
        <f>VLOOKUP(L71,ICG[#All],3,0)</f>
        <v>IC-Property</v>
      </c>
      <c r="L71" s="27" t="str">
        <f t="shared" si="6"/>
        <v>#2024#IC-Property</v>
      </c>
    </row>
    <row r="72" spans="1:12">
      <c r="A72" s="26">
        <f t="shared" si="4"/>
        <v>45930</v>
      </c>
      <c r="B72" s="26">
        <f t="shared" si="5"/>
        <v>52139</v>
      </c>
      <c r="C72" s="21">
        <f>IFERROR(HLOOKUP("Exp_Premium",CF_Gen_1[#All],MATCH($B72,CF_Gen_1[[#All],[Incurred]],0),0),0)</f>
        <v>-1877249.1817560808</v>
      </c>
      <c r="D72" s="22">
        <f>IF(AND($J72&lt;YEAR($A72),$B72&lt;=$A72),IFERROR(HLOOKUP("Actual_Premium",CF_Gen_1[#All],MATCH($B72,CF_Gen_1[[#All],[Incurred]],0),0),0),0)</f>
        <v>0</v>
      </c>
      <c r="E72" s="21">
        <f>-IFERROR(HLOOKUP("Exp_Claim",CF_Gen_1[#All],MATCH($B72,CF_Gen_1[[#All],[Incurred]],0),0),0)-IFERROR(HLOOKUP("Exp_NPR",CF_Gen_1[#All],MATCH($B72,CF_Gen_1[[#All],[Incurred]],0),0),0)</f>
        <v>1625245.0950147714</v>
      </c>
      <c r="F72" s="21">
        <f>-IFERROR(HLOOKUP("Exp_RA",CF_Gen_1[#All],MATCH($B72,CF_Gen_1[[#All],[Incurred]],0),0),0)</f>
        <v>227534.31330206801</v>
      </c>
      <c r="G72" s="21">
        <f>-IFERROR(HLOOKUP("Exp_Expense",CF_Gen_1[#All],MATCH($B72,CF_Gen_1[[#All],[Incurred]],0),0),0)</f>
        <v>361617.0336407866</v>
      </c>
      <c r="H72" s="21">
        <f>-IFERROR(HLOOKUP("Exp_Commission",CF_Gen_1[#All],MATCH($B72,CF_Gen_1[[#All],[Incurred]],0),0),0)-IFERROR(HLOOKUP("Exp_Acquisition",CF_Gen_1[#All],MATCH($B72,CF_Gen_1[[#All],[Incurred]],0),0),0)</f>
        <v>-505659.03965153149</v>
      </c>
      <c r="I72" s="22">
        <f>IF(AND($J72&lt;YEAR($A72),$B72&lt;=$A72),-IFERROR(HLOOKUP("Actual_Commission",CF_Gen_1[#All],MATCH($B72,CF_Gen_1[[#All],[Incurred]],0),0),0)-IFERROR(HLOOKUP("Actual_Acquisition",CF_Gen_1[#All],MATCH($B72,CF_Gen_1[[#All],[Incurred]],0),0),0),0)</f>
        <v>0</v>
      </c>
      <c r="J72" s="27">
        <f>VLOOKUP(L72,ICG[#All],2,0)</f>
        <v>2024</v>
      </c>
      <c r="K72" s="27" t="str">
        <f>VLOOKUP(L72,ICG[#All],3,0)</f>
        <v>IC-Property</v>
      </c>
      <c r="L72" s="27" t="str">
        <f t="shared" si="6"/>
        <v>#2024#IC-Property</v>
      </c>
    </row>
    <row r="73" spans="1:12">
      <c r="A73" s="26">
        <f t="shared" si="4"/>
        <v>45930</v>
      </c>
      <c r="B73" s="26">
        <f t="shared" si="5"/>
        <v>52231</v>
      </c>
      <c r="C73" s="21">
        <f>IFERROR(HLOOKUP("Exp_Premium",CF_Gen_1[#All],MATCH($B73,CF_Gen_1[[#All],[Incurred]],0),0),0)</f>
        <v>-1603632.7932193622</v>
      </c>
      <c r="D73" s="22">
        <f>IF(AND($J73&lt;YEAR($A73),$B73&lt;=$A73),IFERROR(HLOOKUP("Actual_Premium",CF_Gen_1[#All],MATCH($B73,CF_Gen_1[[#All],[Incurred]],0),0),0),0)</f>
        <v>0</v>
      </c>
      <c r="E73" s="21">
        <f>-IFERROR(HLOOKUP("Exp_Claim",CF_Gen_1[#All],MATCH($B73,CF_Gen_1[[#All],[Incurred]],0),0),0)-IFERROR(HLOOKUP("Exp_NPR",CF_Gen_1[#All],MATCH($B73,CF_Gen_1[[#All],[Incurred]],0),0),0)</f>
        <v>1447159.7282205997</v>
      </c>
      <c r="F73" s="21">
        <f>-IFERROR(HLOOKUP("Exp_RA",CF_Gen_1[#All],MATCH($B73,CF_Gen_1[[#All],[Incurred]],0),0),0)</f>
        <v>202602.36195088399</v>
      </c>
      <c r="G73" s="21">
        <f>-IFERROR(HLOOKUP("Exp_Expense",CF_Gen_1[#All],MATCH($B73,CF_Gen_1[[#All],[Incurred]],0),0),0)</f>
        <v>321993.03952908341</v>
      </c>
      <c r="H73" s="21">
        <f>-IFERROR(HLOOKUP("Exp_Commission",CF_Gen_1[#All],MATCH($B73,CF_Gen_1[[#All],[Incurred]],0),0),0)-IFERROR(HLOOKUP("Exp_Acquisition",CF_Gen_1[#All],MATCH($B73,CF_Gen_1[[#All],[Incurred]],0),0),0)</f>
        <v>-428910.54492159968</v>
      </c>
      <c r="I73" s="22">
        <f>IF(AND($J73&lt;YEAR($A73),$B73&lt;=$A73),-IFERROR(HLOOKUP("Actual_Commission",CF_Gen_1[#All],MATCH($B73,CF_Gen_1[[#All],[Incurred]],0),0),0)-IFERROR(HLOOKUP("Actual_Acquisition",CF_Gen_1[#All],MATCH($B73,CF_Gen_1[[#All],[Incurred]],0),0),0),0)</f>
        <v>0</v>
      </c>
      <c r="J73" s="27">
        <f>VLOOKUP(L73,ICG[#All],2,0)</f>
        <v>2024</v>
      </c>
      <c r="K73" s="27" t="str">
        <f>VLOOKUP(L73,ICG[#All],3,0)</f>
        <v>IC-Property</v>
      </c>
      <c r="L73" s="27" t="str">
        <f t="shared" si="6"/>
        <v>#2024#IC-Property</v>
      </c>
    </row>
    <row r="74" spans="1:12">
      <c r="A74" s="26">
        <f t="shared" si="4"/>
        <v>45930</v>
      </c>
      <c r="B74" s="26">
        <f t="shared" si="5"/>
        <v>52321</v>
      </c>
      <c r="C74" s="21">
        <f>IFERROR(HLOOKUP("Exp_Premium",CF_Gen_1[#All],MATCH($B74,CF_Gen_1[[#All],[Incurred]],0),0),0)</f>
        <v>-1364752.0214747044</v>
      </c>
      <c r="D74" s="22">
        <f>IF(AND($J74&lt;YEAR($A74),$B74&lt;=$A74),IFERROR(HLOOKUP("Actual_Premium",CF_Gen_1[#All],MATCH($B74,CF_Gen_1[[#All],[Incurred]],0),0),0),0)</f>
        <v>0</v>
      </c>
      <c r="E74" s="21">
        <f>-IFERROR(HLOOKUP("Exp_Claim",CF_Gen_1[#All],MATCH($B74,CF_Gen_1[[#All],[Incurred]],0),0),0)-IFERROR(HLOOKUP("Exp_NPR",CF_Gen_1[#All],MATCH($B74,CF_Gen_1[[#All],[Incurred]],0),0),0)</f>
        <v>1286042.6118120395</v>
      </c>
      <c r="F74" s="21">
        <f>-IFERROR(HLOOKUP("Exp_RA",CF_Gen_1[#All],MATCH($B74,CF_Gen_1[[#All],[Incurred]],0),0),0)</f>
        <v>180045.96565368556</v>
      </c>
      <c r="G74" s="21">
        <f>-IFERROR(HLOOKUP("Exp_Expense",CF_Gen_1[#All],MATCH($B74,CF_Gen_1[[#All],[Incurred]],0),0),0)</f>
        <v>286144.48112817877</v>
      </c>
      <c r="H74" s="21">
        <f>-IFERROR(HLOOKUP("Exp_Commission",CF_Gen_1[#All],MATCH($B74,CF_Gen_1[[#All],[Incurred]],0),0),0)-IFERROR(HLOOKUP("Exp_Acquisition",CF_Gen_1[#All],MATCH($B74,CF_Gen_1[[#All],[Incurred]],0),0),0)</f>
        <v>-362217.84023479925</v>
      </c>
      <c r="I74" s="22">
        <f>IF(AND($J74&lt;YEAR($A74),$B74&lt;=$A74),-IFERROR(HLOOKUP("Actual_Commission",CF_Gen_1[#All],MATCH($B74,CF_Gen_1[[#All],[Incurred]],0),0),0)-IFERROR(HLOOKUP("Actual_Acquisition",CF_Gen_1[#All],MATCH($B74,CF_Gen_1[[#All],[Incurred]],0),0),0),0)</f>
        <v>0</v>
      </c>
      <c r="J74" s="27">
        <f>VLOOKUP(L74,ICG[#All],2,0)</f>
        <v>2024</v>
      </c>
      <c r="K74" s="27" t="str">
        <f>VLOOKUP(L74,ICG[#All],3,0)</f>
        <v>IC-Property</v>
      </c>
      <c r="L74" s="27" t="str">
        <f t="shared" si="6"/>
        <v>#2024#IC-Property</v>
      </c>
    </row>
    <row r="75" spans="1:12">
      <c r="A75" s="26">
        <f t="shared" si="4"/>
        <v>45930</v>
      </c>
      <c r="B75" s="26">
        <f t="shared" si="5"/>
        <v>52412</v>
      </c>
      <c r="C75" s="21">
        <f>IFERROR(HLOOKUP("Exp_Premium",CF_Gen_1[#All],MATCH($B75,CF_Gen_1[[#All],[Incurred]],0),0),0)</f>
        <v>-1156690.6514379212</v>
      </c>
      <c r="D75" s="22">
        <f>IF(AND($J75&lt;YEAR($A75),$B75&lt;=$A75),IFERROR(HLOOKUP("Actual_Premium",CF_Gen_1[#All],MATCH($B75,CF_Gen_1[[#All],[Incurred]],0),0),0),0)</f>
        <v>0</v>
      </c>
      <c r="E75" s="21">
        <f>-IFERROR(HLOOKUP("Exp_Claim",CF_Gen_1[#All],MATCH($B75,CF_Gen_1[[#All],[Incurred]],0),0),0)-IFERROR(HLOOKUP("Exp_NPR",CF_Gen_1[#All],MATCH($B75,CF_Gen_1[[#All],[Incurred]],0),0),0)</f>
        <v>1140390.8090323971</v>
      </c>
      <c r="F75" s="21">
        <f>-IFERROR(HLOOKUP("Exp_RA",CF_Gen_1[#All],MATCH($B75,CF_Gen_1[[#All],[Incurred]],0),0),0)</f>
        <v>159654.71326453562</v>
      </c>
      <c r="G75" s="21">
        <f>-IFERROR(HLOOKUP("Exp_Expense",CF_Gen_1[#All],MATCH($B75,CF_Gen_1[[#All],[Incurred]],0),0),0)</f>
        <v>253736.95500970836</v>
      </c>
      <c r="H75" s="21">
        <f>-IFERROR(HLOOKUP("Exp_Commission",CF_Gen_1[#All],MATCH($B75,CF_Gen_1[[#All],[Incurred]],0),0),0)-IFERROR(HLOOKUP("Exp_Acquisition",CF_Gen_1[#All],MATCH($B75,CF_Gen_1[[#All],[Incurred]],0),0),0)</f>
        <v>-304423.9715040024</v>
      </c>
      <c r="I75" s="22">
        <f>IF(AND($J75&lt;YEAR($A75),$B75&lt;=$A75),-IFERROR(HLOOKUP("Actual_Commission",CF_Gen_1[#All],MATCH($B75,CF_Gen_1[[#All],[Incurred]],0),0),0)-IFERROR(HLOOKUP("Actual_Acquisition",CF_Gen_1[#All],MATCH($B75,CF_Gen_1[[#All],[Incurred]],0),0),0),0)</f>
        <v>0</v>
      </c>
      <c r="J75" s="27">
        <f>VLOOKUP(L75,ICG[#All],2,0)</f>
        <v>2024</v>
      </c>
      <c r="K75" s="27" t="str">
        <f>VLOOKUP(L75,ICG[#All],3,0)</f>
        <v>IC-Property</v>
      </c>
      <c r="L75" s="27" t="str">
        <f t="shared" si="6"/>
        <v>#2024#IC-Property</v>
      </c>
    </row>
    <row r="76" spans="1:12">
      <c r="A76" s="26">
        <f t="shared" si="4"/>
        <v>45930</v>
      </c>
      <c r="B76" s="26">
        <f t="shared" si="5"/>
        <v>52504</v>
      </c>
      <c r="C76" s="21">
        <f>IFERROR(HLOOKUP("Exp_Premium",CF_Gen_1[#All],MATCH($B76,CF_Gen_1[[#All],[Incurred]],0),0),0)</f>
        <v>-975938.11004693189</v>
      </c>
      <c r="D76" s="22">
        <f>IF(AND($J76&lt;YEAR($A76),$B76&lt;=$A76),IFERROR(HLOOKUP("Actual_Premium",CF_Gen_1[#All],MATCH($B76,CF_Gen_1[[#All],[Incurred]],0),0),0),0)</f>
        <v>0</v>
      </c>
      <c r="E76" s="21">
        <f>-IFERROR(HLOOKUP("Exp_Claim",CF_Gen_1[#All],MATCH($B76,CF_Gen_1[[#All],[Incurred]],0),0),0)-IFERROR(HLOOKUP("Exp_NPR",CF_Gen_1[#All],MATCH($B76,CF_Gen_1[[#All],[Incurred]],0),0),0)</f>
        <v>1008828.6498440251</v>
      </c>
      <c r="F76" s="21">
        <f>-IFERROR(HLOOKUP("Exp_RA",CF_Gen_1[#All],MATCH($B76,CF_Gen_1[[#All],[Incurred]],0),0),0)</f>
        <v>141236.01097816354</v>
      </c>
      <c r="G76" s="21">
        <f>-IFERROR(HLOOKUP("Exp_Expense",CF_Gen_1[#All],MATCH($B76,CF_Gen_1[[#All],[Incurred]],0),0),0)</f>
        <v>224464.37459029557</v>
      </c>
      <c r="H76" s="21">
        <f>-IFERROR(HLOOKUP("Exp_Commission",CF_Gen_1[#All],MATCH($B76,CF_Gen_1[[#All],[Incurred]],0),0),0)-IFERROR(HLOOKUP("Exp_Acquisition",CF_Gen_1[#All],MATCH($B76,CF_Gen_1[[#All],[Incurred]],0),0),0)</f>
        <v>-254493.44962043612</v>
      </c>
      <c r="I76" s="22">
        <f>IF(AND($J76&lt;YEAR($A76),$B76&lt;=$A76),-IFERROR(HLOOKUP("Actual_Commission",CF_Gen_1[#All],MATCH($B76,CF_Gen_1[[#All],[Incurred]],0),0),0)-IFERROR(HLOOKUP("Actual_Acquisition",CF_Gen_1[#All],MATCH($B76,CF_Gen_1[[#All],[Incurred]],0),0),0),0)</f>
        <v>0</v>
      </c>
      <c r="J76" s="27">
        <f>VLOOKUP(L76,ICG[#All],2,0)</f>
        <v>2024</v>
      </c>
      <c r="K76" s="27" t="str">
        <f>VLOOKUP(L76,ICG[#All],3,0)</f>
        <v>IC-Property</v>
      </c>
      <c r="L76" s="27" t="str">
        <f t="shared" si="6"/>
        <v>#2024#IC-Property</v>
      </c>
    </row>
    <row r="77" spans="1:12">
      <c r="A77" s="26">
        <f t="shared" si="4"/>
        <v>45930</v>
      </c>
      <c r="B77" s="26">
        <f t="shared" si="5"/>
        <v>52596</v>
      </c>
      <c r="C77" s="21">
        <f>IFERROR(HLOOKUP("Exp_Premium",CF_Gen_1[#All],MATCH($B77,CF_Gen_1[[#All],[Incurred]],0),0),0)</f>
        <v>-819349.93548229465</v>
      </c>
      <c r="D77" s="22">
        <f>IF(AND($J77&lt;YEAR($A77),$B77&lt;=$A77),IFERROR(HLOOKUP("Actual_Premium",CF_Gen_1[#All],MATCH($B77,CF_Gen_1[[#All],[Incurred]],0),0),0),0)</f>
        <v>0</v>
      </c>
      <c r="E77" s="21">
        <f>-IFERROR(HLOOKUP("Exp_Claim",CF_Gen_1[#All],MATCH($B77,CF_Gen_1[[#All],[Incurred]],0),0),0)-IFERROR(HLOOKUP("Exp_NPR",CF_Gen_1[#All],MATCH($B77,CF_Gen_1[[#All],[Incurred]],0),0),0)</f>
        <v>890097.27797776647</v>
      </c>
      <c r="F77" s="21">
        <f>-IFERROR(HLOOKUP("Exp_RA",CF_Gen_1[#All],MATCH($B77,CF_Gen_1[[#All],[Incurred]],0),0),0)</f>
        <v>124613.61891688732</v>
      </c>
      <c r="G77" s="21">
        <f>-IFERROR(HLOOKUP("Exp_Expense",CF_Gen_1[#All],MATCH($B77,CF_Gen_1[[#All],[Incurred]],0),0),0)</f>
        <v>198046.64435005304</v>
      </c>
      <c r="H77" s="21">
        <f>-IFERROR(HLOOKUP("Exp_Commission",CF_Gen_1[#All],MATCH($B77,CF_Gen_1[[#All],[Incurred]],0),0),0)-IFERROR(HLOOKUP("Exp_Acquisition",CF_Gen_1[#All],MATCH($B77,CF_Gen_1[[#All],[Incurred]],0),0),0)</f>
        <v>-211500.30089732414</v>
      </c>
      <c r="I77" s="22">
        <f>IF(AND($J77&lt;YEAR($A77),$B77&lt;=$A77),-IFERROR(HLOOKUP("Actual_Commission",CF_Gen_1[#All],MATCH($B77,CF_Gen_1[[#All],[Incurred]],0),0),0)-IFERROR(HLOOKUP("Actual_Acquisition",CF_Gen_1[#All],MATCH($B77,CF_Gen_1[[#All],[Incurred]],0),0),0),0)</f>
        <v>0</v>
      </c>
      <c r="J77" s="27">
        <f>VLOOKUP(L77,ICG[#All],2,0)</f>
        <v>2024</v>
      </c>
      <c r="K77" s="27" t="str">
        <f>VLOOKUP(L77,ICG[#All],3,0)</f>
        <v>IC-Property</v>
      </c>
      <c r="L77" s="27" t="str">
        <f t="shared" si="6"/>
        <v>#2024#IC-Property</v>
      </c>
    </row>
    <row r="78" spans="1:12">
      <c r="A78" s="26">
        <f t="shared" si="4"/>
        <v>45930</v>
      </c>
      <c r="B78" s="26">
        <f t="shared" si="5"/>
        <v>52687</v>
      </c>
      <c r="C78" s="21">
        <f>IFERROR(HLOOKUP("Exp_Premium",CF_Gen_1[#All],MATCH($B78,CF_Gen_1[[#All],[Incurred]],0),0),0)</f>
        <v>-684111.92817547941</v>
      </c>
      <c r="D78" s="22">
        <f>IF(AND($J78&lt;YEAR($A78),$B78&lt;=$A78),IFERROR(HLOOKUP("Actual_Premium",CF_Gen_1[#All],MATCH($B78,CF_Gen_1[[#All],[Incurred]],0),0),0),0)</f>
        <v>0</v>
      </c>
      <c r="E78" s="21">
        <f>-IFERROR(HLOOKUP("Exp_Claim",CF_Gen_1[#All],MATCH($B78,CF_Gen_1[[#All],[Incurred]],0),0),0)-IFERROR(HLOOKUP("Exp_NPR",CF_Gen_1[#All],MATCH($B78,CF_Gen_1[[#All],[Incurred]],0),0),0)</f>
        <v>783045.03778854886</v>
      </c>
      <c r="F78" s="21">
        <f>-IFERROR(HLOOKUP("Exp_RA",CF_Gen_1[#All],MATCH($B78,CF_Gen_1[[#All],[Incurred]],0),0),0)</f>
        <v>109626.30529039685</v>
      </c>
      <c r="G78" s="21">
        <f>-IFERROR(HLOOKUP("Exp_Expense",CF_Gen_1[#All],MATCH($B78,CF_Gen_1[[#All],[Incurred]],0),0),0)</f>
        <v>174227.5209079521</v>
      </c>
      <c r="H78" s="21">
        <f>-IFERROR(HLOOKUP("Exp_Commission",CF_Gen_1[#All],MATCH($B78,CF_Gen_1[[#All],[Incurred]],0),0),0)-IFERROR(HLOOKUP("Exp_Acquisition",CF_Gen_1[#All],MATCH($B78,CF_Gen_1[[#All],[Incurred]],0),0),0)</f>
        <v>-174617.23822043362</v>
      </c>
      <c r="I78" s="22">
        <f>IF(AND($J78&lt;YEAR($A78),$B78&lt;=$A78),-IFERROR(HLOOKUP("Actual_Commission",CF_Gen_1[#All],MATCH($B78,CF_Gen_1[[#All],[Incurred]],0),0),0)-IFERROR(HLOOKUP("Actual_Acquisition",CF_Gen_1[#All],MATCH($B78,CF_Gen_1[[#All],[Incurred]],0),0),0),0)</f>
        <v>0</v>
      </c>
      <c r="J78" s="27">
        <f>VLOOKUP(L78,ICG[#All],2,0)</f>
        <v>2024</v>
      </c>
      <c r="K78" s="27" t="str">
        <f>VLOOKUP(L78,ICG[#All],3,0)</f>
        <v>IC-Property</v>
      </c>
      <c r="L78" s="27" t="str">
        <f t="shared" si="6"/>
        <v>#2024#IC-Property</v>
      </c>
    </row>
    <row r="79" spans="1:12">
      <c r="A79" s="26">
        <f t="shared" si="4"/>
        <v>45930</v>
      </c>
      <c r="B79" s="26">
        <f t="shared" si="5"/>
        <v>52778</v>
      </c>
      <c r="C79" s="21">
        <f>IFERROR(HLOOKUP("Exp_Premium",CF_Gen_1[#All],MATCH($B79,CF_Gen_1[[#All],[Incurred]],0),0),0)</f>
        <v>-567707.65239669778</v>
      </c>
      <c r="D79" s="22">
        <f>IF(AND($J79&lt;YEAR($A79),$B79&lt;=$A79),IFERROR(HLOOKUP("Actual_Premium",CF_Gen_1[#All],MATCH($B79,CF_Gen_1[[#All],[Incurred]],0),0),0),0)</f>
        <v>0</v>
      </c>
      <c r="E79" s="21">
        <f>-IFERROR(HLOOKUP("Exp_Claim",CF_Gen_1[#All],MATCH($B79,CF_Gen_1[[#All],[Incurred]],0),0),0)-IFERROR(HLOOKUP("Exp_NPR",CF_Gen_1[#All],MATCH($B79,CF_Gen_1[[#All],[Incurred]],0),0),0)</f>
        <v>686618.63456373033</v>
      </c>
      <c r="F79" s="21">
        <f>-IFERROR(HLOOKUP("Exp_RA",CF_Gen_1[#All],MATCH($B79,CF_Gen_1[[#All],[Incurred]],0),0),0)</f>
        <v>96126.608838922257</v>
      </c>
      <c r="G79" s="21">
        <f>-IFERROR(HLOOKUP("Exp_Expense",CF_Gen_1[#All],MATCH($B79,CF_Gen_1[[#All],[Incurred]],0),0),0)</f>
        <v>152772.64619042998</v>
      </c>
      <c r="H79" s="21">
        <f>-IFERROR(HLOOKUP("Exp_Commission",CF_Gen_1[#All],MATCH($B79,CF_Gen_1[[#All],[Incurred]],0),0),0)-IFERROR(HLOOKUP("Exp_Acquisition",CF_Gen_1[#All],MATCH($B79,CF_Gen_1[[#All],[Incurred]],0),0),0)</f>
        <v>-143105.85155306794</v>
      </c>
      <c r="I79" s="22">
        <f>IF(AND($J79&lt;YEAR($A79),$B79&lt;=$A79),-IFERROR(HLOOKUP("Actual_Commission",CF_Gen_1[#All],MATCH($B79,CF_Gen_1[[#All],[Incurred]],0),0),0)-IFERROR(HLOOKUP("Actual_Acquisition",CF_Gen_1[#All],MATCH($B79,CF_Gen_1[[#All],[Incurred]],0),0),0),0)</f>
        <v>0</v>
      </c>
      <c r="J79" s="27">
        <f>VLOOKUP(L79,ICG[#All],2,0)</f>
        <v>2024</v>
      </c>
      <c r="K79" s="27" t="str">
        <f>VLOOKUP(L79,ICG[#All],3,0)</f>
        <v>IC-Property</v>
      </c>
      <c r="L79" s="27" t="str">
        <f t="shared" si="6"/>
        <v>#2024#IC-Property</v>
      </c>
    </row>
    <row r="80" spans="1:12">
      <c r="A80" s="26">
        <f t="shared" si="4"/>
        <v>45930</v>
      </c>
      <c r="B80" s="26">
        <f t="shared" si="5"/>
        <v>52870</v>
      </c>
      <c r="C80" s="21">
        <f>IFERROR(HLOOKUP("Exp_Premium",CF_Gen_1[#All],MATCH($B80,CF_Gen_1[[#All],[Incurred]],0),0),0)</f>
        <v>-467888.98620460258</v>
      </c>
      <c r="D80" s="22">
        <f>IF(AND($J80&lt;YEAR($A80),$B80&lt;=$A80),IFERROR(HLOOKUP("Actual_Premium",CF_Gen_1[#All],MATCH($B80,CF_Gen_1[[#All],[Incurred]],0),0),0),0)</f>
        <v>0</v>
      </c>
      <c r="E80" s="21">
        <f>-IFERROR(HLOOKUP("Exp_Claim",CF_Gen_1[#All],MATCH($B80,CF_Gen_1[[#All],[Incurred]],0),0),0)-IFERROR(HLOOKUP("Exp_NPR",CF_Gen_1[#All],MATCH($B80,CF_Gen_1[[#All],[Incurred]],0),0),0)</f>
        <v>599855.00710522255</v>
      </c>
      <c r="F80" s="21">
        <f>-IFERROR(HLOOKUP("Exp_RA",CF_Gen_1[#All],MATCH($B80,CF_Gen_1[[#All],[Incurred]],0),0),0)</f>
        <v>83979.70099473116</v>
      </c>
      <c r="G80" s="21">
        <f>-IFERROR(HLOOKUP("Exp_Expense",CF_Gen_1[#All],MATCH($B80,CF_Gen_1[[#All],[Incurred]],0),0),0)</f>
        <v>133467.73908091203</v>
      </c>
      <c r="H80" s="21">
        <f>-IFERROR(HLOOKUP("Exp_Commission",CF_Gen_1[#All],MATCH($B80,CF_Gen_1[[#All],[Incurred]],0),0),0)-IFERROR(HLOOKUP("Exp_Acquisition",CF_Gen_1[#All],MATCH($B80,CF_Gen_1[[#All],[Incurred]],0),0),0)</f>
        <v>-116307.72535136952</v>
      </c>
      <c r="I80" s="22">
        <f>IF(AND($J80&lt;YEAR($A80),$B80&lt;=$A80),-IFERROR(HLOOKUP("Actual_Commission",CF_Gen_1[#All],MATCH($B80,CF_Gen_1[[#All],[Incurred]],0),0),0)-IFERROR(HLOOKUP("Actual_Acquisition",CF_Gen_1[#All],MATCH($B80,CF_Gen_1[[#All],[Incurred]],0),0),0),0)</f>
        <v>0</v>
      </c>
      <c r="J80" s="27">
        <f>VLOOKUP(L80,ICG[#All],2,0)</f>
        <v>2024</v>
      </c>
      <c r="K80" s="27" t="str">
        <f>VLOOKUP(L80,ICG[#All],3,0)</f>
        <v>IC-Property</v>
      </c>
      <c r="L80" s="27" t="str">
        <f t="shared" si="6"/>
        <v>#2024#IC-Property</v>
      </c>
    </row>
    <row r="81" spans="1:12">
      <c r="A81" s="26">
        <f t="shared" si="4"/>
        <v>45930</v>
      </c>
      <c r="B81" s="26">
        <f t="shared" si="5"/>
        <v>52962</v>
      </c>
      <c r="C81" s="21">
        <f>IFERROR(HLOOKUP("Exp_Premium",CF_Gen_1[#All],MATCH($B81,CF_Gen_1[[#All],[Incurred]],0),0),0)</f>
        <v>-382649.44404857332</v>
      </c>
      <c r="D81" s="22">
        <f>IF(AND($J81&lt;YEAR($A81),$B81&lt;=$A81),IFERROR(HLOOKUP("Actual_Premium",CF_Gen_1[#All],MATCH($B81,CF_Gen_1[[#All],[Incurred]],0),0),0),0)</f>
        <v>0</v>
      </c>
      <c r="E81" s="21">
        <f>-IFERROR(HLOOKUP("Exp_Claim",CF_Gen_1[#All],MATCH($B81,CF_Gen_1[[#All],[Incurred]],0),0),0)-IFERROR(HLOOKUP("Exp_NPR",CF_Gen_1[#All],MATCH($B81,CF_Gen_1[[#All],[Incurred]],0),0),0)</f>
        <v>521873.85618154355</v>
      </c>
      <c r="F81" s="21">
        <f>-IFERROR(HLOOKUP("Exp_RA",CF_Gen_1[#All],MATCH($B81,CF_Gen_1[[#All],[Incurred]],0),0),0)</f>
        <v>73062.339865416099</v>
      </c>
      <c r="G81" s="21">
        <f>-IFERROR(HLOOKUP("Exp_Expense",CF_Gen_1[#All],MATCH($B81,CF_Gen_1[[#All],[Incurred]],0),0),0)</f>
        <v>116116.93300039343</v>
      </c>
      <c r="H81" s="21">
        <f>-IFERROR(HLOOKUP("Exp_Commission",CF_Gen_1[#All],MATCH($B81,CF_Gen_1[[#All],[Incurred]],0),0),0)-IFERROR(HLOOKUP("Exp_Acquisition",CF_Gen_1[#All],MATCH($B81,CF_Gen_1[[#All],[Incurred]],0),0),0)</f>
        <v>-93636.398588848824</v>
      </c>
      <c r="I81" s="22">
        <f>IF(AND($J81&lt;YEAR($A81),$B81&lt;=$A81),-IFERROR(HLOOKUP("Actual_Commission",CF_Gen_1[#All],MATCH($B81,CF_Gen_1[[#All],[Incurred]],0),0),0)-IFERROR(HLOOKUP("Actual_Acquisition",CF_Gen_1[#All],MATCH($B81,CF_Gen_1[[#All],[Incurred]],0),0),0),0)</f>
        <v>0</v>
      </c>
      <c r="J81" s="27">
        <f>VLOOKUP(L81,ICG[#All],2,0)</f>
        <v>2024</v>
      </c>
      <c r="K81" s="27" t="str">
        <f>VLOOKUP(L81,ICG[#All],3,0)</f>
        <v>IC-Property</v>
      </c>
      <c r="L81" s="27" t="str">
        <f t="shared" si="6"/>
        <v>#2024#IC-Property</v>
      </c>
    </row>
    <row r="82" spans="1:12">
      <c r="A82" s="26">
        <f t="shared" si="4"/>
        <v>45930</v>
      </c>
      <c r="B82" s="26">
        <f t="shared" si="5"/>
        <v>53052</v>
      </c>
      <c r="C82" s="21">
        <f>IFERROR(HLOOKUP("Exp_Premium",CF_Gen_1[#All],MATCH($B82,CF_Gen_1[[#All],[Incurred]],0),0),0)</f>
        <v>-310200.02054928814</v>
      </c>
      <c r="D82" s="22">
        <f>IF(AND($J82&lt;YEAR($A82),$B82&lt;=$A82),IFERROR(HLOOKUP("Actual_Premium",CF_Gen_1[#All],MATCH($B82,CF_Gen_1[[#All],[Incurred]],0),0),0),0)</f>
        <v>0</v>
      </c>
      <c r="E82" s="21">
        <f>-IFERROR(HLOOKUP("Exp_Claim",CF_Gen_1[#All],MATCH($B82,CF_Gen_1[[#All],[Incurred]],0),0),0)-IFERROR(HLOOKUP("Exp_NPR",CF_Gen_1[#All],MATCH($B82,CF_Gen_1[[#All],[Incurred]],0),0),0)</f>
        <v>451870.77685236395</v>
      </c>
      <c r="F82" s="21">
        <f>-IFERROR(HLOOKUP("Exp_RA",CF_Gen_1[#All],MATCH($B82,CF_Gen_1[[#All],[Incurred]],0),0),0)</f>
        <v>63261.90875933096</v>
      </c>
      <c r="G82" s="21">
        <f>-IFERROR(HLOOKUP("Exp_Expense",CF_Gen_1[#All],MATCH($B82,CF_Gen_1[[#All],[Incurred]],0),0),0)</f>
        <v>100541.24784965097</v>
      </c>
      <c r="H82" s="21">
        <f>-IFERROR(HLOOKUP("Exp_Commission",CF_Gen_1[#All],MATCH($B82,CF_Gen_1[[#All],[Incurred]],0),0),0)-IFERROR(HLOOKUP("Exp_Acquisition",CF_Gen_1[#All],MATCH($B82,CF_Gen_1[[#All],[Incurred]],0),0),0)</f>
        <v>-74570.090531360809</v>
      </c>
      <c r="I82" s="22">
        <f>IF(AND($J82&lt;YEAR($A82),$B82&lt;=$A82),-IFERROR(HLOOKUP("Actual_Commission",CF_Gen_1[#All],MATCH($B82,CF_Gen_1[[#All],[Incurred]],0),0),0)-IFERROR(HLOOKUP("Actual_Acquisition",CF_Gen_1[#All],MATCH($B82,CF_Gen_1[[#All],[Incurred]],0),0),0),0)</f>
        <v>0</v>
      </c>
      <c r="J82" s="27">
        <f>VLOOKUP(L82,ICG[#All],2,0)</f>
        <v>2024</v>
      </c>
      <c r="K82" s="27" t="str">
        <f>VLOOKUP(L82,ICG[#All],3,0)</f>
        <v>IC-Property</v>
      </c>
      <c r="L82" s="27" t="str">
        <f t="shared" si="6"/>
        <v>#2024#IC-Property</v>
      </c>
    </row>
    <row r="83" spans="1:12">
      <c r="A83" s="26">
        <f t="shared" si="4"/>
        <v>45930</v>
      </c>
      <c r="B83" s="26">
        <f t="shared" si="5"/>
        <v>53143</v>
      </c>
      <c r="C83" s="21">
        <f>IFERROR(HLOOKUP("Exp_Premium",CF_Gen_1[#All],MATCH($B83,CF_Gen_1[[#All],[Incurred]],0),0),0)</f>
        <v>-248947.3261362561</v>
      </c>
      <c r="D83" s="22">
        <f>IF(AND($J83&lt;YEAR($A83),$B83&lt;=$A83),IFERROR(HLOOKUP("Actual_Premium",CF_Gen_1[#All],MATCH($B83,CF_Gen_1[[#All],[Incurred]],0),0),0),0)</f>
        <v>0</v>
      </c>
      <c r="E83" s="21">
        <f>-IFERROR(HLOOKUP("Exp_Claim",CF_Gen_1[#All],MATCH($B83,CF_Gen_1[[#All],[Incurred]],0),0),0)-IFERROR(HLOOKUP("Exp_NPR",CF_Gen_1[#All],MATCH($B83,CF_Gen_1[[#All],[Incurred]],0),0),0)</f>
        <v>389110.94673398009</v>
      </c>
      <c r="F83" s="21">
        <f>-IFERROR(HLOOKUP("Exp_RA",CF_Gen_1[#All],MATCH($B83,CF_Gen_1[[#All],[Incurred]],0),0),0)</f>
        <v>54475.532542757217</v>
      </c>
      <c r="G83" s="21">
        <f>-IFERROR(HLOOKUP("Exp_Expense",CF_Gen_1[#All],MATCH($B83,CF_Gen_1[[#All],[Incurred]],0),0),0)</f>
        <v>86577.185648310566</v>
      </c>
      <c r="H83" s="21">
        <f>-IFERROR(HLOOKUP("Exp_Commission",CF_Gen_1[#All],MATCH($B83,CF_Gen_1[[#All],[Incurred]],0),0),0)-IFERROR(HLOOKUP("Exp_Acquisition",CF_Gen_1[#All],MATCH($B83,CF_Gen_1[[#All],[Incurred]],0),0),0)</f>
        <v>-58645.122204462146</v>
      </c>
      <c r="I83" s="22">
        <f>IF(AND($J83&lt;YEAR($A83),$B83&lt;=$A83),-IFERROR(HLOOKUP("Actual_Commission",CF_Gen_1[#All],MATCH($B83,CF_Gen_1[[#All],[Incurred]],0),0),0)-IFERROR(HLOOKUP("Actual_Acquisition",CF_Gen_1[#All],MATCH($B83,CF_Gen_1[[#All],[Incurred]],0),0),0),0)</f>
        <v>0</v>
      </c>
      <c r="J83" s="27">
        <f>VLOOKUP(L83,ICG[#All],2,0)</f>
        <v>2024</v>
      </c>
      <c r="K83" s="27" t="str">
        <f>VLOOKUP(L83,ICG[#All],3,0)</f>
        <v>IC-Property</v>
      </c>
      <c r="L83" s="27" t="str">
        <f t="shared" si="6"/>
        <v>#2024#IC-Property</v>
      </c>
    </row>
    <row r="84" spans="1:12">
      <c r="A84" s="26">
        <f t="shared" si="4"/>
        <v>45930</v>
      </c>
      <c r="B84" s="26">
        <f t="shared" si="5"/>
        <v>53235</v>
      </c>
      <c r="C84" s="21">
        <f>IFERROR(HLOOKUP("Exp_Premium",CF_Gen_1[#All],MATCH($B84,CF_Gen_1[[#All],[Incurred]],0),0),0)</f>
        <v>-197473.80546749491</v>
      </c>
      <c r="D84" s="22">
        <f>IF(AND($J84&lt;YEAR($A84),$B84&lt;=$A84),IFERROR(HLOOKUP("Actual_Premium",CF_Gen_1[#All],MATCH($B84,CF_Gen_1[[#All],[Incurred]],0),0),0),0)</f>
        <v>0</v>
      </c>
      <c r="E84" s="21">
        <f>-IFERROR(HLOOKUP("Exp_Claim",CF_Gen_1[#All],MATCH($B84,CF_Gen_1[[#All],[Incurred]],0),0),0)-IFERROR(HLOOKUP("Exp_NPR",CF_Gen_1[#All],MATCH($B84,CF_Gen_1[[#All],[Incurred]],0),0),0)</f>
        <v>332923.32602559333</v>
      </c>
      <c r="F84" s="21">
        <f>-IFERROR(HLOOKUP("Exp_RA",CF_Gen_1[#All],MATCH($B84,CF_Gen_1[[#All],[Incurred]],0),0),0)</f>
        <v>46609.265643583072</v>
      </c>
      <c r="G84" s="21">
        <f>-IFERROR(HLOOKUP("Exp_Expense",CF_Gen_1[#All],MATCH($B84,CF_Gen_1[[#All],[Incurred]],0),0),0)</f>
        <v>74075.440040694506</v>
      </c>
      <c r="H84" s="21">
        <f>-IFERROR(HLOOKUP("Exp_Commission",CF_Gen_1[#All],MATCH($B84,CF_Gen_1[[#All],[Incurred]],0),0),0)-IFERROR(HLOOKUP("Exp_Acquisition",CF_Gen_1[#All],MATCH($B84,CF_Gen_1[[#All],[Incurred]],0),0),0)</f>
        <v>-45449.969708458164</v>
      </c>
      <c r="I84" s="22">
        <f>IF(AND($J84&lt;YEAR($A84),$B84&lt;=$A84),-IFERROR(HLOOKUP("Actual_Commission",CF_Gen_1[#All],MATCH($B84,CF_Gen_1[[#All],[Incurred]],0),0),0)-IFERROR(HLOOKUP("Actual_Acquisition",CF_Gen_1[#All],MATCH($B84,CF_Gen_1[[#All],[Incurred]],0),0),0),0)</f>
        <v>0</v>
      </c>
      <c r="J84" s="27">
        <f>VLOOKUP(L84,ICG[#All],2,0)</f>
        <v>2024</v>
      </c>
      <c r="K84" s="27" t="str">
        <f>VLOOKUP(L84,ICG[#All],3,0)</f>
        <v>IC-Property</v>
      </c>
      <c r="L84" s="27" t="str">
        <f t="shared" si="6"/>
        <v>#2024#IC-Property</v>
      </c>
    </row>
    <row r="85" spans="1:12">
      <c r="A85" s="26">
        <f t="shared" si="4"/>
        <v>45930</v>
      </c>
      <c r="B85" s="26">
        <f t="shared" si="5"/>
        <v>53327</v>
      </c>
      <c r="C85" s="21">
        <f>IFERROR(HLOOKUP("Exp_Premium",CF_Gen_1[#All],MATCH($B85,CF_Gen_1[[#All],[Incurred]],0),0),0)</f>
        <v>-154519.84805753079</v>
      </c>
      <c r="D85" s="22">
        <f>IF(AND($J85&lt;YEAR($A85),$B85&lt;=$A85),IFERROR(HLOOKUP("Actual_Premium",CF_Gen_1[#All],MATCH($B85,CF_Gen_1[[#All],[Incurred]],0),0),0),0)</f>
        <v>0</v>
      </c>
      <c r="E85" s="21">
        <f>-IFERROR(HLOOKUP("Exp_Claim",CF_Gen_1[#All],MATCH($B85,CF_Gen_1[[#All],[Incurred]],0),0),0)-IFERROR(HLOOKUP("Exp_NPR",CF_Gen_1[#All],MATCH($B85,CF_Gen_1[[#All],[Incurred]],0),0),0)</f>
        <v>282695.32857738424</v>
      </c>
      <c r="F85" s="21">
        <f>-IFERROR(HLOOKUP("Exp_RA",CF_Gen_1[#All],MATCH($B85,CF_Gen_1[[#All],[Incurred]],0),0),0)</f>
        <v>39577.346000833793</v>
      </c>
      <c r="G85" s="21">
        <f>-IFERROR(HLOOKUP("Exp_Expense",CF_Gen_1[#All],MATCH($B85,CF_Gen_1[[#All],[Incurred]],0),0),0)</f>
        <v>62899.710608467984</v>
      </c>
      <c r="H85" s="21">
        <f>-IFERROR(HLOOKUP("Exp_Commission",CF_Gen_1[#All],MATCH($B85,CF_Gen_1[[#All],[Incurred]],0),0),0)-IFERROR(HLOOKUP("Exp_Acquisition",CF_Gen_1[#All],MATCH($B85,CF_Gen_1[[#All],[Incurred]],0),0),0)</f>
        <v>-34619.891212214126</v>
      </c>
      <c r="I85" s="22">
        <f>IF(AND($J85&lt;YEAR($A85),$B85&lt;=$A85),-IFERROR(HLOOKUP("Actual_Commission",CF_Gen_1[#All],MATCH($B85,CF_Gen_1[[#All],[Incurred]],0),0),0)-IFERROR(HLOOKUP("Actual_Acquisition",CF_Gen_1[#All],MATCH($B85,CF_Gen_1[[#All],[Incurred]],0),0),0),0)</f>
        <v>0</v>
      </c>
      <c r="J85" s="27">
        <f>VLOOKUP(L85,ICG[#All],2,0)</f>
        <v>2024</v>
      </c>
      <c r="K85" s="27" t="str">
        <f>VLOOKUP(L85,ICG[#All],3,0)</f>
        <v>IC-Property</v>
      </c>
      <c r="L85" s="27" t="str">
        <f t="shared" si="6"/>
        <v>#2024#IC-Property</v>
      </c>
    </row>
    <row r="86" spans="1:12">
      <c r="A86" s="26">
        <f t="shared" si="4"/>
        <v>45930</v>
      </c>
      <c r="B86" s="26">
        <f t="shared" si="5"/>
        <v>53417</v>
      </c>
      <c r="C86" s="21">
        <f>IFERROR(HLOOKUP("Exp_Premium",CF_Gen_1[#All],MATCH($B86,CF_Gen_1[[#All],[Incurred]],0),0),0)</f>
        <v>-118967.61744298253</v>
      </c>
      <c r="D86" s="22">
        <f>IF(AND($J86&lt;YEAR($A86),$B86&lt;=$A86),IFERROR(HLOOKUP("Actual_Premium",CF_Gen_1[#All],MATCH($B86,CF_Gen_1[[#All],[Incurred]],0),0),0),0)</f>
        <v>0</v>
      </c>
      <c r="E86" s="21">
        <f>-IFERROR(HLOOKUP("Exp_Claim",CF_Gen_1[#All],MATCH($B86,CF_Gen_1[[#All],[Incurred]],0),0),0)-IFERROR(HLOOKUP("Exp_NPR",CF_Gen_1[#All],MATCH($B86,CF_Gen_1[[#All],[Incurred]],0),0),0)</f>
        <v>237867.92647439893</v>
      </c>
      <c r="F86" s="21">
        <f>-IFERROR(HLOOKUP("Exp_RA",CF_Gen_1[#All],MATCH($B86,CF_Gen_1[[#All],[Incurred]],0),0),0)</f>
        <v>33301.509706415854</v>
      </c>
      <c r="G86" s="21">
        <f>-IFERROR(HLOOKUP("Exp_Expense",CF_Gen_1[#All],MATCH($B86,CF_Gen_1[[#All],[Incurred]],0),0),0)</f>
        <v>52925.613640553762</v>
      </c>
      <c r="H86" s="21">
        <f>-IFERROR(HLOOKUP("Exp_Commission",CF_Gen_1[#All],MATCH($B86,CF_Gen_1[[#All],[Incurred]],0),0),0)-IFERROR(HLOOKUP("Exp_Acquisition",CF_Gen_1[#All],MATCH($B86,CF_Gen_1[[#All],[Incurred]],0),0),0)</f>
        <v>-25832.074640555587</v>
      </c>
      <c r="I86" s="22">
        <f>IF(AND($J86&lt;YEAR($A86),$B86&lt;=$A86),-IFERROR(HLOOKUP("Actual_Commission",CF_Gen_1[#All],MATCH($B86,CF_Gen_1[[#All],[Incurred]],0),0),0)-IFERROR(HLOOKUP("Actual_Acquisition",CF_Gen_1[#All],MATCH($B86,CF_Gen_1[[#All],[Incurred]],0),0),0),0)</f>
        <v>0</v>
      </c>
      <c r="J86" s="27">
        <f>VLOOKUP(L86,ICG[#All],2,0)</f>
        <v>2024</v>
      </c>
      <c r="K86" s="27" t="str">
        <f>VLOOKUP(L86,ICG[#All],3,0)</f>
        <v>IC-Property</v>
      </c>
      <c r="L86" s="27" t="str">
        <f t="shared" si="6"/>
        <v>#2024#IC-Property</v>
      </c>
    </row>
    <row r="87" spans="1:12">
      <c r="A87" s="26">
        <f t="shared" si="4"/>
        <v>45930</v>
      </c>
      <c r="B87" s="26">
        <f t="shared" si="5"/>
        <v>53508</v>
      </c>
      <c r="C87" s="21">
        <f>IFERROR(HLOOKUP("Exp_Premium",CF_Gen_1[#All],MATCH($B87,CF_Gen_1[[#All],[Incurred]],0),0),0)</f>
        <v>-89826.440655463826</v>
      </c>
      <c r="D87" s="22">
        <f>IF(AND($J87&lt;YEAR($A87),$B87&lt;=$A87),IFERROR(HLOOKUP("Actual_Premium",CF_Gen_1[#All],MATCH($B87,CF_Gen_1[[#All],[Incurred]],0),0),0),0)</f>
        <v>0</v>
      </c>
      <c r="E87" s="21">
        <f>-IFERROR(HLOOKUP("Exp_Claim",CF_Gen_1[#All],MATCH($B87,CF_Gen_1[[#All],[Incurred]],0),0),0)-IFERROR(HLOOKUP("Exp_NPR",CF_Gen_1[#All],MATCH($B87,CF_Gen_1[[#All],[Incurred]],0),0),0)</f>
        <v>197931.15355580251</v>
      </c>
      <c r="F87" s="21">
        <f>-IFERROR(HLOOKUP("Exp_RA",CF_Gen_1[#All],MATCH($B87,CF_Gen_1[[#All],[Incurred]],0),0),0)</f>
        <v>27710.361497812355</v>
      </c>
      <c r="G87" s="21">
        <f>-IFERROR(HLOOKUP("Exp_Expense",CF_Gen_1[#All],MATCH($B87,CF_Gen_1[[#All],[Incurred]],0),0),0)</f>
        <v>44039.681666166056</v>
      </c>
      <c r="H87" s="21">
        <f>-IFERROR(HLOOKUP("Exp_Commission",CF_Gen_1[#All],MATCH($B87,CF_Gen_1[[#All],[Incurred]],0),0),0)-IFERROR(HLOOKUP("Exp_Acquisition",CF_Gen_1[#All],MATCH($B87,CF_Gen_1[[#All],[Incurred]],0),0),0)</f>
        <v>-18801.257803604371</v>
      </c>
      <c r="I87" s="22">
        <f>IF(AND($J87&lt;YEAR($A87),$B87&lt;=$A87),-IFERROR(HLOOKUP("Actual_Commission",CF_Gen_1[#All],MATCH($B87,CF_Gen_1[[#All],[Incurred]],0),0),0)-IFERROR(HLOOKUP("Actual_Acquisition",CF_Gen_1[#All],MATCH($B87,CF_Gen_1[[#All],[Incurred]],0),0),0),0)</f>
        <v>0</v>
      </c>
      <c r="J87" s="27">
        <f>VLOOKUP(L87,ICG[#All],2,0)</f>
        <v>2024</v>
      </c>
      <c r="K87" s="27" t="str">
        <f>VLOOKUP(L87,ICG[#All],3,0)</f>
        <v>IC-Property</v>
      </c>
      <c r="L87" s="27" t="str">
        <f t="shared" si="6"/>
        <v>#2024#IC-Property</v>
      </c>
    </row>
    <row r="88" spans="1:12">
      <c r="A88" s="26">
        <f t="shared" si="4"/>
        <v>45930</v>
      </c>
      <c r="B88" s="26">
        <f t="shared" si="5"/>
        <v>53600</v>
      </c>
      <c r="C88" s="21">
        <f>IFERROR(HLOOKUP("Exp_Premium",CF_Gen_1[#All],MATCH($B88,CF_Gen_1[[#All],[Incurred]],0),0),0)</f>
        <v>-66219.613873448645</v>
      </c>
      <c r="D88" s="22">
        <f>IF(AND($J88&lt;YEAR($A88),$B88&lt;=$A88),IFERROR(HLOOKUP("Actual_Premium",CF_Gen_1[#All],MATCH($B88,CF_Gen_1[[#All],[Incurred]],0),0),0),0)</f>
        <v>0</v>
      </c>
      <c r="E88" s="21">
        <f>-IFERROR(HLOOKUP("Exp_Claim",CF_Gen_1[#All],MATCH($B88,CF_Gen_1[[#All],[Incurred]],0),0),0)-IFERROR(HLOOKUP("Exp_NPR",CF_Gen_1[#All],MATCH($B88,CF_Gen_1[[#All],[Incurred]],0),0),0)</f>
        <v>162419.97600608497</v>
      </c>
      <c r="F88" s="21">
        <f>-IFERROR(HLOOKUP("Exp_RA",CF_Gen_1[#All],MATCH($B88,CF_Gen_1[[#All],[Incurred]],0),0),0)</f>
        <v>22738.796640851899</v>
      </c>
      <c r="G88" s="21">
        <f>-IFERROR(HLOOKUP("Exp_Expense",CF_Gen_1[#All],MATCH($B88,CF_Gen_1[[#All],[Incurred]],0),0),0)</f>
        <v>36138.444661353904</v>
      </c>
      <c r="H88" s="21">
        <f>-IFERROR(HLOOKUP("Exp_Commission",CF_Gen_1[#All],MATCH($B88,CF_Gen_1[[#All],[Incurred]],0),0),0)-IFERROR(HLOOKUP("Exp_Acquisition",CF_Gen_1[#All],MATCH($B88,CF_Gen_1[[#All],[Incurred]],0),0),0)</f>
        <v>-13275.777037989526</v>
      </c>
      <c r="I88" s="22">
        <f>IF(AND($J88&lt;YEAR($A88),$B88&lt;=$A88),-IFERROR(HLOOKUP("Actual_Commission",CF_Gen_1[#All],MATCH($B88,CF_Gen_1[[#All],[Incurred]],0),0),0)-IFERROR(HLOOKUP("Actual_Acquisition",CF_Gen_1[#All],MATCH($B88,CF_Gen_1[[#All],[Incurred]],0),0),0),0)</f>
        <v>0</v>
      </c>
      <c r="J88" s="27">
        <f>VLOOKUP(L88,ICG[#All],2,0)</f>
        <v>2024</v>
      </c>
      <c r="K88" s="27" t="str">
        <f>VLOOKUP(L88,ICG[#All],3,0)</f>
        <v>IC-Property</v>
      </c>
      <c r="L88" s="27" t="str">
        <f t="shared" si="6"/>
        <v>#2024#IC-Property</v>
      </c>
    </row>
    <row r="89" spans="1:12">
      <c r="A89" s="26">
        <f t="shared" si="4"/>
        <v>45930</v>
      </c>
      <c r="B89" s="26">
        <f t="shared" si="5"/>
        <v>53692</v>
      </c>
      <c r="C89" s="21">
        <f>IFERROR(HLOOKUP("Exp_Premium",CF_Gen_1[#All],MATCH($B89,CF_Gen_1[[#All],[Incurred]],0),0),0)</f>
        <v>-47372.49300177479</v>
      </c>
      <c r="D89" s="22">
        <f>IF(AND($J89&lt;YEAR($A89),$B89&lt;=$A89),IFERROR(HLOOKUP("Actual_Premium",CF_Gen_1[#All],MATCH($B89,CF_Gen_1[[#All],[Incurred]],0),0),0),0)</f>
        <v>0</v>
      </c>
      <c r="E89" s="21">
        <f>-IFERROR(HLOOKUP("Exp_Claim",CF_Gen_1[#All],MATCH($B89,CF_Gen_1[[#All],[Incurred]],0),0),0)-IFERROR(HLOOKUP("Exp_NPR",CF_Gen_1[#All],MATCH($B89,CF_Gen_1[[#All],[Incurred]],0),0),0)</f>
        <v>130910.50066090451</v>
      </c>
      <c r="F89" s="21">
        <f>-IFERROR(HLOOKUP("Exp_RA",CF_Gen_1[#All],MATCH($B89,CF_Gen_1[[#All],[Incurred]],0),0),0)</f>
        <v>18327.470092526633</v>
      </c>
      <c r="G89" s="21">
        <f>-IFERROR(HLOOKUP("Exp_Expense",CF_Gen_1[#All],MATCH($B89,CF_Gen_1[[#All],[Incurred]],0),0),0)</f>
        <v>29127.586397051251</v>
      </c>
      <c r="H89" s="21">
        <f>-IFERROR(HLOOKUP("Exp_Commission",CF_Gen_1[#All],MATCH($B89,CF_Gen_1[[#All],[Incurred]],0),0),0)-IFERROR(HLOOKUP("Exp_Acquisition",CF_Gen_1[#All],MATCH($B89,CF_Gen_1[[#All],[Incurred]],0),0),0)</f>
        <v>-9034.004374631897</v>
      </c>
      <c r="I89" s="22">
        <f>IF(AND($J89&lt;YEAR($A89),$B89&lt;=$A89),-IFERROR(HLOOKUP("Actual_Commission",CF_Gen_1[#All],MATCH($B89,CF_Gen_1[[#All],[Incurred]],0),0),0)-IFERROR(HLOOKUP("Actual_Acquisition",CF_Gen_1[#All],MATCH($B89,CF_Gen_1[[#All],[Incurred]],0),0),0),0)</f>
        <v>0</v>
      </c>
      <c r="J89" s="27">
        <f>VLOOKUP(L89,ICG[#All],2,0)</f>
        <v>2024</v>
      </c>
      <c r="K89" s="27" t="str">
        <f>VLOOKUP(L89,ICG[#All],3,0)</f>
        <v>IC-Property</v>
      </c>
      <c r="L89" s="27" t="str">
        <f t="shared" si="6"/>
        <v>#2024#IC-Property</v>
      </c>
    </row>
    <row r="90" spans="1:12">
      <c r="A90" s="26">
        <f t="shared" si="4"/>
        <v>45930</v>
      </c>
      <c r="B90" s="26">
        <f t="shared" si="5"/>
        <v>53782</v>
      </c>
      <c r="C90" s="21">
        <f>IFERROR(HLOOKUP("Exp_Premium",CF_Gen_1[#All],MATCH($B90,CF_Gen_1[[#All],[Incurred]],0),0),0)</f>
        <v>-32601.749683821414</v>
      </c>
      <c r="D90" s="22">
        <f>IF(AND($J90&lt;YEAR($A90),$B90&lt;=$A90),IFERROR(HLOOKUP("Actual_Premium",CF_Gen_1[#All],MATCH($B90,CF_Gen_1[[#All],[Incurred]],0),0),0),0)</f>
        <v>0</v>
      </c>
      <c r="E90" s="21">
        <f>-IFERROR(HLOOKUP("Exp_Claim",CF_Gen_1[#All],MATCH($B90,CF_Gen_1[[#All],[Incurred]],0),0),0)-IFERROR(HLOOKUP("Exp_NPR",CF_Gen_1[#All],MATCH($B90,CF_Gen_1[[#All],[Incurred]],0),0),0)</f>
        <v>103016.49398161944</v>
      </c>
      <c r="F90" s="21">
        <f>-IFERROR(HLOOKUP("Exp_RA",CF_Gen_1[#All],MATCH($B90,CF_Gen_1[[#All],[Incurred]],0),0),0)</f>
        <v>14422.309157426722</v>
      </c>
      <c r="G90" s="21">
        <f>-IFERROR(HLOOKUP("Exp_Expense",CF_Gen_1[#All],MATCH($B90,CF_Gen_1[[#All],[Incurred]],0),0),0)</f>
        <v>22921.169910910321</v>
      </c>
      <c r="H90" s="21">
        <f>-IFERROR(HLOOKUP("Exp_Commission",CF_Gen_1[#All],MATCH($B90,CF_Gen_1[[#All],[Incurred]],0),0),0)-IFERROR(HLOOKUP("Exp_Acquisition",CF_Gen_1[#All],MATCH($B90,CF_Gen_1[[#All],[Incurred]],0),0),0)</f>
        <v>-5881.1368478853656</v>
      </c>
      <c r="I90" s="22">
        <f>IF(AND($J90&lt;YEAR($A90),$B90&lt;=$A90),-IFERROR(HLOOKUP("Actual_Commission",CF_Gen_1[#All],MATCH($B90,CF_Gen_1[[#All],[Incurred]],0),0),0)-IFERROR(HLOOKUP("Actual_Acquisition",CF_Gen_1[#All],MATCH($B90,CF_Gen_1[[#All],[Incurred]],0),0),0),0)</f>
        <v>0</v>
      </c>
      <c r="J90" s="27">
        <f>VLOOKUP(L90,ICG[#All],2,0)</f>
        <v>2024</v>
      </c>
      <c r="K90" s="27" t="str">
        <f>VLOOKUP(L90,ICG[#All],3,0)</f>
        <v>IC-Property</v>
      </c>
      <c r="L90" s="27" t="str">
        <f t="shared" si="6"/>
        <v>#2024#IC-Property</v>
      </c>
    </row>
    <row r="91" spans="1:12">
      <c r="A91" s="26">
        <f t="shared" si="4"/>
        <v>45930</v>
      </c>
      <c r="B91" s="26">
        <f t="shared" si="5"/>
        <v>53873</v>
      </c>
      <c r="C91" s="21">
        <f>IFERROR(HLOOKUP("Exp_Premium",CF_Gen_1[#All],MATCH($B91,CF_Gen_1[[#All],[Incurred]],0),0),0)</f>
        <v>-21305.683982562205</v>
      </c>
      <c r="D91" s="22">
        <f>IF(AND($J91&lt;YEAR($A91),$B91&lt;=$A91),IFERROR(HLOOKUP("Actual_Premium",CF_Gen_1[#All],MATCH($B91,CF_Gen_1[[#All],[Incurred]],0),0),0),0)</f>
        <v>0</v>
      </c>
      <c r="E91" s="21">
        <f>-IFERROR(HLOOKUP("Exp_Claim",CF_Gen_1[#All],MATCH($B91,CF_Gen_1[[#All],[Incurred]],0),0),0)-IFERROR(HLOOKUP("Exp_NPR",CF_Gen_1[#All],MATCH($B91,CF_Gen_1[[#All],[Incurred]],0),0),0)</f>
        <v>78386.186784195888</v>
      </c>
      <c r="F91" s="21">
        <f>-IFERROR(HLOOKUP("Exp_RA",CF_Gen_1[#All],MATCH($B91,CF_Gen_1[[#All],[Incurred]],0),0),0)</f>
        <v>10974.066149787426</v>
      </c>
      <c r="G91" s="21">
        <f>-IFERROR(HLOOKUP("Exp_Expense",CF_Gen_1[#All],MATCH($B91,CF_Gen_1[[#All],[Incurred]],0),0),0)</f>
        <v>17440.926559483585</v>
      </c>
      <c r="H91" s="21">
        <f>-IFERROR(HLOOKUP("Exp_Commission",CF_Gen_1[#All],MATCH($B91,CF_Gen_1[[#All],[Incurred]],0),0),0)-IFERROR(HLOOKUP("Exp_Acquisition",CF_Gen_1[#All],MATCH($B91,CF_Gen_1[[#All],[Incurred]],0),0),0)</f>
        <v>-3646.3048456889255</v>
      </c>
      <c r="I91" s="22">
        <f>IF(AND($J91&lt;YEAR($A91),$B91&lt;=$A91),-IFERROR(HLOOKUP("Actual_Commission",CF_Gen_1[#All],MATCH($B91,CF_Gen_1[[#All],[Incurred]],0),0),0)-IFERROR(HLOOKUP("Actual_Acquisition",CF_Gen_1[#All],MATCH($B91,CF_Gen_1[[#All],[Incurred]],0),0),0),0)</f>
        <v>0</v>
      </c>
      <c r="J91" s="27">
        <f>VLOOKUP(L91,ICG[#All],2,0)</f>
        <v>2024</v>
      </c>
      <c r="K91" s="27" t="str">
        <f>VLOOKUP(L91,ICG[#All],3,0)</f>
        <v>IC-Property</v>
      </c>
      <c r="L91" s="27" t="str">
        <f t="shared" si="6"/>
        <v>#2024#IC-Property</v>
      </c>
    </row>
    <row r="92" spans="1:12">
      <c r="A92" s="26">
        <f t="shared" si="4"/>
        <v>45930</v>
      </c>
      <c r="B92" s="26">
        <f t="shared" si="5"/>
        <v>53965</v>
      </c>
      <c r="C92" s="21">
        <f>IFERROR(HLOOKUP("Exp_Premium",CF_Gen_1[#All],MATCH($B92,CF_Gen_1[[#All],[Incurred]],0),0),0)</f>
        <v>-12955.494760165706</v>
      </c>
      <c r="D92" s="22">
        <f>IF(AND($J92&lt;YEAR($A92),$B92&lt;=$A92),IFERROR(HLOOKUP("Actual_Premium",CF_Gen_1[#All],MATCH($B92,CF_Gen_1[[#All],[Incurred]],0),0),0),0)</f>
        <v>0</v>
      </c>
      <c r="E92" s="21">
        <f>-IFERROR(HLOOKUP("Exp_Claim",CF_Gen_1[#All],MATCH($B92,CF_Gen_1[[#All],[Incurred]],0),0),0)-IFERROR(HLOOKUP("Exp_NPR",CF_Gen_1[#All],MATCH($B92,CF_Gen_1[[#All],[Incurred]],0),0),0)</f>
        <v>56699.341773901673</v>
      </c>
      <c r="F92" s="21">
        <f>-IFERROR(HLOOKUP("Exp_RA",CF_Gen_1[#All],MATCH($B92,CF_Gen_1[[#All],[Incurred]],0),0),0)</f>
        <v>7937.9078483462354</v>
      </c>
      <c r="G92" s="21">
        <f>-IFERROR(HLOOKUP("Exp_Expense",CF_Gen_1[#All],MATCH($B92,CF_Gen_1[[#All],[Incurred]],0),0),0)</f>
        <v>12615.603544693122</v>
      </c>
      <c r="H92" s="21">
        <f>-IFERROR(HLOOKUP("Exp_Commission",CF_Gen_1[#All],MATCH($B92,CF_Gen_1[[#All],[Incurred]],0),0),0)-IFERROR(HLOOKUP("Exp_Acquisition",CF_Gen_1[#All],MATCH($B92,CF_Gen_1[[#All],[Incurred]],0),0),0)</f>
        <v>-2119.4146915566876</v>
      </c>
      <c r="I92" s="22">
        <f>IF(AND($J92&lt;YEAR($A92),$B92&lt;=$A92),-IFERROR(HLOOKUP("Actual_Commission",CF_Gen_1[#All],MATCH($B92,CF_Gen_1[[#All],[Incurred]],0),0),0)-IFERROR(HLOOKUP("Actual_Acquisition",CF_Gen_1[#All],MATCH($B92,CF_Gen_1[[#All],[Incurred]],0),0),0),0)</f>
        <v>0</v>
      </c>
      <c r="J92" s="27">
        <f>VLOOKUP(L92,ICG[#All],2,0)</f>
        <v>2024</v>
      </c>
      <c r="K92" s="27" t="str">
        <f>VLOOKUP(L92,ICG[#All],3,0)</f>
        <v>IC-Property</v>
      </c>
      <c r="L92" s="27" t="str">
        <f t="shared" si="6"/>
        <v>#2024#IC-Property</v>
      </c>
    </row>
    <row r="93" spans="1:12">
      <c r="A93" s="26">
        <f t="shared" si="4"/>
        <v>45930</v>
      </c>
      <c r="B93" s="26">
        <f t="shared" si="5"/>
        <v>54057</v>
      </c>
      <c r="C93" s="21">
        <f>IFERROR(HLOOKUP("Exp_Premium",CF_Gen_1[#All],MATCH($B93,CF_Gen_1[[#All],[Incurred]],0),0),0)</f>
        <v>-7087.417721737711</v>
      </c>
      <c r="D93" s="22">
        <f>IF(AND($J93&lt;YEAR($A93),$B93&lt;=$A93),IFERROR(HLOOKUP("Actual_Premium",CF_Gen_1[#All],MATCH($B93,CF_Gen_1[[#All],[Incurred]],0),0),0),0)</f>
        <v>0</v>
      </c>
      <c r="E93" s="21">
        <f>-IFERROR(HLOOKUP("Exp_Claim",CF_Gen_1[#All],MATCH($B93,CF_Gen_1[[#All],[Incurred]],0),0),0)-IFERROR(HLOOKUP("Exp_NPR",CF_Gen_1[#All],MATCH($B93,CF_Gen_1[[#All],[Incurred]],0),0),0)</f>
        <v>37664.562749806122</v>
      </c>
      <c r="F93" s="21">
        <f>-IFERROR(HLOOKUP("Exp_RA",CF_Gen_1[#All],MATCH($B93,CF_Gen_1[[#All],[Incurred]],0),0),0)</f>
        <v>5273.0387849728577</v>
      </c>
      <c r="G93" s="21">
        <f>-IFERROR(HLOOKUP("Exp_Expense",CF_Gen_1[#All],MATCH($B93,CF_Gen_1[[#All],[Incurred]],0),0),0)</f>
        <v>8380.3652118318623</v>
      </c>
      <c r="H93" s="21">
        <f>-IFERROR(HLOOKUP("Exp_Commission",CF_Gen_1[#All],MATCH($B93,CF_Gen_1[[#All],[Incurred]],0),0),0)-IFERROR(HLOOKUP("Exp_Acquisition",CF_Gen_1[#All],MATCH($B93,CF_Gen_1[[#All],[Incurred]],0),0),0)</f>
        <v>-1126.317521798697</v>
      </c>
      <c r="I93" s="22">
        <f>IF(AND($J93&lt;YEAR($A93),$B93&lt;=$A93),-IFERROR(HLOOKUP("Actual_Commission",CF_Gen_1[#All],MATCH($B93,CF_Gen_1[[#All],[Incurred]],0),0),0)-IFERROR(HLOOKUP("Actual_Acquisition",CF_Gen_1[#All],MATCH($B93,CF_Gen_1[[#All],[Incurred]],0),0),0),0)</f>
        <v>0</v>
      </c>
      <c r="J93" s="27">
        <f>VLOOKUP(L93,ICG[#All],2,0)</f>
        <v>2024</v>
      </c>
      <c r="K93" s="27" t="str">
        <f>VLOOKUP(L93,ICG[#All],3,0)</f>
        <v>IC-Property</v>
      </c>
      <c r="L93" s="27" t="str">
        <f t="shared" si="6"/>
        <v>#2024#IC-Property</v>
      </c>
    </row>
    <row r="94" spans="1:12">
      <c r="A94" s="26">
        <f t="shared" si="4"/>
        <v>45930</v>
      </c>
      <c r="B94" s="26">
        <f t="shared" si="5"/>
        <v>54148</v>
      </c>
      <c r="C94" s="21">
        <f>IFERROR(HLOOKUP("Exp_Premium",CF_Gen_1[#All],MATCH($B94,CF_Gen_1[[#All],[Incurred]],0),0),0)</f>
        <v>-3295.6492406080351</v>
      </c>
      <c r="D94" s="22">
        <f>IF(AND($J94&lt;YEAR($A94),$B94&lt;=$A94),IFERROR(HLOOKUP("Actual_Premium",CF_Gen_1[#All],MATCH($B94,CF_Gen_1[[#All],[Incurred]],0),0),0),0)</f>
        <v>0</v>
      </c>
      <c r="E94" s="21">
        <f>-IFERROR(HLOOKUP("Exp_Claim",CF_Gen_1[#All],MATCH($B94,CF_Gen_1[[#All],[Incurred]],0),0),0)-IFERROR(HLOOKUP("Exp_NPR",CF_Gen_1[#All],MATCH($B94,CF_Gen_1[[#All],[Incurred]],0),0),0)</f>
        <v>21016.826014391812</v>
      </c>
      <c r="F94" s="21">
        <f>-IFERROR(HLOOKUP("Exp_RA",CF_Gen_1[#All],MATCH($B94,CF_Gen_1[[#All],[Incurred]],0),0),0)</f>
        <v>2942.3556420148539</v>
      </c>
      <c r="G94" s="21">
        <f>-IFERROR(HLOOKUP("Exp_Expense",CF_Gen_1[#All],MATCH($B94,CF_Gen_1[[#All],[Incurred]],0),0),0)</f>
        <v>4676.2437882021777</v>
      </c>
      <c r="H94" s="21">
        <f>-IFERROR(HLOOKUP("Exp_Commission",CF_Gen_1[#All],MATCH($B94,CF_Gen_1[[#All],[Incurred]],0),0),0)-IFERROR(HLOOKUP("Exp_Acquisition",CF_Gen_1[#All],MATCH($B94,CF_Gen_1[[#All],[Incurred]],0),0),0)</f>
        <v>-523.73764763639406</v>
      </c>
      <c r="I94" s="22">
        <f>IF(AND($J94&lt;YEAR($A94),$B94&lt;=$A94),-IFERROR(HLOOKUP("Actual_Commission",CF_Gen_1[#All],MATCH($B94,CF_Gen_1[[#All],[Incurred]],0),0),0)-IFERROR(HLOOKUP("Actual_Acquisition",CF_Gen_1[#All],MATCH($B94,CF_Gen_1[[#All],[Incurred]],0),0),0),0)</f>
        <v>0</v>
      </c>
      <c r="J94" s="27">
        <f>VLOOKUP(L94,ICG[#All],2,0)</f>
        <v>2024</v>
      </c>
      <c r="K94" s="27" t="str">
        <f>VLOOKUP(L94,ICG[#All],3,0)</f>
        <v>IC-Property</v>
      </c>
      <c r="L94" s="27" t="str">
        <f t="shared" si="6"/>
        <v>#2024#IC-Property</v>
      </c>
    </row>
    <row r="95" spans="1:12">
      <c r="A95" s="26">
        <f t="shared" si="4"/>
        <v>45930</v>
      </c>
      <c r="B95" s="26">
        <f t="shared" si="5"/>
        <v>54239</v>
      </c>
      <c r="C95" s="21">
        <f>IFERROR(HLOOKUP("Exp_Premium",CF_Gen_1[#All],MATCH($B95,CF_Gen_1[[#All],[Incurred]],0),0),0)</f>
        <v>-1225.9815175061892</v>
      </c>
      <c r="D95" s="22">
        <f>IF(AND($J95&lt;YEAR($A95),$B95&lt;=$A95),IFERROR(HLOOKUP("Actual_Premium",CF_Gen_1[#All],MATCH($B95,CF_Gen_1[[#All],[Incurred]],0),0),0),0)</f>
        <v>0</v>
      </c>
      <c r="E95" s="21">
        <f>-IFERROR(HLOOKUP("Exp_Claim",CF_Gen_1[#All],MATCH($B95,CF_Gen_1[[#All],[Incurred]],0),0),0)-IFERROR(HLOOKUP("Exp_NPR",CF_Gen_1[#All],MATCH($B95,CF_Gen_1[[#All],[Incurred]],0),0),0)</f>
        <v>9772.8240966921912</v>
      </c>
      <c r="F95" s="21">
        <f>-IFERROR(HLOOKUP("Exp_RA",CF_Gen_1[#All],MATCH($B95,CF_Gen_1[[#All],[Incurred]],0),0),0)</f>
        <v>1368.1953735369068</v>
      </c>
      <c r="G95" s="21">
        <f>-IFERROR(HLOOKUP("Exp_Expense",CF_Gen_1[#All],MATCH($B95,CF_Gen_1[[#All],[Incurred]],0),0),0)</f>
        <v>2174.4533615140126</v>
      </c>
      <c r="H95" s="21">
        <f>-IFERROR(HLOOKUP("Exp_Commission",CF_Gen_1[#All],MATCH($B95,CF_Gen_1[[#All],[Incurred]],0),0),0)-IFERROR(HLOOKUP("Exp_Acquisition",CF_Gen_1[#All],MATCH($B95,CF_Gen_1[[#All],[Incurred]],0),0),0)</f>
        <v>-194.83040492073863</v>
      </c>
      <c r="I95" s="22">
        <f>IF(AND($J95&lt;YEAR($A95),$B95&lt;=$A95),-IFERROR(HLOOKUP("Actual_Commission",CF_Gen_1[#All],MATCH($B95,CF_Gen_1[[#All],[Incurred]],0),0),0)-IFERROR(HLOOKUP("Actual_Acquisition",CF_Gen_1[#All],MATCH($B95,CF_Gen_1[[#All],[Incurred]],0),0),0),0)</f>
        <v>0</v>
      </c>
      <c r="J95" s="27">
        <f>VLOOKUP(L95,ICG[#All],2,0)</f>
        <v>2024</v>
      </c>
      <c r="K95" s="27" t="str">
        <f>VLOOKUP(L95,ICG[#All],3,0)</f>
        <v>IC-Property</v>
      </c>
      <c r="L95" s="27" t="str">
        <f t="shared" si="6"/>
        <v>#2024#IC-Property</v>
      </c>
    </row>
    <row r="96" spans="1:12">
      <c r="A96" s="26">
        <f t="shared" si="4"/>
        <v>45930</v>
      </c>
      <c r="B96" s="26">
        <f t="shared" si="5"/>
        <v>54331</v>
      </c>
      <c r="C96" s="21">
        <f>IFERROR(HLOOKUP("Exp_Premium",CF_Gen_1[#All],MATCH($B96,CF_Gen_1[[#All],[Incurred]],0),0),0)</f>
        <v>-285.04070282018893</v>
      </c>
      <c r="D96" s="22">
        <f>IF(AND($J96&lt;YEAR($A96),$B96&lt;=$A96),IFERROR(HLOOKUP("Actual_Premium",CF_Gen_1[#All],MATCH($B96,CF_Gen_1[[#All],[Incurred]],0),0),0),0)</f>
        <v>0</v>
      </c>
      <c r="E96" s="21">
        <f>-IFERROR(HLOOKUP("Exp_Claim",CF_Gen_1[#All],MATCH($B96,CF_Gen_1[[#All],[Incurred]],0),0),0)-IFERROR(HLOOKUP("Exp_NPR",CF_Gen_1[#All],MATCH($B96,CF_Gen_1[[#All],[Incurred]],0),0),0)</f>
        <v>3029.5754699745794</v>
      </c>
      <c r="F96" s="21">
        <f>-IFERROR(HLOOKUP("Exp_RA",CF_Gen_1[#All],MATCH($B96,CF_Gen_1[[#All],[Incurred]],0),0),0)</f>
        <v>424.14056579644114</v>
      </c>
      <c r="G96" s="21">
        <f>-IFERROR(HLOOKUP("Exp_Expense",CF_Gen_1[#All],MATCH($B96,CF_Gen_1[[#All],[Incurred]],0),0),0)</f>
        <v>674.08054206934389</v>
      </c>
      <c r="H96" s="21">
        <f>-IFERROR(HLOOKUP("Exp_Commission",CF_Gen_1[#All],MATCH($B96,CF_Gen_1[[#All],[Incurred]],0),0),0)-IFERROR(HLOOKUP("Exp_Acquisition",CF_Gen_1[#All],MATCH($B96,CF_Gen_1[[#All],[Incurred]],0),0),0)</f>
        <v>-45.298069144071725</v>
      </c>
      <c r="I96" s="22">
        <f>IF(AND($J96&lt;YEAR($A96),$B96&lt;=$A96),-IFERROR(HLOOKUP("Actual_Commission",CF_Gen_1[#All],MATCH($B96,CF_Gen_1[[#All],[Incurred]],0),0),0)-IFERROR(HLOOKUP("Actual_Acquisition",CF_Gen_1[#All],MATCH($B96,CF_Gen_1[[#All],[Incurred]],0),0),0),0)</f>
        <v>0</v>
      </c>
      <c r="J96" s="27">
        <f>VLOOKUP(L96,ICG[#All],2,0)</f>
        <v>2024</v>
      </c>
      <c r="K96" s="27" t="str">
        <f>VLOOKUP(L96,ICG[#All],3,0)</f>
        <v>IC-Property</v>
      </c>
      <c r="L96" s="27" t="str">
        <f t="shared" si="6"/>
        <v>#2024#IC-Property</v>
      </c>
    </row>
    <row r="97" spans="1:12">
      <c r="A97" s="26">
        <f t="shared" si="4"/>
        <v>45930</v>
      </c>
      <c r="B97" s="26">
        <f t="shared" si="5"/>
        <v>54423</v>
      </c>
      <c r="C97" s="21">
        <f>IFERROR(HLOOKUP("Exp_Premium",CF_Gen_1[#All],MATCH($B97,CF_Gen_1[[#All],[Incurred]],0),0),0)</f>
        <v>0</v>
      </c>
      <c r="D97" s="22">
        <f>IF(AND($J97&lt;YEAR($A97),$B97&lt;=$A97),IFERROR(HLOOKUP("Actual_Premium",CF_Gen_1[#All],MATCH($B97,CF_Gen_1[[#All],[Incurred]],0),0),0),0)</f>
        <v>0</v>
      </c>
      <c r="E97" s="21">
        <f>-IFERROR(HLOOKUP("Exp_Claim",CF_Gen_1[#All],MATCH($B97,CF_Gen_1[[#All],[Incurred]],0),0),0)-IFERROR(HLOOKUP("Exp_NPR",CF_Gen_1[#All],MATCH($B97,CF_Gen_1[[#All],[Incurred]],0),0),0)</f>
        <v>0</v>
      </c>
      <c r="F97" s="21">
        <f>-IFERROR(HLOOKUP("Exp_RA",CF_Gen_1[#All],MATCH($B97,CF_Gen_1[[#All],[Incurred]],0),0),0)</f>
        <v>0</v>
      </c>
      <c r="G97" s="21">
        <f>-IFERROR(HLOOKUP("Exp_Expense",CF_Gen_1[#All],MATCH($B97,CF_Gen_1[[#All],[Incurred]],0),0),0)</f>
        <v>0</v>
      </c>
      <c r="H97" s="21">
        <f>-IFERROR(HLOOKUP("Exp_Commission",CF_Gen_1[#All],MATCH($B97,CF_Gen_1[[#All],[Incurred]],0),0),0)-IFERROR(HLOOKUP("Exp_Acquisition",CF_Gen_1[#All],MATCH($B97,CF_Gen_1[[#All],[Incurred]],0),0),0)</f>
        <v>0</v>
      </c>
      <c r="I97" s="22">
        <f>IF(AND($J97&lt;YEAR($A97),$B97&lt;=$A97),-IFERROR(HLOOKUP("Actual_Commission",CF_Gen_1[#All],MATCH($B97,CF_Gen_1[[#All],[Incurred]],0),0),0)-IFERROR(HLOOKUP("Actual_Acquisition",CF_Gen_1[#All],MATCH($B97,CF_Gen_1[[#All],[Incurred]],0),0),0),0)</f>
        <v>0</v>
      </c>
      <c r="J97" s="27">
        <f>VLOOKUP(L97,ICG[#All],2,0)</f>
        <v>2024</v>
      </c>
      <c r="K97" s="27" t="str">
        <f>VLOOKUP(L97,ICG[#All],3,0)</f>
        <v>IC-Property</v>
      </c>
      <c r="L97" s="27" t="str">
        <f t="shared" si="6"/>
        <v>#2024#IC-Property</v>
      </c>
    </row>
    <row r="98" spans="1:12">
      <c r="A98" s="26">
        <f t="shared" ref="A98:A105" si="7">ValuationDate</f>
        <v>45930</v>
      </c>
      <c r="B98" s="26">
        <f t="shared" si="5"/>
        <v>54513</v>
      </c>
      <c r="C98" s="21">
        <f>IFERROR(HLOOKUP("Exp_Premium",CF_Gen_1[#All],MATCH($B98,CF_Gen_1[[#All],[Incurred]],0),0),0)</f>
        <v>0</v>
      </c>
      <c r="D98" s="22">
        <f>IF(AND($J98&lt;YEAR($A98),$B98&lt;=$A98),IFERROR(HLOOKUP("Actual_Premium",CF_Gen_1[#All],MATCH($B98,CF_Gen_1[[#All],[Incurred]],0),0),0),0)</f>
        <v>0</v>
      </c>
      <c r="E98" s="21">
        <f>-IFERROR(HLOOKUP("Exp_Claim",CF_Gen_1[#All],MATCH($B98,CF_Gen_1[[#All],[Incurred]],0),0),0)-IFERROR(HLOOKUP("Exp_NPR",CF_Gen_1[#All],MATCH($B98,CF_Gen_1[[#All],[Incurred]],0),0),0)</f>
        <v>0</v>
      </c>
      <c r="F98" s="21">
        <f>-IFERROR(HLOOKUP("Exp_RA",CF_Gen_1[#All],MATCH($B98,CF_Gen_1[[#All],[Incurred]],0),0),0)</f>
        <v>0</v>
      </c>
      <c r="G98" s="21">
        <f>-IFERROR(HLOOKUP("Exp_Expense",CF_Gen_1[#All],MATCH($B98,CF_Gen_1[[#All],[Incurred]],0),0),0)</f>
        <v>0</v>
      </c>
      <c r="H98" s="21">
        <f>-IFERROR(HLOOKUP("Exp_Commission",CF_Gen_1[#All],MATCH($B98,CF_Gen_1[[#All],[Incurred]],0),0),0)-IFERROR(HLOOKUP("Exp_Acquisition",CF_Gen_1[#All],MATCH($B98,CF_Gen_1[[#All],[Incurred]],0),0),0)</f>
        <v>0</v>
      </c>
      <c r="I98" s="22">
        <f>IF(AND($J98&lt;YEAR($A98),$B98&lt;=$A98),-IFERROR(HLOOKUP("Actual_Commission",CF_Gen_1[#All],MATCH($B98,CF_Gen_1[[#All],[Incurred]],0),0),0)-IFERROR(HLOOKUP("Actual_Acquisition",CF_Gen_1[#All],MATCH($B98,CF_Gen_1[[#All],[Incurred]],0),0),0),0)</f>
        <v>0</v>
      </c>
      <c r="J98" s="27">
        <f>VLOOKUP(L98,ICG[#All],2,0)</f>
        <v>2024</v>
      </c>
      <c r="K98" s="27" t="str">
        <f>VLOOKUP(L98,ICG[#All],3,0)</f>
        <v>IC-Property</v>
      </c>
      <c r="L98" s="27" t="str">
        <f t="shared" si="6"/>
        <v>#2024#IC-Property</v>
      </c>
    </row>
    <row r="99" spans="1:12">
      <c r="A99" s="26">
        <f t="shared" si="7"/>
        <v>45930</v>
      </c>
      <c r="B99" s="26">
        <f t="shared" si="5"/>
        <v>54604</v>
      </c>
      <c r="C99" s="21">
        <f>IFERROR(HLOOKUP("Exp_Premium",CF_Gen_1[#All],MATCH($B99,CF_Gen_1[[#All],[Incurred]],0),0),0)</f>
        <v>0</v>
      </c>
      <c r="D99" s="22">
        <f>IF(AND($J99&lt;YEAR($A99),$B99&lt;=$A99),IFERROR(HLOOKUP("Actual_Premium",CF_Gen_1[#All],MATCH($B99,CF_Gen_1[[#All],[Incurred]],0),0),0),0)</f>
        <v>0</v>
      </c>
      <c r="E99" s="21">
        <f>-IFERROR(HLOOKUP("Exp_Claim",CF_Gen_1[#All],MATCH($B99,CF_Gen_1[[#All],[Incurred]],0),0),0)-IFERROR(HLOOKUP("Exp_NPR",CF_Gen_1[#All],MATCH($B99,CF_Gen_1[[#All],[Incurred]],0),0),0)</f>
        <v>0</v>
      </c>
      <c r="F99" s="21">
        <f>-IFERROR(HLOOKUP("Exp_RA",CF_Gen_1[#All],MATCH($B99,CF_Gen_1[[#All],[Incurred]],0),0),0)</f>
        <v>0</v>
      </c>
      <c r="G99" s="21">
        <f>-IFERROR(HLOOKUP("Exp_Expense",CF_Gen_1[#All],MATCH($B99,CF_Gen_1[[#All],[Incurred]],0),0),0)</f>
        <v>0</v>
      </c>
      <c r="H99" s="21">
        <f>-IFERROR(HLOOKUP("Exp_Commission",CF_Gen_1[#All],MATCH($B99,CF_Gen_1[[#All],[Incurred]],0),0),0)-IFERROR(HLOOKUP("Exp_Acquisition",CF_Gen_1[#All],MATCH($B99,CF_Gen_1[[#All],[Incurred]],0),0),0)</f>
        <v>0</v>
      </c>
      <c r="I99" s="22">
        <f>IF(AND($J99&lt;YEAR($A99),$B99&lt;=$A99),-IFERROR(HLOOKUP("Actual_Commission",CF_Gen_1[#All],MATCH($B99,CF_Gen_1[[#All],[Incurred]],0),0),0)-IFERROR(HLOOKUP("Actual_Acquisition",CF_Gen_1[#All],MATCH($B99,CF_Gen_1[[#All],[Incurred]],0),0),0),0)</f>
        <v>0</v>
      </c>
      <c r="J99" s="27">
        <f>VLOOKUP(L99,ICG[#All],2,0)</f>
        <v>2024</v>
      </c>
      <c r="K99" s="27" t="str">
        <f>VLOOKUP(L99,ICG[#All],3,0)</f>
        <v>IC-Property</v>
      </c>
      <c r="L99" s="27" t="str">
        <f t="shared" si="6"/>
        <v>#2024#IC-Property</v>
      </c>
    </row>
    <row r="100" spans="1:12">
      <c r="A100" s="26">
        <f t="shared" si="7"/>
        <v>45930</v>
      </c>
      <c r="B100" s="26">
        <f t="shared" si="5"/>
        <v>54696</v>
      </c>
      <c r="C100" s="21">
        <f>IFERROR(HLOOKUP("Exp_Premium",CF_Gen_1[#All],MATCH($B100,CF_Gen_1[[#All],[Incurred]],0),0),0)</f>
        <v>0</v>
      </c>
      <c r="D100" s="22">
        <f>IF(AND($J100&lt;YEAR($A100),$B100&lt;=$A100),IFERROR(HLOOKUP("Actual_Premium",CF_Gen_1[#All],MATCH($B100,CF_Gen_1[[#All],[Incurred]],0),0),0),0)</f>
        <v>0</v>
      </c>
      <c r="E100" s="21">
        <f>-IFERROR(HLOOKUP("Exp_Claim",CF_Gen_1[#All],MATCH($B100,CF_Gen_1[[#All],[Incurred]],0),0),0)-IFERROR(HLOOKUP("Exp_NPR",CF_Gen_1[#All],MATCH($B100,CF_Gen_1[[#All],[Incurred]],0),0),0)</f>
        <v>0</v>
      </c>
      <c r="F100" s="21">
        <f>-IFERROR(HLOOKUP("Exp_RA",CF_Gen_1[#All],MATCH($B100,CF_Gen_1[[#All],[Incurred]],0),0),0)</f>
        <v>0</v>
      </c>
      <c r="G100" s="21">
        <f>-IFERROR(HLOOKUP("Exp_Expense",CF_Gen_1[#All],MATCH($B100,CF_Gen_1[[#All],[Incurred]],0),0),0)</f>
        <v>0</v>
      </c>
      <c r="H100" s="21">
        <f>-IFERROR(HLOOKUP("Exp_Commission",CF_Gen_1[#All],MATCH($B100,CF_Gen_1[[#All],[Incurred]],0),0),0)-IFERROR(HLOOKUP("Exp_Acquisition",CF_Gen_1[#All],MATCH($B100,CF_Gen_1[[#All],[Incurred]],0),0),0)</f>
        <v>0</v>
      </c>
      <c r="I100" s="22">
        <f>IF(AND($J100&lt;YEAR($A100),$B100&lt;=$A100),-IFERROR(HLOOKUP("Actual_Commission",CF_Gen_1[#All],MATCH($B100,CF_Gen_1[[#All],[Incurred]],0),0),0)-IFERROR(HLOOKUP("Actual_Acquisition",CF_Gen_1[#All],MATCH($B100,CF_Gen_1[[#All],[Incurred]],0),0),0),0)</f>
        <v>0</v>
      </c>
      <c r="J100" s="27">
        <f>VLOOKUP(L100,ICG[#All],2,0)</f>
        <v>2024</v>
      </c>
      <c r="K100" s="27" t="str">
        <f>VLOOKUP(L100,ICG[#All],3,0)</f>
        <v>IC-Property</v>
      </c>
      <c r="L100" s="27" t="str">
        <f t="shared" si="6"/>
        <v>#2024#IC-Property</v>
      </c>
    </row>
    <row r="101" spans="1:12">
      <c r="A101" s="26">
        <f t="shared" si="7"/>
        <v>45930</v>
      </c>
      <c r="B101" s="26">
        <f t="shared" si="5"/>
        <v>54788</v>
      </c>
      <c r="C101" s="21">
        <f>IFERROR(HLOOKUP("Exp_Premium",CF_Gen_1[#All],MATCH($B101,CF_Gen_1[[#All],[Incurred]],0),0),0)</f>
        <v>0</v>
      </c>
      <c r="D101" s="22">
        <f>IF(AND($J101&lt;YEAR($A101),$B101&lt;=$A101),IFERROR(HLOOKUP("Actual_Premium",CF_Gen_1[#All],MATCH($B101,CF_Gen_1[[#All],[Incurred]],0),0),0),0)</f>
        <v>0</v>
      </c>
      <c r="E101" s="21">
        <f>-IFERROR(HLOOKUP("Exp_Claim",CF_Gen_1[#All],MATCH($B101,CF_Gen_1[[#All],[Incurred]],0),0),0)-IFERROR(HLOOKUP("Exp_NPR",CF_Gen_1[#All],MATCH($B101,CF_Gen_1[[#All],[Incurred]],0),0),0)</f>
        <v>0</v>
      </c>
      <c r="F101" s="21">
        <f>-IFERROR(HLOOKUP("Exp_RA",CF_Gen_1[#All],MATCH($B101,CF_Gen_1[[#All],[Incurred]],0),0),0)</f>
        <v>0</v>
      </c>
      <c r="G101" s="21">
        <f>-IFERROR(HLOOKUP("Exp_Expense",CF_Gen_1[#All],MATCH($B101,CF_Gen_1[[#All],[Incurred]],0),0),0)</f>
        <v>0</v>
      </c>
      <c r="H101" s="21">
        <f>-IFERROR(HLOOKUP("Exp_Commission",CF_Gen_1[#All],MATCH($B101,CF_Gen_1[[#All],[Incurred]],0),0),0)-IFERROR(HLOOKUP("Exp_Acquisition",CF_Gen_1[#All],MATCH($B101,CF_Gen_1[[#All],[Incurred]],0),0),0)</f>
        <v>0</v>
      </c>
      <c r="I101" s="22">
        <f>IF(AND($J101&lt;YEAR($A101),$B101&lt;=$A101),-IFERROR(HLOOKUP("Actual_Commission",CF_Gen_1[#All],MATCH($B101,CF_Gen_1[[#All],[Incurred]],0),0),0)-IFERROR(HLOOKUP("Actual_Acquisition",CF_Gen_1[#All],MATCH($B101,CF_Gen_1[[#All],[Incurred]],0),0),0),0)</f>
        <v>0</v>
      </c>
      <c r="J101" s="27">
        <f>VLOOKUP(L101,ICG[#All],2,0)</f>
        <v>2024</v>
      </c>
      <c r="K101" s="27" t="str">
        <f>VLOOKUP(L101,ICG[#All],3,0)</f>
        <v>IC-Property</v>
      </c>
      <c r="L101" s="27" t="str">
        <f t="shared" si="6"/>
        <v>#2024#IC-Property</v>
      </c>
    </row>
    <row r="102" spans="1:12">
      <c r="A102" s="26">
        <f t="shared" si="7"/>
        <v>45930</v>
      </c>
      <c r="B102" s="26">
        <f t="shared" si="5"/>
        <v>54878</v>
      </c>
      <c r="C102" s="21">
        <f>IFERROR(HLOOKUP("Exp_Premium",CF_Gen_1[#All],MATCH($B102,CF_Gen_1[[#All],[Incurred]],0),0),0)</f>
        <v>0</v>
      </c>
      <c r="D102" s="22">
        <f>IF(AND($J102&lt;YEAR($A102),$B102&lt;=$A102),IFERROR(HLOOKUP("Actual_Premium",CF_Gen_1[#All],MATCH($B102,CF_Gen_1[[#All],[Incurred]],0),0),0),0)</f>
        <v>0</v>
      </c>
      <c r="E102" s="21">
        <f>-IFERROR(HLOOKUP("Exp_Claim",CF_Gen_1[#All],MATCH($B102,CF_Gen_1[[#All],[Incurred]],0),0),0)-IFERROR(HLOOKUP("Exp_NPR",CF_Gen_1[#All],MATCH($B102,CF_Gen_1[[#All],[Incurred]],0),0),0)</f>
        <v>0</v>
      </c>
      <c r="F102" s="21">
        <f>-IFERROR(HLOOKUP("Exp_RA",CF_Gen_1[#All],MATCH($B102,CF_Gen_1[[#All],[Incurred]],0),0),0)</f>
        <v>0</v>
      </c>
      <c r="G102" s="21">
        <f>-IFERROR(HLOOKUP("Exp_Expense",CF_Gen_1[#All],MATCH($B102,CF_Gen_1[[#All],[Incurred]],0),0),0)</f>
        <v>0</v>
      </c>
      <c r="H102" s="21">
        <f>-IFERROR(HLOOKUP("Exp_Commission",CF_Gen_1[#All],MATCH($B102,CF_Gen_1[[#All],[Incurred]],0),0),0)-IFERROR(HLOOKUP("Exp_Acquisition",CF_Gen_1[#All],MATCH($B102,CF_Gen_1[[#All],[Incurred]],0),0),0)</f>
        <v>0</v>
      </c>
      <c r="I102" s="22">
        <f>IF(AND($J102&lt;YEAR($A102),$B102&lt;=$A102),-IFERROR(HLOOKUP("Actual_Commission",CF_Gen_1[#All],MATCH($B102,CF_Gen_1[[#All],[Incurred]],0),0),0)-IFERROR(HLOOKUP("Actual_Acquisition",CF_Gen_1[#All],MATCH($B102,CF_Gen_1[[#All],[Incurred]],0),0),0),0)</f>
        <v>0</v>
      </c>
      <c r="J102" s="27">
        <f>VLOOKUP(L102,ICG[#All],2,0)</f>
        <v>2024</v>
      </c>
      <c r="K102" s="27" t="str">
        <f>VLOOKUP(L102,ICG[#All],3,0)</f>
        <v>IC-Property</v>
      </c>
      <c r="L102" s="27" t="str">
        <f t="shared" si="6"/>
        <v>#2024#IC-Property</v>
      </c>
    </row>
    <row r="103" spans="1:12">
      <c r="A103" s="26">
        <f t="shared" si="7"/>
        <v>45930</v>
      </c>
      <c r="B103" s="26">
        <f t="shared" si="5"/>
        <v>54969</v>
      </c>
      <c r="C103" s="21">
        <f>IFERROR(HLOOKUP("Exp_Premium",CF_Gen_1[#All],MATCH($B103,CF_Gen_1[[#All],[Incurred]],0),0),0)</f>
        <v>0</v>
      </c>
      <c r="D103" s="22">
        <f>IF(AND($J103&lt;YEAR($A103),$B103&lt;=$A103),IFERROR(HLOOKUP("Actual_Premium",CF_Gen_1[#All],MATCH($B103,CF_Gen_1[[#All],[Incurred]],0),0),0),0)</f>
        <v>0</v>
      </c>
      <c r="E103" s="21">
        <f>-IFERROR(HLOOKUP("Exp_Claim",CF_Gen_1[#All],MATCH($B103,CF_Gen_1[[#All],[Incurred]],0),0),0)-IFERROR(HLOOKUP("Exp_NPR",CF_Gen_1[#All],MATCH($B103,CF_Gen_1[[#All],[Incurred]],0),0),0)</f>
        <v>0</v>
      </c>
      <c r="F103" s="21">
        <f>-IFERROR(HLOOKUP("Exp_RA",CF_Gen_1[#All],MATCH($B103,CF_Gen_1[[#All],[Incurred]],0),0),0)</f>
        <v>0</v>
      </c>
      <c r="G103" s="21">
        <f>-IFERROR(HLOOKUP("Exp_Expense",CF_Gen_1[#All],MATCH($B103,CF_Gen_1[[#All],[Incurred]],0),0),0)</f>
        <v>0</v>
      </c>
      <c r="H103" s="21">
        <f>-IFERROR(HLOOKUP("Exp_Commission",CF_Gen_1[#All],MATCH($B103,CF_Gen_1[[#All],[Incurred]],0),0),0)-IFERROR(HLOOKUP("Exp_Acquisition",CF_Gen_1[#All],MATCH($B103,CF_Gen_1[[#All],[Incurred]],0),0),0)</f>
        <v>0</v>
      </c>
      <c r="I103" s="22">
        <f>IF(AND($J103&lt;YEAR($A103),$B103&lt;=$A103),-IFERROR(HLOOKUP("Actual_Commission",CF_Gen_1[#All],MATCH($B103,CF_Gen_1[[#All],[Incurred]],0),0),0)-IFERROR(HLOOKUP("Actual_Acquisition",CF_Gen_1[#All],MATCH($B103,CF_Gen_1[[#All],[Incurred]],0),0),0),0)</f>
        <v>0</v>
      </c>
      <c r="J103" s="27">
        <f>VLOOKUP(L103,ICG[#All],2,0)</f>
        <v>2024</v>
      </c>
      <c r="K103" s="27" t="str">
        <f>VLOOKUP(L103,ICG[#All],3,0)</f>
        <v>IC-Property</v>
      </c>
      <c r="L103" s="27" t="str">
        <f t="shared" si="6"/>
        <v>#2024#IC-Property</v>
      </c>
    </row>
    <row r="104" spans="1:12">
      <c r="A104" s="26">
        <f t="shared" si="7"/>
        <v>45930</v>
      </c>
      <c r="B104" s="26">
        <f t="shared" si="5"/>
        <v>55061</v>
      </c>
      <c r="C104" s="21">
        <f>IFERROR(HLOOKUP("Exp_Premium",CF_Gen_1[#All],MATCH($B104,CF_Gen_1[[#All],[Incurred]],0),0),0)</f>
        <v>0</v>
      </c>
      <c r="D104" s="22">
        <f>IF(AND($J104&lt;YEAR($A104),$B104&lt;=$A104),IFERROR(HLOOKUP("Actual_Premium",CF_Gen_1[#All],MATCH($B104,CF_Gen_1[[#All],[Incurred]],0),0),0),0)</f>
        <v>0</v>
      </c>
      <c r="E104" s="21">
        <f>-IFERROR(HLOOKUP("Exp_Claim",CF_Gen_1[#All],MATCH($B104,CF_Gen_1[[#All],[Incurred]],0),0),0)-IFERROR(HLOOKUP("Exp_NPR",CF_Gen_1[#All],MATCH($B104,CF_Gen_1[[#All],[Incurred]],0),0),0)</f>
        <v>0</v>
      </c>
      <c r="F104" s="21">
        <f>-IFERROR(HLOOKUP("Exp_RA",CF_Gen_1[#All],MATCH($B104,CF_Gen_1[[#All],[Incurred]],0),0),0)</f>
        <v>0</v>
      </c>
      <c r="G104" s="21">
        <f>-IFERROR(HLOOKUP("Exp_Expense",CF_Gen_1[#All],MATCH($B104,CF_Gen_1[[#All],[Incurred]],0),0),0)</f>
        <v>0</v>
      </c>
      <c r="H104" s="21">
        <f>-IFERROR(HLOOKUP("Exp_Commission",CF_Gen_1[#All],MATCH($B104,CF_Gen_1[[#All],[Incurred]],0),0),0)-IFERROR(HLOOKUP("Exp_Acquisition",CF_Gen_1[#All],MATCH($B104,CF_Gen_1[[#All],[Incurred]],0),0),0)</f>
        <v>0</v>
      </c>
      <c r="I104" s="22">
        <f>IF(AND($J104&lt;YEAR($A104),$B104&lt;=$A104),-IFERROR(HLOOKUP("Actual_Commission",CF_Gen_1[#All],MATCH($B104,CF_Gen_1[[#All],[Incurred]],0),0),0)-IFERROR(HLOOKUP("Actual_Acquisition",CF_Gen_1[#All],MATCH($B104,CF_Gen_1[[#All],[Incurred]],0),0),0),0)</f>
        <v>0</v>
      </c>
      <c r="J104" s="27">
        <f>VLOOKUP(L104,ICG[#All],2,0)</f>
        <v>2024</v>
      </c>
      <c r="K104" s="27" t="str">
        <f>VLOOKUP(L104,ICG[#All],3,0)</f>
        <v>IC-Property</v>
      </c>
      <c r="L104" s="27" t="str">
        <f t="shared" si="6"/>
        <v>#2024#IC-Property</v>
      </c>
    </row>
    <row r="105" spans="1:12">
      <c r="A105" s="26">
        <f t="shared" si="7"/>
        <v>45930</v>
      </c>
      <c r="B105" s="26">
        <f t="shared" si="5"/>
        <v>55153</v>
      </c>
      <c r="C105" s="21">
        <f>IFERROR(HLOOKUP("Exp_Premium",CF_Gen_1[#All],MATCH($B105,CF_Gen_1[[#All],[Incurred]],0),0),0)</f>
        <v>0</v>
      </c>
      <c r="D105" s="22">
        <f>IF(AND($J105&lt;YEAR($A105),$B105&lt;=$A105),IFERROR(HLOOKUP("Actual_Premium",CF_Gen_1[#All],MATCH($B105,CF_Gen_1[[#All],[Incurred]],0),0),0),0)</f>
        <v>0</v>
      </c>
      <c r="E105" s="21">
        <f>-IFERROR(HLOOKUP("Exp_Claim",CF_Gen_1[#All],MATCH($B105,CF_Gen_1[[#All],[Incurred]],0),0),0)-IFERROR(HLOOKUP("Exp_NPR",CF_Gen_1[#All],MATCH($B105,CF_Gen_1[[#All],[Incurred]],0),0),0)</f>
        <v>0</v>
      </c>
      <c r="F105" s="21">
        <f>-IFERROR(HLOOKUP("Exp_RA",CF_Gen_1[#All],MATCH($B105,CF_Gen_1[[#All],[Incurred]],0),0),0)</f>
        <v>0</v>
      </c>
      <c r="G105" s="21">
        <f>-IFERROR(HLOOKUP("Exp_Expense",CF_Gen_1[#All],MATCH($B105,CF_Gen_1[[#All],[Incurred]],0),0),0)</f>
        <v>0</v>
      </c>
      <c r="H105" s="21">
        <f>-IFERROR(HLOOKUP("Exp_Commission",CF_Gen_1[#All],MATCH($B105,CF_Gen_1[[#All],[Incurred]],0),0),0)-IFERROR(HLOOKUP("Exp_Acquisition",CF_Gen_1[#All],MATCH($B105,CF_Gen_1[[#All],[Incurred]],0),0),0)</f>
        <v>0</v>
      </c>
      <c r="I105" s="22">
        <f>IF(AND($J105&lt;YEAR($A105),$B105&lt;=$A105),-IFERROR(HLOOKUP("Actual_Commission",CF_Gen_1[#All],MATCH($B105,CF_Gen_1[[#All],[Incurred]],0),0),0)-IFERROR(HLOOKUP("Actual_Acquisition",CF_Gen_1[#All],MATCH($B105,CF_Gen_1[[#All],[Incurred]],0),0),0),0)</f>
        <v>0</v>
      </c>
      <c r="J105" s="27">
        <f>VLOOKUP(L105,ICG[#All],2,0)</f>
        <v>2024</v>
      </c>
      <c r="K105" s="27" t="str">
        <f>VLOOKUP(L105,ICG[#All],3,0)</f>
        <v>IC-Property</v>
      </c>
      <c r="L105" s="27" t="str">
        <f t="shared" si="6"/>
        <v>#2024#IC-Property</v>
      </c>
    </row>
    <row r="106" spans="1:12" s="23" customFormat="1"/>
    <row r="107" spans="1:12">
      <c r="A107" s="26">
        <f t="shared" ref="A107:A138" si="8">ValuationDate</f>
        <v>45930</v>
      </c>
      <c r="B107" s="26">
        <f>DATE(YEAR(A107),3,31)</f>
        <v>45747</v>
      </c>
      <c r="C107" s="21">
        <f>IFERROR(HLOOKUP("Exp_Premium",CF_Gen_2[#All],MATCH($B107,CF_Gen_2[[#All],[Incurred]],0),0),0)</f>
        <v>0</v>
      </c>
      <c r="D107" s="22">
        <f>IF(AND($J107&lt;YEAR($A107),$B107&lt;=$A107),IFERROR(HLOOKUP("Actual_Premium",CF_Gen_2[#All],MATCH($B107,CF_Gen_2[[#All],[Incurred]],0),0),0),0)</f>
        <v>-517757297.0000236</v>
      </c>
      <c r="E107" s="21">
        <f>-IFERROR(HLOOKUP("Exp_Claim",CF_Gen_2[#All],MATCH($B107,CF_Gen_2[[#All],[Incurred]],0),0),0)-IFERROR(HLOOKUP("Exp_NPR",CF_Gen_2[#All],MATCH($B107,CF_Gen_2[[#All],[Incurred]],0),0),0)</f>
        <v>0</v>
      </c>
      <c r="F107" s="21">
        <f>-IFERROR(HLOOKUP("Exp_RA",CF_Gen_2[#All],MATCH($B107,CF_Gen_2[[#All],[Incurred]],0),0),0)</f>
        <v>0</v>
      </c>
      <c r="G107" s="21">
        <f>-IFERROR(HLOOKUP("Exp_Expense",CF_Gen_2[#All],MATCH($B107,CF_Gen_2[[#All],[Incurred]],0),0),0)</f>
        <v>0</v>
      </c>
      <c r="H107" s="21">
        <f>-IFERROR(HLOOKUP("Exp_Commission",CF_Gen_2[#All],MATCH($B107,CF_Gen_2[[#All],[Incurred]],0),0),0)-IFERROR(HLOOKUP("Exp_Acquisition",CF_Gen_2[#All],MATCH($B107,CF_Gen_2[[#All],[Incurred]],0),0),0)</f>
        <v>0</v>
      </c>
      <c r="I107" s="22">
        <f>IF(AND($J107&lt;YEAR($A107),$B107&lt;=$A107),-IFERROR(HLOOKUP("Actual_Commission",CF_Gen_2[#All],MATCH($B107,CF_Gen_2[[#All],[Incurred]],0),0),0)-IFERROR(HLOOKUP("Actual_Acquisition",CF_Gen_2[#All],MATCH($B107,CF_Gen_2[[#All],[Incurred]],0),0),0),0)</f>
        <v>-168271121.52500767</v>
      </c>
      <c r="J107" s="27">
        <f>VLOOKUP(L107,ICG[#All],2,0)</f>
        <v>2024</v>
      </c>
      <c r="K107" s="27" t="str">
        <f>VLOOKUP(L107,ICG[#All],3,0)</f>
        <v>RC-Property</v>
      </c>
      <c r="L107" s="27" t="str">
        <f>'CF_Gen_2'!$A$2</f>
        <v>#2024#RC-Property</v>
      </c>
    </row>
    <row r="108" spans="1:12">
      <c r="A108" s="26">
        <f t="shared" si="8"/>
        <v>45930</v>
      </c>
      <c r="B108" s="26">
        <f t="shared" ref="B108:B139" si="9">EOMONTH(B107,3)</f>
        <v>45838</v>
      </c>
      <c r="C108" s="21">
        <f>IFERROR(HLOOKUP("Exp_Premium",CF_Gen_2[#All],MATCH($B108,CF_Gen_2[[#All],[Incurred]],0),0),0)</f>
        <v>0</v>
      </c>
      <c r="D108" s="22">
        <f>IF(AND($J108&lt;YEAR($A108),$B108&lt;=$A108),IFERROR(HLOOKUP("Actual_Premium",CF_Gen_2[#All],MATCH($B108,CF_Gen_2[[#All],[Incurred]],0),0),0),0)</f>
        <v>-146317608.33122519</v>
      </c>
      <c r="E108" s="21">
        <f>-IFERROR(HLOOKUP("Exp_Claim",CF_Gen_2[#All],MATCH($B108,CF_Gen_2[[#All],[Incurred]],0),0),0)-IFERROR(HLOOKUP("Exp_NPR",CF_Gen_2[#All],MATCH($B108,CF_Gen_2[[#All],[Incurred]],0),0),0)</f>
        <v>0</v>
      </c>
      <c r="F108" s="21">
        <f>-IFERROR(HLOOKUP("Exp_RA",CF_Gen_2[#All],MATCH($B108,CF_Gen_2[[#All],[Incurred]],0),0),0)</f>
        <v>0</v>
      </c>
      <c r="G108" s="21">
        <f>-IFERROR(HLOOKUP("Exp_Expense",CF_Gen_2[#All],MATCH($B108,CF_Gen_2[[#All],[Incurred]],0),0),0)</f>
        <v>0</v>
      </c>
      <c r="H108" s="21">
        <f>-IFERROR(HLOOKUP("Exp_Commission",CF_Gen_2[#All],MATCH($B108,CF_Gen_2[[#All],[Incurred]],0),0),0)-IFERROR(HLOOKUP("Exp_Acquisition",CF_Gen_2[#All],MATCH($B108,CF_Gen_2[[#All],[Incurred]],0),0),0)</f>
        <v>0</v>
      </c>
      <c r="I108" s="22">
        <f>IF(AND($J108&lt;YEAR($A108),$B108&lt;=$A108),-IFERROR(HLOOKUP("Actual_Commission",CF_Gen_2[#All],MATCH($B108,CF_Gen_2[[#All],[Incurred]],0),0),0)-IFERROR(HLOOKUP("Actual_Acquisition",CF_Gen_2[#All],MATCH($B108,CF_Gen_2[[#All],[Incurred]],0),0),0),0)</f>
        <v>-47553222.707648195</v>
      </c>
      <c r="J108" s="27">
        <f>VLOOKUP(L108,ICG[#All],2,0)</f>
        <v>2024</v>
      </c>
      <c r="K108" s="27" t="str">
        <f>VLOOKUP(L108,ICG[#All],3,0)</f>
        <v>RC-Property</v>
      </c>
      <c r="L108" s="27" t="str">
        <f t="shared" ref="L108:L171" si="10">L107</f>
        <v>#2024#RC-Property</v>
      </c>
    </row>
    <row r="109" spans="1:12">
      <c r="A109" s="26">
        <f t="shared" si="8"/>
        <v>45930</v>
      </c>
      <c r="B109" s="26">
        <f t="shared" si="9"/>
        <v>45930</v>
      </c>
      <c r="C109" s="21">
        <f>IFERROR(HLOOKUP("Exp_Premium",CF_Gen_2[#All],MATCH($B109,CF_Gen_2[[#All],[Incurred]],0),0),0)</f>
        <v>0</v>
      </c>
      <c r="D109" s="22">
        <f>IF(AND($J109&lt;YEAR($A109),$B109&lt;=$A109),IFERROR(HLOOKUP("Actual_Premium",CF_Gen_2[#All],MATCH($B109,CF_Gen_2[[#All],[Incurred]],0),0),0),0)</f>
        <v>427331909.33283198</v>
      </c>
      <c r="E109" s="21">
        <f>-IFERROR(HLOOKUP("Exp_Claim",CF_Gen_2[#All],MATCH($B109,CF_Gen_2[[#All],[Incurred]],0),0),0)-IFERROR(HLOOKUP("Exp_NPR",CF_Gen_2[#All],MATCH($B109,CF_Gen_2[[#All],[Incurred]],0),0),0)</f>
        <v>0</v>
      </c>
      <c r="F109" s="21">
        <f>-IFERROR(HLOOKUP("Exp_RA",CF_Gen_2[#All],MATCH($B109,CF_Gen_2[[#All],[Incurred]],0),0),0)</f>
        <v>0</v>
      </c>
      <c r="G109" s="21">
        <f>-IFERROR(HLOOKUP("Exp_Expense",CF_Gen_2[#All],MATCH($B109,CF_Gen_2[[#All],[Incurred]],0),0),0)</f>
        <v>0</v>
      </c>
      <c r="H109" s="21">
        <f>-IFERROR(HLOOKUP("Exp_Commission",CF_Gen_2[#All],MATCH($B109,CF_Gen_2[[#All],[Incurred]],0),0),0)-IFERROR(HLOOKUP("Exp_Acquisition",CF_Gen_2[#All],MATCH($B109,CF_Gen_2[[#All],[Incurred]],0),0),0)</f>
        <v>0</v>
      </c>
      <c r="I109" s="22">
        <f>IF(AND($J109&lt;YEAR($A109),$B109&lt;=$A109),-IFERROR(HLOOKUP("Actual_Commission",CF_Gen_2[#All],MATCH($B109,CF_Gen_2[[#All],[Incurred]],0),0),0)-IFERROR(HLOOKUP("Actual_Acquisition",CF_Gen_2[#All],MATCH($B109,CF_Gen_2[[#All],[Incurred]],0),0),0),0)</f>
        <v>138882870.5331704</v>
      </c>
      <c r="J109" s="27">
        <f>VLOOKUP(L109,ICG[#All],2,0)</f>
        <v>2024</v>
      </c>
      <c r="K109" s="27" t="str">
        <f>VLOOKUP(L109,ICG[#All],3,0)</f>
        <v>RC-Property</v>
      </c>
      <c r="L109" s="27" t="str">
        <f t="shared" si="10"/>
        <v>#2024#RC-Property</v>
      </c>
    </row>
    <row r="110" spans="1:12">
      <c r="A110" s="26">
        <f t="shared" si="8"/>
        <v>45930</v>
      </c>
      <c r="B110" s="26">
        <f t="shared" si="9"/>
        <v>46022</v>
      </c>
      <c r="C110" s="21">
        <f>IFERROR(HLOOKUP("Exp_Premium",CF_Gen_2[#All],MATCH($B110,CF_Gen_2[[#All],[Incurred]],0),0),0)</f>
        <v>1591742027.1559789</v>
      </c>
      <c r="D110" s="22">
        <f>IF(AND($J110&lt;YEAR($A110),$B110&lt;=$A110),IFERROR(HLOOKUP("Actual_Premium",CF_Gen_2[#All],MATCH($B110,CF_Gen_2[[#All],[Incurred]],0),0),0),0)</f>
        <v>0</v>
      </c>
      <c r="E110" s="21">
        <f>-IFERROR(HLOOKUP("Exp_Claim",CF_Gen_2[#All],MATCH($B110,CF_Gen_2[[#All],[Incurred]],0),0),0)-IFERROR(HLOOKUP("Exp_NPR",CF_Gen_2[#All],MATCH($B110,CF_Gen_2[[#All],[Incurred]],0),0),0)</f>
        <v>-341413584.81683278</v>
      </c>
      <c r="F110" s="21">
        <f>-IFERROR(HLOOKUP("Exp_RA",CF_Gen_2[#All],MATCH($B110,CF_Gen_2[[#All],[Incurred]],0),0),0)</f>
        <v>-45662310.726531141</v>
      </c>
      <c r="G110" s="21">
        <f>-IFERROR(HLOOKUP("Exp_Expense",CF_Gen_2[#All],MATCH($B110,CF_Gen_2[[#All],[Incurred]],0),0),0)</f>
        <v>0</v>
      </c>
      <c r="H110" s="21">
        <f>-IFERROR(HLOOKUP("Exp_Commission",CF_Gen_2[#All],MATCH($B110,CF_Gen_2[[#All],[Incurred]],0),0),0)-IFERROR(HLOOKUP("Exp_Acquisition",CF_Gen_2[#All],MATCH($B110,CF_Gen_2[[#All],[Incurred]],0),0),0)</f>
        <v>516026381.48409837</v>
      </c>
      <c r="I110" s="22">
        <f>IF(AND($J110&lt;YEAR($A110),$B110&lt;=$A110),-IFERROR(HLOOKUP("Actual_Commission",CF_Gen_2[#All],MATCH($B110,CF_Gen_2[[#All],[Incurred]],0),0),0)-IFERROR(HLOOKUP("Actual_Acquisition",CF_Gen_2[#All],MATCH($B110,CF_Gen_2[[#All],[Incurred]],0),0),0),0)</f>
        <v>0</v>
      </c>
      <c r="J110" s="27">
        <f>VLOOKUP(L110,ICG[#All],2,0)</f>
        <v>2024</v>
      </c>
      <c r="K110" s="27" t="str">
        <f>VLOOKUP(L110,ICG[#All],3,0)</f>
        <v>RC-Property</v>
      </c>
      <c r="L110" s="27" t="str">
        <f t="shared" si="10"/>
        <v>#2024#RC-Property</v>
      </c>
    </row>
    <row r="111" spans="1:12">
      <c r="A111" s="26">
        <f t="shared" si="8"/>
        <v>45930</v>
      </c>
      <c r="B111" s="26">
        <f t="shared" si="9"/>
        <v>46112</v>
      </c>
      <c r="C111" s="21">
        <f>IFERROR(HLOOKUP("Exp_Premium",CF_Gen_2[#All],MATCH($B111,CF_Gen_2[[#All],[Incurred]],0),0),0)</f>
        <v>1447968245.6714857</v>
      </c>
      <c r="D111" s="22">
        <f>IF(AND($J111&lt;YEAR($A111),$B111&lt;=$A111),IFERROR(HLOOKUP("Actual_Premium",CF_Gen_2[#All],MATCH($B111,CF_Gen_2[[#All],[Incurred]],0),0),0),0)</f>
        <v>0</v>
      </c>
      <c r="E111" s="21">
        <f>-IFERROR(HLOOKUP("Exp_Claim",CF_Gen_2[#All],MATCH($B111,CF_Gen_2[[#All],[Incurred]],0),0),0)-IFERROR(HLOOKUP("Exp_NPR",CF_Gen_2[#All],MATCH($B111,CF_Gen_2[[#All],[Incurred]],0),0),0)</f>
        <v>-314006184.88650924</v>
      </c>
      <c r="F111" s="21">
        <f>-IFERROR(HLOOKUP("Exp_RA",CF_Gen_2[#All],MATCH($B111,CF_Gen_2[[#All],[Incurred]],0),0),0)</f>
        <v>-41996711.970417902</v>
      </c>
      <c r="G111" s="21">
        <f>-IFERROR(HLOOKUP("Exp_Expense",CF_Gen_2[#All],MATCH($B111,CF_Gen_2[[#All],[Incurred]],0),0),0)</f>
        <v>0</v>
      </c>
      <c r="H111" s="21">
        <f>-IFERROR(HLOOKUP("Exp_Commission",CF_Gen_2[#All],MATCH($B111,CF_Gen_2[[#All],[Incurred]],0),0),0)-IFERROR(HLOOKUP("Exp_Acquisition",CF_Gen_2[#All],MATCH($B111,CF_Gen_2[[#All],[Incurred]],0),0),0)</f>
        <v>469187514.51070637</v>
      </c>
      <c r="I111" s="22">
        <f>IF(AND($J111&lt;YEAR($A111),$B111&lt;=$A111),-IFERROR(HLOOKUP("Actual_Commission",CF_Gen_2[#All],MATCH($B111,CF_Gen_2[[#All],[Incurred]],0),0),0)-IFERROR(HLOOKUP("Actual_Acquisition",CF_Gen_2[#All],MATCH($B111,CF_Gen_2[[#All],[Incurred]],0),0),0),0)</f>
        <v>0</v>
      </c>
      <c r="J111" s="27">
        <f>VLOOKUP(L111,ICG[#All],2,0)</f>
        <v>2024</v>
      </c>
      <c r="K111" s="27" t="str">
        <f>VLOOKUP(L111,ICG[#All],3,0)</f>
        <v>RC-Property</v>
      </c>
      <c r="L111" s="27" t="str">
        <f t="shared" si="10"/>
        <v>#2024#RC-Property</v>
      </c>
    </row>
    <row r="112" spans="1:12">
      <c r="A112" s="26">
        <f t="shared" si="8"/>
        <v>45930</v>
      </c>
      <c r="B112" s="26">
        <f t="shared" si="9"/>
        <v>46203</v>
      </c>
      <c r="C112" s="21">
        <f>IFERROR(HLOOKUP("Exp_Premium",CF_Gen_2[#All],MATCH($B112,CF_Gen_2[[#All],[Incurred]],0),0),0)</f>
        <v>1316855713.0298538</v>
      </c>
      <c r="D112" s="22">
        <f>IF(AND($J112&lt;YEAR($A112),$B112&lt;=$A112),IFERROR(HLOOKUP("Actual_Premium",CF_Gen_2[#All],MATCH($B112,CF_Gen_2[[#All],[Incurred]],0),0),0),0)</f>
        <v>0</v>
      </c>
      <c r="E112" s="21">
        <f>-IFERROR(HLOOKUP("Exp_Claim",CF_Gen_2[#All],MATCH($B112,CF_Gen_2[[#All],[Incurred]],0),0),0)-IFERROR(HLOOKUP("Exp_NPR",CF_Gen_2[#All],MATCH($B112,CF_Gen_2[[#All],[Incurred]],0),0),0)</f>
        <v>-288762894.38082838</v>
      </c>
      <c r="F112" s="21">
        <f>-IFERROR(HLOOKUP("Exp_RA",CF_Gen_2[#All],MATCH($B112,CF_Gen_2[[#All],[Incurred]],0),0),0)</f>
        <v>-38620551.71760051</v>
      </c>
      <c r="G112" s="21">
        <f>-IFERROR(HLOOKUP("Exp_Expense",CF_Gen_2[#All],MATCH($B112,CF_Gen_2[[#All],[Incurred]],0),0),0)</f>
        <v>0</v>
      </c>
      <c r="H112" s="21">
        <f>-IFERROR(HLOOKUP("Exp_Commission",CF_Gen_2[#All],MATCH($B112,CF_Gen_2[[#All],[Incurred]],0),0),0)-IFERROR(HLOOKUP("Exp_Acquisition",CF_Gen_2[#All],MATCH($B112,CF_Gen_2[[#All],[Incurred]],0),0),0)</f>
        <v>426490179.17935264</v>
      </c>
      <c r="I112" s="22">
        <f>IF(AND($J112&lt;YEAR($A112),$B112&lt;=$A112),-IFERROR(HLOOKUP("Actual_Commission",CF_Gen_2[#All],MATCH($B112,CF_Gen_2[[#All],[Incurred]],0),0),0)-IFERROR(HLOOKUP("Actual_Acquisition",CF_Gen_2[#All],MATCH($B112,CF_Gen_2[[#All],[Incurred]],0),0),0),0)</f>
        <v>0</v>
      </c>
      <c r="J112" s="27">
        <f>VLOOKUP(L112,ICG[#All],2,0)</f>
        <v>2024</v>
      </c>
      <c r="K112" s="27" t="str">
        <f>VLOOKUP(L112,ICG[#All],3,0)</f>
        <v>RC-Property</v>
      </c>
      <c r="L112" s="27" t="str">
        <f t="shared" si="10"/>
        <v>#2024#RC-Property</v>
      </c>
    </row>
    <row r="113" spans="1:12">
      <c r="A113" s="26">
        <f t="shared" si="8"/>
        <v>45930</v>
      </c>
      <c r="B113" s="26">
        <f t="shared" si="9"/>
        <v>46295</v>
      </c>
      <c r="C113" s="21">
        <f>IFERROR(HLOOKUP("Exp_Premium",CF_Gen_2[#All],MATCH($B113,CF_Gen_2[[#All],[Incurred]],0),0),0)</f>
        <v>1197313074.0465894</v>
      </c>
      <c r="D113" s="22">
        <f>IF(AND($J113&lt;YEAR($A113),$B113&lt;=$A113),IFERROR(HLOOKUP("Actual_Premium",CF_Gen_2[#All],MATCH($B113,CF_Gen_2[[#All],[Incurred]],0),0),0),0)</f>
        <v>0</v>
      </c>
      <c r="E113" s="21">
        <f>-IFERROR(HLOOKUP("Exp_Claim",CF_Gen_2[#All],MATCH($B113,CF_Gen_2[[#All],[Incurred]],0),0),0)-IFERROR(HLOOKUP("Exp_NPR",CF_Gen_2[#All],MATCH($B113,CF_Gen_2[[#All],[Incurred]],0),0),0)</f>
        <v>-265515034.23999897</v>
      </c>
      <c r="F113" s="21">
        <f>-IFERROR(HLOOKUP("Exp_RA",CF_Gen_2[#All],MATCH($B113,CF_Gen_2[[#All],[Incurred]],0),0),0)</f>
        <v>-35511270.011522494</v>
      </c>
      <c r="G113" s="21">
        <f>-IFERROR(HLOOKUP("Exp_Expense",CF_Gen_2[#All],MATCH($B113,CF_Gen_2[[#All],[Incurred]],0),0),0)</f>
        <v>0</v>
      </c>
      <c r="H113" s="21">
        <f>-IFERROR(HLOOKUP("Exp_Commission",CF_Gen_2[#All],MATCH($B113,CF_Gen_2[[#All],[Incurred]],0),0),0)-IFERROR(HLOOKUP("Exp_Acquisition",CF_Gen_2[#All],MATCH($B113,CF_Gen_2[[#All],[Incurred]],0),0),0)</f>
        <v>387576188.14086914</v>
      </c>
      <c r="I113" s="22">
        <f>IF(AND($J113&lt;YEAR($A113),$B113&lt;=$A113),-IFERROR(HLOOKUP("Actual_Commission",CF_Gen_2[#All],MATCH($B113,CF_Gen_2[[#All],[Incurred]],0),0),0)-IFERROR(HLOOKUP("Actual_Acquisition",CF_Gen_2[#All],MATCH($B113,CF_Gen_2[[#All],[Incurred]],0),0),0),0)</f>
        <v>0</v>
      </c>
      <c r="J113" s="27">
        <f>VLOOKUP(L113,ICG[#All],2,0)</f>
        <v>2024</v>
      </c>
      <c r="K113" s="27" t="str">
        <f>VLOOKUP(L113,ICG[#All],3,0)</f>
        <v>RC-Property</v>
      </c>
      <c r="L113" s="27" t="str">
        <f t="shared" si="10"/>
        <v>#2024#RC-Property</v>
      </c>
    </row>
    <row r="114" spans="1:12">
      <c r="A114" s="26">
        <f t="shared" si="8"/>
        <v>45930</v>
      </c>
      <c r="B114" s="26">
        <f t="shared" si="9"/>
        <v>46387</v>
      </c>
      <c r="C114" s="21">
        <f>IFERROR(HLOOKUP("Exp_Premium",CF_Gen_2[#All],MATCH($B114,CF_Gen_2[[#All],[Incurred]],0),0),0)</f>
        <v>1088341352.1750023</v>
      </c>
      <c r="D114" s="22">
        <f>IF(AND($J114&lt;YEAR($A114),$B114&lt;=$A114),IFERROR(HLOOKUP("Actual_Premium",CF_Gen_2[#All],MATCH($B114,CF_Gen_2[[#All],[Incurred]],0),0),0),0)</f>
        <v>0</v>
      </c>
      <c r="E114" s="21">
        <f>-IFERROR(HLOOKUP("Exp_Claim",CF_Gen_2[#All],MATCH($B114,CF_Gen_2[[#All],[Incurred]],0),0),0)-IFERROR(HLOOKUP("Exp_NPR",CF_Gen_2[#All],MATCH($B114,CF_Gen_2[[#All],[Incurred]],0),0),0)</f>
        <v>-244106936.33641961</v>
      </c>
      <c r="F114" s="21">
        <f>-IFERROR(HLOOKUP("Exp_RA",CF_Gen_2[#All],MATCH($B114,CF_Gen_2[[#All],[Incurred]],0),0),0)</f>
        <v>-32648047.040879168</v>
      </c>
      <c r="G114" s="21">
        <f>-IFERROR(HLOOKUP("Exp_Expense",CF_Gen_2[#All],MATCH($B114,CF_Gen_2[[#All],[Incurred]],0),0),0)</f>
        <v>0</v>
      </c>
      <c r="H114" s="21">
        <f>-IFERROR(HLOOKUP("Exp_Commission",CF_Gen_2[#All],MATCH($B114,CF_Gen_2[[#All],[Incurred]],0),0),0)-IFERROR(HLOOKUP("Exp_Acquisition",CF_Gen_2[#All],MATCH($B114,CF_Gen_2[[#All],[Incurred]],0),0),0)</f>
        <v>352117758.60564655</v>
      </c>
      <c r="I114" s="22">
        <f>IF(AND($J114&lt;YEAR($A114),$B114&lt;=$A114),-IFERROR(HLOOKUP("Actual_Commission",CF_Gen_2[#All],MATCH($B114,CF_Gen_2[[#All],[Incurred]],0),0),0)-IFERROR(HLOOKUP("Actual_Acquisition",CF_Gen_2[#All],MATCH($B114,CF_Gen_2[[#All],[Incurred]],0),0),0),0)</f>
        <v>0</v>
      </c>
      <c r="J114" s="27">
        <f>VLOOKUP(L114,ICG[#All],2,0)</f>
        <v>2024</v>
      </c>
      <c r="K114" s="27" t="str">
        <f>VLOOKUP(L114,ICG[#All],3,0)</f>
        <v>RC-Property</v>
      </c>
      <c r="L114" s="27" t="str">
        <f t="shared" si="10"/>
        <v>#2024#RC-Property</v>
      </c>
    </row>
    <row r="115" spans="1:12">
      <c r="A115" s="26">
        <f t="shared" si="8"/>
        <v>45930</v>
      </c>
      <c r="B115" s="26">
        <f t="shared" si="9"/>
        <v>46477</v>
      </c>
      <c r="C115" s="21">
        <f>IFERROR(HLOOKUP("Exp_Premium",CF_Gen_2[#All],MATCH($B115,CF_Gen_2[[#All],[Incurred]],0),0),0)</f>
        <v>989026250.10512519</v>
      </c>
      <c r="D115" s="22">
        <f>IF(AND($J115&lt;YEAR($A115),$B115&lt;=$A115),IFERROR(HLOOKUP("Actual_Premium",CF_Gen_2[#All],MATCH($B115,CF_Gen_2[[#All],[Incurred]],0),0),0),0)</f>
        <v>0</v>
      </c>
      <c r="E115" s="21">
        <f>-IFERROR(HLOOKUP("Exp_Claim",CF_Gen_2[#All],MATCH($B115,CF_Gen_2[[#All],[Incurred]],0),0),0)-IFERROR(HLOOKUP("Exp_NPR",CF_Gen_2[#All],MATCH($B115,CF_Gen_2[[#All],[Incurred]],0),0),0)</f>
        <v>-224394948.47156537</v>
      </c>
      <c r="F115" s="21">
        <f>-IFERROR(HLOOKUP("Exp_RA",CF_Gen_2[#All],MATCH($B115,CF_Gen_2[[#All],[Incurred]],0),0),0)</f>
        <v>-30011670.063069444</v>
      </c>
      <c r="G115" s="21">
        <f>-IFERROR(HLOOKUP("Exp_Expense",CF_Gen_2[#All],MATCH($B115,CF_Gen_2[[#All],[Incurred]],0),0),0)</f>
        <v>0</v>
      </c>
      <c r="H115" s="21">
        <f>-IFERROR(HLOOKUP("Exp_Commission",CF_Gen_2[#All],MATCH($B115,CF_Gen_2[[#All],[Incurred]],0),0),0)-IFERROR(HLOOKUP("Exp_Acquisition",CF_Gen_2[#All],MATCH($B115,CF_Gen_2[[#All],[Incurred]],0),0),0)</f>
        <v>319814972.19480735</v>
      </c>
      <c r="I115" s="22">
        <f>IF(AND($J115&lt;YEAR($A115),$B115&lt;=$A115),-IFERROR(HLOOKUP("Actual_Commission",CF_Gen_2[#All],MATCH($B115,CF_Gen_2[[#All],[Incurred]],0),0),0)-IFERROR(HLOOKUP("Actual_Acquisition",CF_Gen_2[#All],MATCH($B115,CF_Gen_2[[#All],[Incurred]],0),0),0),0)</f>
        <v>0</v>
      </c>
      <c r="J115" s="27">
        <f>VLOOKUP(L115,ICG[#All],2,0)</f>
        <v>2024</v>
      </c>
      <c r="K115" s="27" t="str">
        <f>VLOOKUP(L115,ICG[#All],3,0)</f>
        <v>RC-Property</v>
      </c>
      <c r="L115" s="27" t="str">
        <f t="shared" si="10"/>
        <v>#2024#RC-Property</v>
      </c>
    </row>
    <row r="116" spans="1:12">
      <c r="A116" s="26">
        <f t="shared" si="8"/>
        <v>45930</v>
      </c>
      <c r="B116" s="26">
        <f t="shared" si="9"/>
        <v>46568</v>
      </c>
      <c r="C116" s="21">
        <f>IFERROR(HLOOKUP("Exp_Premium",CF_Gen_2[#All],MATCH($B116,CF_Gen_2[[#All],[Incurred]],0),0),0)</f>
        <v>898531083.60571301</v>
      </c>
      <c r="D116" s="22">
        <f>IF(AND($J116&lt;YEAR($A116),$B116&lt;=$A116),IFERROR(HLOOKUP("Actual_Premium",CF_Gen_2[#All],MATCH($B116,CF_Gen_2[[#All],[Incurred]],0),0),0),0)</f>
        <v>0</v>
      </c>
      <c r="E116" s="21">
        <f>-IFERROR(HLOOKUP("Exp_Claim",CF_Gen_2[#All],MATCH($B116,CF_Gen_2[[#All],[Incurred]],0),0),0)-IFERROR(HLOOKUP("Exp_NPR",CF_Gen_2[#All],MATCH($B116,CF_Gen_2[[#All],[Incurred]],0),0),0)</f>
        <v>-206246514.91974229</v>
      </c>
      <c r="F116" s="21">
        <f>-IFERROR(HLOOKUP("Exp_RA",CF_Gen_2[#All],MATCH($B116,CF_Gen_2[[#All],[Incurred]],0),0),0)</f>
        <v>-27584410.431652777</v>
      </c>
      <c r="G116" s="21">
        <f>-IFERROR(HLOOKUP("Exp_Expense",CF_Gen_2[#All],MATCH($B116,CF_Gen_2[[#All],[Incurred]],0),0),0)</f>
        <v>0</v>
      </c>
      <c r="H116" s="21">
        <f>-IFERROR(HLOOKUP("Exp_Commission",CF_Gen_2[#All],MATCH($B116,CF_Gen_2[[#All],[Incurred]],0),0),0)-IFERROR(HLOOKUP("Exp_Acquisition",CF_Gen_2[#All],MATCH($B116,CF_Gen_2[[#All],[Incurred]],0),0),0)</f>
        <v>290393444.13386655</v>
      </c>
      <c r="I116" s="22">
        <f>IF(AND($J116&lt;YEAR($A116),$B116&lt;=$A116),-IFERROR(HLOOKUP("Actual_Commission",CF_Gen_2[#All],MATCH($B116,CF_Gen_2[[#All],[Incurred]],0),0),0)-IFERROR(HLOOKUP("Actual_Acquisition",CF_Gen_2[#All],MATCH($B116,CF_Gen_2[[#All],[Incurred]],0),0),0),0)</f>
        <v>0</v>
      </c>
      <c r="J116" s="27">
        <f>VLOOKUP(L116,ICG[#All],2,0)</f>
        <v>2024</v>
      </c>
      <c r="K116" s="27" t="str">
        <f>VLOOKUP(L116,ICG[#All],3,0)</f>
        <v>RC-Property</v>
      </c>
      <c r="L116" s="27" t="str">
        <f t="shared" si="10"/>
        <v>#2024#RC-Property</v>
      </c>
    </row>
    <row r="117" spans="1:12">
      <c r="A117" s="26">
        <f t="shared" si="8"/>
        <v>45930</v>
      </c>
      <c r="B117" s="26">
        <f t="shared" si="9"/>
        <v>46660</v>
      </c>
      <c r="C117" s="21">
        <f>IFERROR(HLOOKUP("Exp_Premium",CF_Gen_2[#All],MATCH($B117,CF_Gen_2[[#All],[Incurred]],0),0),0)</f>
        <v>816090297.12359977</v>
      </c>
      <c r="D117" s="22">
        <f>IF(AND($J117&lt;YEAR($A117),$B117&lt;=$A117),IFERROR(HLOOKUP("Actual_Premium",CF_Gen_2[#All],MATCH($B117,CF_Gen_2[[#All],[Incurred]],0),0),0),0)</f>
        <v>0</v>
      </c>
      <c r="E117" s="21">
        <f>-IFERROR(HLOOKUP("Exp_Claim",CF_Gen_2[#All],MATCH($B117,CF_Gen_2[[#All],[Incurred]],0),0),0)-IFERROR(HLOOKUP("Exp_NPR",CF_Gen_2[#All],MATCH($B117,CF_Gen_2[[#All],[Incurred]],0),0),0)</f>
        <v>-189539326.81766373</v>
      </c>
      <c r="F117" s="21">
        <f>-IFERROR(HLOOKUP("Exp_RA",CF_Gen_2[#All],MATCH($B117,CF_Gen_2[[#All],[Incurred]],0),0),0)</f>
        <v>-25349909.965325397</v>
      </c>
      <c r="G117" s="21">
        <f>-IFERROR(HLOOKUP("Exp_Expense",CF_Gen_2[#All],MATCH($B117,CF_Gen_2[[#All],[Incurred]],0),0),0)</f>
        <v>0</v>
      </c>
      <c r="H117" s="21">
        <f>-IFERROR(HLOOKUP("Exp_Commission",CF_Gen_2[#All],MATCH($B117,CF_Gen_2[[#All],[Incurred]],0),0),0)-IFERROR(HLOOKUP("Exp_Acquisition",CF_Gen_2[#All],MATCH($B117,CF_Gen_2[[#All],[Incurred]],0),0),0)</f>
        <v>263602184.73838308</v>
      </c>
      <c r="I117" s="22">
        <f>IF(AND($J117&lt;YEAR($A117),$B117&lt;=$A117),-IFERROR(HLOOKUP("Actual_Commission",CF_Gen_2[#All],MATCH($B117,CF_Gen_2[[#All],[Incurred]],0),0),0)-IFERROR(HLOOKUP("Actual_Acquisition",CF_Gen_2[#All],MATCH($B117,CF_Gen_2[[#All],[Incurred]],0),0),0),0)</f>
        <v>0</v>
      </c>
      <c r="J117" s="27">
        <f>VLOOKUP(L117,ICG[#All],2,0)</f>
        <v>2024</v>
      </c>
      <c r="K117" s="27" t="str">
        <f>VLOOKUP(L117,ICG[#All],3,0)</f>
        <v>RC-Property</v>
      </c>
      <c r="L117" s="27" t="str">
        <f t="shared" si="10"/>
        <v>#2024#RC-Property</v>
      </c>
    </row>
    <row r="118" spans="1:12">
      <c r="A118" s="26">
        <f t="shared" si="8"/>
        <v>45930</v>
      </c>
      <c r="B118" s="26">
        <f t="shared" si="9"/>
        <v>46752</v>
      </c>
      <c r="C118" s="21">
        <f>IFERROR(HLOOKUP("Exp_Premium",CF_Gen_2[#All],MATCH($B118,CF_Gen_2[[#All],[Incurred]],0),0),0)</f>
        <v>741003513.79890716</v>
      </c>
      <c r="D118" s="22">
        <f>IF(AND($J118&lt;YEAR($A118),$B118&lt;=$A118),IFERROR(HLOOKUP("Actual_Premium",CF_Gen_2[#All],MATCH($B118,CF_Gen_2[[#All],[Incurred]],0),0),0),0)</f>
        <v>0</v>
      </c>
      <c r="E118" s="21">
        <f>-IFERROR(HLOOKUP("Exp_Claim",CF_Gen_2[#All],MATCH($B118,CF_Gen_2[[#All],[Incurred]],0),0),0)-IFERROR(HLOOKUP("Exp_NPR",CF_Gen_2[#All],MATCH($B118,CF_Gen_2[[#All],[Incurred]],0),0),0)</f>
        <v>-174160537.12676945</v>
      </c>
      <c r="F118" s="21">
        <f>-IFERROR(HLOOKUP("Exp_RA",CF_Gen_2[#All],MATCH($B118,CF_Gen_2[[#All],[Incurred]],0),0),0)</f>
        <v>-23293075.953168754</v>
      </c>
      <c r="G118" s="21">
        <f>-IFERROR(HLOOKUP("Exp_Expense",CF_Gen_2[#All],MATCH($B118,CF_Gen_2[[#All],[Incurred]],0),0),0)</f>
        <v>0</v>
      </c>
      <c r="H118" s="21">
        <f>-IFERROR(HLOOKUP("Exp_Commission",CF_Gen_2[#All],MATCH($B118,CF_Gen_2[[#All],[Incurred]],0),0),0)-IFERROR(HLOOKUP("Exp_Acquisition",CF_Gen_2[#All],MATCH($B118,CF_Gen_2[[#All],[Incurred]],0),0),0)</f>
        <v>239211637.51564381</v>
      </c>
      <c r="I118" s="22">
        <f>IF(AND($J118&lt;YEAR($A118),$B118&lt;=$A118),-IFERROR(HLOOKUP("Actual_Commission",CF_Gen_2[#All],MATCH($B118,CF_Gen_2[[#All],[Incurred]],0),0),0)-IFERROR(HLOOKUP("Actual_Acquisition",CF_Gen_2[#All],MATCH($B118,CF_Gen_2[[#All],[Incurred]],0),0),0),0)</f>
        <v>0</v>
      </c>
      <c r="J118" s="27">
        <f>VLOOKUP(L118,ICG[#All],2,0)</f>
        <v>2024</v>
      </c>
      <c r="K118" s="27" t="str">
        <f>VLOOKUP(L118,ICG[#All],3,0)</f>
        <v>RC-Property</v>
      </c>
      <c r="L118" s="27" t="str">
        <f t="shared" si="10"/>
        <v>#2024#RC-Property</v>
      </c>
    </row>
    <row r="119" spans="1:12">
      <c r="A119" s="26">
        <f t="shared" si="8"/>
        <v>45930</v>
      </c>
      <c r="B119" s="26">
        <f t="shared" si="9"/>
        <v>46843</v>
      </c>
      <c r="C119" s="21">
        <f>IFERROR(HLOOKUP("Exp_Premium",CF_Gen_2[#All],MATCH($B119,CF_Gen_2[[#All],[Incurred]],0),0),0)</f>
        <v>672630076.36818802</v>
      </c>
      <c r="D119" s="22">
        <f>IF(AND($J119&lt;YEAR($A119),$B119&lt;=$A119),IFERROR(HLOOKUP("Actual_Premium",CF_Gen_2[#All],MATCH($B119,CF_Gen_2[[#All],[Incurred]],0),0),0),0)</f>
        <v>0</v>
      </c>
      <c r="E119" s="21">
        <f>-IFERROR(HLOOKUP("Exp_Claim",CF_Gen_2[#All],MATCH($B119,CF_Gen_2[[#All],[Incurred]],0),0),0)-IFERROR(HLOOKUP("Exp_NPR",CF_Gen_2[#All],MATCH($B119,CF_Gen_2[[#All],[Incurred]],0),0),0)</f>
        <v>-160006035.29119378</v>
      </c>
      <c r="F119" s="21">
        <f>-IFERROR(HLOOKUP("Exp_RA",CF_Gen_2[#All],MATCH($B119,CF_Gen_2[[#All],[Incurred]],0),0),0)</f>
        <v>-21399984.14388394</v>
      </c>
      <c r="G119" s="21">
        <f>-IFERROR(HLOOKUP("Exp_Expense",CF_Gen_2[#All],MATCH($B119,CF_Gen_2[[#All],[Incurred]],0),0),0)</f>
        <v>0</v>
      </c>
      <c r="H119" s="21">
        <f>-IFERROR(HLOOKUP("Exp_Commission",CF_Gen_2[#All],MATCH($B119,CF_Gen_2[[#All],[Incurred]],0),0),0)-IFERROR(HLOOKUP("Exp_Acquisition",CF_Gen_2[#All],MATCH($B119,CF_Gen_2[[#All],[Incurred]],0),0),0)</f>
        <v>217011879.47114828</v>
      </c>
      <c r="I119" s="22">
        <f>IF(AND($J119&lt;YEAR($A119),$B119&lt;=$A119),-IFERROR(HLOOKUP("Actual_Commission",CF_Gen_2[#All],MATCH($B119,CF_Gen_2[[#All],[Incurred]],0),0),0)-IFERROR(HLOOKUP("Actual_Acquisition",CF_Gen_2[#All],MATCH($B119,CF_Gen_2[[#All],[Incurred]],0),0),0),0)</f>
        <v>0</v>
      </c>
      <c r="J119" s="27">
        <f>VLOOKUP(L119,ICG[#All],2,0)</f>
        <v>2024</v>
      </c>
      <c r="K119" s="27" t="str">
        <f>VLOOKUP(L119,ICG[#All],3,0)</f>
        <v>RC-Property</v>
      </c>
      <c r="L119" s="27" t="str">
        <f t="shared" si="10"/>
        <v>#2024#RC-Property</v>
      </c>
    </row>
    <row r="120" spans="1:12">
      <c r="A120" s="26">
        <f t="shared" si="8"/>
        <v>45930</v>
      </c>
      <c r="B120" s="26">
        <f t="shared" si="9"/>
        <v>46934</v>
      </c>
      <c r="C120" s="21">
        <f>IFERROR(HLOOKUP("Exp_Premium",CF_Gen_2[#All],MATCH($B120,CF_Gen_2[[#All],[Incurred]],0),0),0)</f>
        <v>610384038.93666708</v>
      </c>
      <c r="D120" s="22">
        <f>IF(AND($J120&lt;YEAR($A120),$B120&lt;=$A120),IFERROR(HLOOKUP("Actual_Premium",CF_Gen_2[#All],MATCH($B120,CF_Gen_2[[#All],[Incurred]],0),0),0),0)</f>
        <v>0</v>
      </c>
      <c r="E120" s="21">
        <f>-IFERROR(HLOOKUP("Exp_Claim",CF_Gen_2[#All],MATCH($B120,CF_Gen_2[[#All],[Incurred]],0),0),0)-IFERROR(HLOOKUP("Exp_NPR",CF_Gen_2[#All],MATCH($B120,CF_Gen_2[[#All],[Incurred]],0),0),0)</f>
        <v>-146979777.0806776</v>
      </c>
      <c r="F120" s="21">
        <f>-IFERROR(HLOOKUP("Exp_RA",CF_Gen_2[#All],MATCH($B120,CF_Gen_2[[#All],[Incurred]],0),0),0)</f>
        <v>-19657789.115728486</v>
      </c>
      <c r="G120" s="21">
        <f>-IFERROR(HLOOKUP("Exp_Expense",CF_Gen_2[#All],MATCH($B120,CF_Gen_2[[#All],[Incurred]],0),0),0)</f>
        <v>0</v>
      </c>
      <c r="H120" s="21">
        <f>-IFERROR(HLOOKUP("Exp_Commission",CF_Gen_2[#All],MATCH($B120,CF_Gen_2[[#All],[Incurred]],0),0),0)-IFERROR(HLOOKUP("Exp_Acquisition",CF_Gen_2[#All],MATCH($B120,CF_Gen_2[[#All],[Incurred]],0),0),0)</f>
        <v>196810970.37227425</v>
      </c>
      <c r="I120" s="22">
        <f>IF(AND($J120&lt;YEAR($A120),$B120&lt;=$A120),-IFERROR(HLOOKUP("Actual_Commission",CF_Gen_2[#All],MATCH($B120,CF_Gen_2[[#All],[Incurred]],0),0),0)-IFERROR(HLOOKUP("Actual_Acquisition",CF_Gen_2[#All],MATCH($B120,CF_Gen_2[[#All],[Incurred]],0),0),0),0)</f>
        <v>0</v>
      </c>
      <c r="J120" s="27">
        <f>VLOOKUP(L120,ICG[#All],2,0)</f>
        <v>2024</v>
      </c>
      <c r="K120" s="27" t="str">
        <f>VLOOKUP(L120,ICG[#All],3,0)</f>
        <v>RC-Property</v>
      </c>
      <c r="L120" s="27" t="str">
        <f t="shared" si="10"/>
        <v>#2024#RC-Property</v>
      </c>
    </row>
    <row r="121" spans="1:12">
      <c r="A121" s="26">
        <f t="shared" si="8"/>
        <v>45930</v>
      </c>
      <c r="B121" s="26">
        <f t="shared" si="9"/>
        <v>47026</v>
      </c>
      <c r="C121" s="21">
        <f>IFERROR(HLOOKUP("Exp_Premium",CF_Gen_2[#All],MATCH($B121,CF_Gen_2[[#All],[Incurred]],0),0),0)</f>
        <v>553729572.82951128</v>
      </c>
      <c r="D121" s="22">
        <f>IF(AND($J121&lt;YEAR($A121),$B121&lt;=$A121),IFERROR(HLOOKUP("Actual_Premium",CF_Gen_2[#All],MATCH($B121,CF_Gen_2[[#All],[Incurred]],0),0),0),0)</f>
        <v>0</v>
      </c>
      <c r="E121" s="21">
        <f>-IFERROR(HLOOKUP("Exp_Claim",CF_Gen_2[#All],MATCH($B121,CF_Gen_2[[#All],[Incurred]],0),0),0)-IFERROR(HLOOKUP("Exp_NPR",CF_Gen_2[#All],MATCH($B121,CF_Gen_2[[#All],[Incurred]],0),0),0)</f>
        <v>-134993165.44670677</v>
      </c>
      <c r="F121" s="21">
        <f>-IFERROR(HLOOKUP("Exp_RA",CF_Gen_2[#All],MATCH($B121,CF_Gen_2[[#All],[Incurred]],0),0),0)</f>
        <v>-18054641.469209757</v>
      </c>
      <c r="G121" s="21">
        <f>-IFERROR(HLOOKUP("Exp_Expense",CF_Gen_2[#All],MATCH($B121,CF_Gen_2[[#All],[Incurred]],0),0),0)</f>
        <v>0</v>
      </c>
      <c r="H121" s="21">
        <f>-IFERROR(HLOOKUP("Exp_Commission",CF_Gen_2[#All],MATCH($B121,CF_Gen_2[[#All],[Incurred]],0),0),0)-IFERROR(HLOOKUP("Exp_Acquisition",CF_Gen_2[#All],MATCH($B121,CF_Gen_2[[#All],[Incurred]],0),0),0)</f>
        <v>178433438.79202747</v>
      </c>
      <c r="I121" s="22">
        <f>IF(AND($J121&lt;YEAR($A121),$B121&lt;=$A121),-IFERROR(HLOOKUP("Actual_Commission",CF_Gen_2[#All],MATCH($B121,CF_Gen_2[[#All],[Incurred]],0),0),0)-IFERROR(HLOOKUP("Actual_Acquisition",CF_Gen_2[#All],MATCH($B121,CF_Gen_2[[#All],[Incurred]],0),0),0),0)</f>
        <v>0</v>
      </c>
      <c r="J121" s="27">
        <f>VLOOKUP(L121,ICG[#All],2,0)</f>
        <v>2024</v>
      </c>
      <c r="K121" s="27" t="str">
        <f>VLOOKUP(L121,ICG[#All],3,0)</f>
        <v>RC-Property</v>
      </c>
      <c r="L121" s="27" t="str">
        <f t="shared" si="10"/>
        <v>#2024#RC-Property</v>
      </c>
    </row>
    <row r="122" spans="1:12">
      <c r="A122" s="26">
        <f t="shared" si="8"/>
        <v>45930</v>
      </c>
      <c r="B122" s="26">
        <f t="shared" si="9"/>
        <v>47118</v>
      </c>
      <c r="C122" s="21">
        <f>IFERROR(HLOOKUP("Exp_Premium",CF_Gen_2[#All],MATCH($B122,CF_Gen_2[[#All],[Incurred]],0),0),0)</f>
        <v>502176752.70265335</v>
      </c>
      <c r="D122" s="22">
        <f>IF(AND($J122&lt;YEAR($A122),$B122&lt;=$A122),IFERROR(HLOOKUP("Actual_Premium",CF_Gen_2[#All],MATCH($B122,CF_Gen_2[[#All],[Incurred]],0),0),0),0)</f>
        <v>0</v>
      </c>
      <c r="E122" s="21">
        <f>-IFERROR(HLOOKUP("Exp_Claim",CF_Gen_2[#All],MATCH($B122,CF_Gen_2[[#All],[Incurred]],0),0),0)-IFERROR(HLOOKUP("Exp_NPR",CF_Gen_2[#All],MATCH($B122,CF_Gen_2[[#All],[Incurred]],0),0),0)</f>
        <v>-123964478.53379659</v>
      </c>
      <c r="F122" s="21">
        <f>-IFERROR(HLOOKUP("Exp_RA",CF_Gen_2[#All],MATCH($B122,CF_Gen_2[[#All],[Incurred]],0),0),0)</f>
        <v>-16579611.326536581</v>
      </c>
      <c r="G122" s="21">
        <f>-IFERROR(HLOOKUP("Exp_Expense",CF_Gen_2[#All],MATCH($B122,CF_Gen_2[[#All],[Incurred]],0),0),0)</f>
        <v>0</v>
      </c>
      <c r="H122" s="21">
        <f>-IFERROR(HLOOKUP("Exp_Commission",CF_Gen_2[#All],MATCH($B122,CF_Gen_2[[#All],[Incurred]],0),0),0)-IFERROR(HLOOKUP("Exp_Acquisition",CF_Gen_2[#All],MATCH($B122,CF_Gen_2[[#All],[Incurred]],0),0),0)</f>
        <v>161718893.74059102</v>
      </c>
      <c r="I122" s="22">
        <f>IF(AND($J122&lt;YEAR($A122),$B122&lt;=$A122),-IFERROR(HLOOKUP("Actual_Commission",CF_Gen_2[#All],MATCH($B122,CF_Gen_2[[#All],[Incurred]],0),0),0)-IFERROR(HLOOKUP("Actual_Acquisition",CF_Gen_2[#All],MATCH($B122,CF_Gen_2[[#All],[Incurred]],0),0),0),0)</f>
        <v>0</v>
      </c>
      <c r="J122" s="27">
        <f>VLOOKUP(L122,ICG[#All],2,0)</f>
        <v>2024</v>
      </c>
      <c r="K122" s="27" t="str">
        <f>VLOOKUP(L122,ICG[#All],3,0)</f>
        <v>RC-Property</v>
      </c>
      <c r="L122" s="27" t="str">
        <f t="shared" si="10"/>
        <v>#2024#RC-Property</v>
      </c>
    </row>
    <row r="123" spans="1:12">
      <c r="A123" s="26">
        <f t="shared" si="8"/>
        <v>45930</v>
      </c>
      <c r="B123" s="26">
        <f t="shared" si="9"/>
        <v>47208</v>
      </c>
      <c r="C123" s="21">
        <f>IFERROR(HLOOKUP("Exp_Premium",CF_Gen_2[#All],MATCH($B123,CF_Gen_2[[#All],[Incurred]],0),0),0)</f>
        <v>455277691.82665002</v>
      </c>
      <c r="D123" s="22">
        <f>IF(AND($J123&lt;YEAR($A123),$B123&lt;=$A123),IFERROR(HLOOKUP("Actual_Premium",CF_Gen_2[#All],MATCH($B123,CF_Gen_2[[#All],[Incurred]],0),0),0),0)</f>
        <v>0</v>
      </c>
      <c r="E123" s="21">
        <f>-IFERROR(HLOOKUP("Exp_Claim",CF_Gen_2[#All],MATCH($B123,CF_Gen_2[[#All],[Incurred]],0),0),0)-IFERROR(HLOOKUP("Exp_NPR",CF_Gen_2[#All],MATCH($B123,CF_Gen_2[[#All],[Incurred]],0),0),0)</f>
        <v>-113818341.27800496</v>
      </c>
      <c r="F123" s="21">
        <f>-IFERROR(HLOOKUP("Exp_RA",CF_Gen_2[#All],MATCH($B123,CF_Gen_2[[#All],[Incurred]],0),0),0)</f>
        <v>-15222617.660638524</v>
      </c>
      <c r="G123" s="21">
        <f>-IFERROR(HLOOKUP("Exp_Expense",CF_Gen_2[#All],MATCH($B123,CF_Gen_2[[#All],[Incurred]],0),0),0)</f>
        <v>0</v>
      </c>
      <c r="H123" s="21">
        <f>-IFERROR(HLOOKUP("Exp_Commission",CF_Gen_2[#All],MATCH($B123,CF_Gen_2[[#All],[Incurred]],0),0),0)-IFERROR(HLOOKUP("Exp_Acquisition",CF_Gen_2[#All],MATCH($B123,CF_Gen_2[[#All],[Incurred]],0),0),0)</f>
        <v>146520751.5983066</v>
      </c>
      <c r="I123" s="22">
        <f>IF(AND($J123&lt;YEAR($A123),$B123&lt;=$A123),-IFERROR(HLOOKUP("Actual_Commission",CF_Gen_2[#All],MATCH($B123,CF_Gen_2[[#All],[Incurred]],0),0),0)-IFERROR(HLOOKUP("Actual_Acquisition",CF_Gen_2[#All],MATCH($B123,CF_Gen_2[[#All],[Incurred]],0),0),0),0)</f>
        <v>0</v>
      </c>
      <c r="J123" s="27">
        <f>VLOOKUP(L123,ICG[#All],2,0)</f>
        <v>2024</v>
      </c>
      <c r="K123" s="27" t="str">
        <f>VLOOKUP(L123,ICG[#All],3,0)</f>
        <v>RC-Property</v>
      </c>
      <c r="L123" s="27" t="str">
        <f t="shared" si="10"/>
        <v>#2024#RC-Property</v>
      </c>
    </row>
    <row r="124" spans="1:12">
      <c r="A124" s="26">
        <f t="shared" si="8"/>
        <v>45930</v>
      </c>
      <c r="B124" s="26">
        <f t="shared" si="9"/>
        <v>47299</v>
      </c>
      <c r="C124" s="21">
        <f>IFERROR(HLOOKUP("Exp_Premium",CF_Gen_2[#All],MATCH($B124,CF_Gen_2[[#All],[Incurred]],0),0),0)</f>
        <v>412622997.97120667</v>
      </c>
      <c r="D124" s="22">
        <f>IF(AND($J124&lt;YEAR($A124),$B124&lt;=$A124),IFERROR(HLOOKUP("Actual_Premium",CF_Gen_2[#All],MATCH($B124,CF_Gen_2[[#All],[Incurred]],0),0),0),0)</f>
        <v>0</v>
      </c>
      <c r="E124" s="21">
        <f>-IFERROR(HLOOKUP("Exp_Claim",CF_Gen_2[#All],MATCH($B124,CF_Gen_2[[#All],[Incurred]],0),0),0)-IFERROR(HLOOKUP("Exp_NPR",CF_Gen_2[#All],MATCH($B124,CF_Gen_2[[#All],[Incurred]],0),0),0)</f>
        <v>-104485237.29320854</v>
      </c>
      <c r="F124" s="21">
        <f>-IFERROR(HLOOKUP("Exp_RA",CF_Gen_2[#All],MATCH($B124,CF_Gen_2[[#All],[Incurred]],0),0),0)</f>
        <v>-13974363.012466164</v>
      </c>
      <c r="G124" s="21">
        <f>-IFERROR(HLOOKUP("Exp_Expense",CF_Gen_2[#All],MATCH($B124,CF_Gen_2[[#All],[Incurred]],0),0),0)</f>
        <v>0</v>
      </c>
      <c r="H124" s="21">
        <f>-IFERROR(HLOOKUP("Exp_Commission",CF_Gen_2[#All],MATCH($B124,CF_Gen_2[[#All],[Incurred]],0),0),0)-IFERROR(HLOOKUP("Exp_Acquisition",CF_Gen_2[#All],MATCH($B124,CF_Gen_2[[#All],[Incurred]],0),0),0)</f>
        <v>132705068.89700286</v>
      </c>
      <c r="I124" s="22">
        <f>IF(AND($J124&lt;YEAR($A124),$B124&lt;=$A124),-IFERROR(HLOOKUP("Actual_Commission",CF_Gen_2[#All],MATCH($B124,CF_Gen_2[[#All],[Incurred]],0),0),0)-IFERROR(HLOOKUP("Actual_Acquisition",CF_Gen_2[#All],MATCH($B124,CF_Gen_2[[#All],[Incurred]],0),0),0),0)</f>
        <v>0</v>
      </c>
      <c r="J124" s="27">
        <f>VLOOKUP(L124,ICG[#All],2,0)</f>
        <v>2024</v>
      </c>
      <c r="K124" s="27" t="str">
        <f>VLOOKUP(L124,ICG[#All],3,0)</f>
        <v>RC-Property</v>
      </c>
      <c r="L124" s="27" t="str">
        <f t="shared" si="10"/>
        <v>#2024#RC-Property</v>
      </c>
    </row>
    <row r="125" spans="1:12">
      <c r="A125" s="26">
        <f t="shared" si="8"/>
        <v>45930</v>
      </c>
      <c r="B125" s="26">
        <f t="shared" si="9"/>
        <v>47391</v>
      </c>
      <c r="C125" s="21">
        <f>IFERROR(HLOOKUP("Exp_Premium",CF_Gen_2[#All],MATCH($B125,CF_Gen_2[[#All],[Incurred]],0),0),0)</f>
        <v>373838523.6307056</v>
      </c>
      <c r="D125" s="22">
        <f>IF(AND($J125&lt;YEAR($A125),$B125&lt;=$A125),IFERROR(HLOOKUP("Actual_Premium",CF_Gen_2[#All],MATCH($B125,CF_Gen_2[[#All],[Incurred]],0),0),0),0)</f>
        <v>0</v>
      </c>
      <c r="E125" s="21">
        <f>-IFERROR(HLOOKUP("Exp_Claim",CF_Gen_2[#All],MATCH($B125,CF_Gen_2[[#All],[Incurred]],0),0),0)-IFERROR(HLOOKUP("Exp_NPR",CF_Gen_2[#All],MATCH($B125,CF_Gen_2[[#All],[Incurred]],0),0),0)</f>
        <v>-95901057.994021401</v>
      </c>
      <c r="F125" s="21">
        <f>-IFERROR(HLOOKUP("Exp_RA",CF_Gen_2[#All],MATCH($B125,CF_Gen_2[[#All],[Incurred]],0),0),0)</f>
        <v>-12826273.188500805</v>
      </c>
      <c r="G125" s="21">
        <f>-IFERROR(HLOOKUP("Exp_Expense",CF_Gen_2[#All],MATCH($B125,CF_Gen_2[[#All],[Incurred]],0),0),0)</f>
        <v>0</v>
      </c>
      <c r="H125" s="21">
        <f>-IFERROR(HLOOKUP("Exp_Commission",CF_Gen_2[#All],MATCH($B125,CF_Gen_2[[#All],[Incurred]],0),0),0)-IFERROR(HLOOKUP("Exp_Acquisition",CF_Gen_2[#All],MATCH($B125,CF_Gen_2[[#All],[Incurred]],0),0),0)</f>
        <v>120149472.26301235</v>
      </c>
      <c r="I125" s="22">
        <f>IF(AND($J125&lt;YEAR($A125),$B125&lt;=$A125),-IFERROR(HLOOKUP("Actual_Commission",CF_Gen_2[#All],MATCH($B125,CF_Gen_2[[#All],[Incurred]],0),0),0)-IFERROR(HLOOKUP("Actual_Acquisition",CF_Gen_2[#All],MATCH($B125,CF_Gen_2[[#All],[Incurred]],0),0),0),0)</f>
        <v>0</v>
      </c>
      <c r="J125" s="27">
        <f>VLOOKUP(L125,ICG[#All],2,0)</f>
        <v>2024</v>
      </c>
      <c r="K125" s="27" t="str">
        <f>VLOOKUP(L125,ICG[#All],3,0)</f>
        <v>RC-Property</v>
      </c>
      <c r="L125" s="27" t="str">
        <f t="shared" si="10"/>
        <v>#2024#RC-Property</v>
      </c>
    </row>
    <row r="126" spans="1:12">
      <c r="A126" s="26">
        <f t="shared" si="8"/>
        <v>45930</v>
      </c>
      <c r="B126" s="26">
        <f t="shared" si="9"/>
        <v>47483</v>
      </c>
      <c r="C126" s="21">
        <f>IFERROR(HLOOKUP("Exp_Premium",CF_Gen_2[#All],MATCH($B126,CF_Gen_2[[#All],[Incurred]],0),0),0)</f>
        <v>338582386.45838749</v>
      </c>
      <c r="D126" s="22">
        <f>IF(AND($J126&lt;YEAR($A126),$B126&lt;=$A126),IFERROR(HLOOKUP("Actual_Premium",CF_Gen_2[#All],MATCH($B126,CF_Gen_2[[#All],[Incurred]],0),0),0),0)</f>
        <v>0</v>
      </c>
      <c r="E126" s="21">
        <f>-IFERROR(HLOOKUP("Exp_Claim",CF_Gen_2[#All],MATCH($B126,CF_Gen_2[[#All],[Incurred]],0),0),0)-IFERROR(HLOOKUP("Exp_NPR",CF_Gen_2[#All],MATCH($B126,CF_Gen_2[[#All],[Incurred]],0),0),0)</f>
        <v>-88006686.133983731</v>
      </c>
      <c r="F126" s="21">
        <f>-IFERROR(HLOOKUP("Exp_RA",CF_Gen_2[#All],MATCH($B126,CF_Gen_2[[#All],[Incurred]],0),0),0)</f>
        <v>-11770441.56112951</v>
      </c>
      <c r="G126" s="21">
        <f>-IFERROR(HLOOKUP("Exp_Expense",CF_Gen_2[#All],MATCH($B126,CF_Gen_2[[#All],[Incurred]],0),0),0)</f>
        <v>0</v>
      </c>
      <c r="H126" s="21">
        <f>-IFERROR(HLOOKUP("Exp_Commission",CF_Gen_2[#All],MATCH($B126,CF_Gen_2[[#All],[Incurred]],0),0),0)-IFERROR(HLOOKUP("Exp_Acquisition",CF_Gen_2[#All],MATCH($B126,CF_Gen_2[[#All],[Incurred]],0),0),0)</f>
        <v>108742177.54011023</v>
      </c>
      <c r="I126" s="22">
        <f>IF(AND($J126&lt;YEAR($A126),$B126&lt;=$A126),-IFERROR(HLOOKUP("Actual_Commission",CF_Gen_2[#All],MATCH($B126,CF_Gen_2[[#All],[Incurred]],0),0),0)-IFERROR(HLOOKUP("Actual_Acquisition",CF_Gen_2[#All],MATCH($B126,CF_Gen_2[[#All],[Incurred]],0),0),0),0)</f>
        <v>0</v>
      </c>
      <c r="J126" s="27">
        <f>VLOOKUP(L126,ICG[#All],2,0)</f>
        <v>2024</v>
      </c>
      <c r="K126" s="27" t="str">
        <f>VLOOKUP(L126,ICG[#All],3,0)</f>
        <v>RC-Property</v>
      </c>
      <c r="L126" s="27" t="str">
        <f t="shared" si="10"/>
        <v>#2024#RC-Property</v>
      </c>
    </row>
    <row r="127" spans="1:12">
      <c r="A127" s="26">
        <f t="shared" si="8"/>
        <v>45930</v>
      </c>
      <c r="B127" s="26">
        <f t="shared" si="9"/>
        <v>47573</v>
      </c>
      <c r="C127" s="21">
        <f>IFERROR(HLOOKUP("Exp_Premium",CF_Gen_2[#All],MATCH($B127,CF_Gen_2[[#All],[Incurred]],0),0),0)</f>
        <v>306542237.73343527</v>
      </c>
      <c r="D127" s="22">
        <f>IF(AND($J127&lt;YEAR($A127),$B127&lt;=$A127),IFERROR(HLOOKUP("Actual_Premium",CF_Gen_2[#All],MATCH($B127,CF_Gen_2[[#All],[Incurred]],0),0),0),0)</f>
        <v>0</v>
      </c>
      <c r="E127" s="21">
        <f>-IFERROR(HLOOKUP("Exp_Claim",CF_Gen_2[#All],MATCH($B127,CF_Gen_2[[#All],[Incurred]],0),0),0)-IFERROR(HLOOKUP("Exp_NPR",CF_Gen_2[#All],MATCH($B127,CF_Gen_2[[#All],[Incurred]],0),0),0)</f>
        <v>-80747611.150180638</v>
      </c>
      <c r="F127" s="21">
        <f>-IFERROR(HLOOKUP("Exp_RA",CF_Gen_2[#All],MATCH($B127,CF_Gen_2[[#All],[Incurred]],0),0),0)</f>
        <v>-10799577.622966545</v>
      </c>
      <c r="G127" s="21">
        <f>-IFERROR(HLOOKUP("Exp_Expense",CF_Gen_2[#All],MATCH($B127,CF_Gen_2[[#All],[Incurred]],0),0),0)</f>
        <v>0</v>
      </c>
      <c r="H127" s="21">
        <f>-IFERROR(HLOOKUP("Exp_Commission",CF_Gen_2[#All],MATCH($B127,CF_Gen_2[[#All],[Incurred]],0),0),0)-IFERROR(HLOOKUP("Exp_Acquisition",CF_Gen_2[#All],MATCH($B127,CF_Gen_2[[#All],[Incurred]],0),0),0)</f>
        <v>98381090.758855969</v>
      </c>
      <c r="I127" s="22">
        <f>IF(AND($J127&lt;YEAR($A127),$B127&lt;=$A127),-IFERROR(HLOOKUP("Actual_Commission",CF_Gen_2[#All],MATCH($B127,CF_Gen_2[[#All],[Incurred]],0),0),0)-IFERROR(HLOOKUP("Actual_Acquisition",CF_Gen_2[#All],MATCH($B127,CF_Gen_2[[#All],[Incurred]],0),0),0),0)</f>
        <v>0</v>
      </c>
      <c r="J127" s="27">
        <f>VLOOKUP(L127,ICG[#All],2,0)</f>
        <v>2024</v>
      </c>
      <c r="K127" s="27" t="str">
        <f>VLOOKUP(L127,ICG[#All],3,0)</f>
        <v>RC-Property</v>
      </c>
      <c r="L127" s="27" t="str">
        <f t="shared" si="10"/>
        <v>#2024#RC-Property</v>
      </c>
    </row>
    <row r="128" spans="1:12">
      <c r="A128" s="26">
        <f t="shared" si="8"/>
        <v>45930</v>
      </c>
      <c r="B128" s="26">
        <f t="shared" si="9"/>
        <v>47664</v>
      </c>
      <c r="C128" s="21">
        <f>IFERROR(HLOOKUP("Exp_Premium",CF_Gen_2[#All],MATCH($B128,CF_Gen_2[[#All],[Incurred]],0),0),0)</f>
        <v>277432758.48472983</v>
      </c>
      <c r="D128" s="22">
        <f>IF(AND($J128&lt;YEAR($A128),$B128&lt;=$A128),IFERROR(HLOOKUP("Actual_Premium",CF_Gen_2[#All],MATCH($B128,CF_Gen_2[[#All],[Incurred]],0),0),0),0)</f>
        <v>0</v>
      </c>
      <c r="E128" s="21">
        <f>-IFERROR(HLOOKUP("Exp_Claim",CF_Gen_2[#All],MATCH($B128,CF_Gen_2[[#All],[Incurred]],0),0),0)-IFERROR(HLOOKUP("Exp_NPR",CF_Gen_2[#All],MATCH($B128,CF_Gen_2[[#All],[Incurred]],0),0),0)</f>
        <v>-74073573.90205346</v>
      </c>
      <c r="F128" s="21">
        <f>-IFERROR(HLOOKUP("Exp_RA",CF_Gen_2[#All],MATCH($B128,CF_Gen_2[[#All],[Incurred]],0),0),0)</f>
        <v>-9906959.4724968616</v>
      </c>
      <c r="G128" s="21">
        <f>-IFERROR(HLOOKUP("Exp_Expense",CF_Gen_2[#All],MATCH($B128,CF_Gen_2[[#All],[Incurred]],0),0),0)</f>
        <v>0</v>
      </c>
      <c r="H128" s="21">
        <f>-IFERROR(HLOOKUP("Exp_Commission",CF_Gen_2[#All],MATCH($B128,CF_Gen_2[[#All],[Incurred]],0),0),0)-IFERROR(HLOOKUP("Exp_Acquisition",CF_Gen_2[#All],MATCH($B128,CF_Gen_2[[#All],[Incurred]],0),0),0)</f>
        <v>88972984.214943945</v>
      </c>
      <c r="I128" s="22">
        <f>IF(AND($J128&lt;YEAR($A128),$B128&lt;=$A128),-IFERROR(HLOOKUP("Actual_Commission",CF_Gen_2[#All],MATCH($B128,CF_Gen_2[[#All],[Incurred]],0),0),0)-IFERROR(HLOOKUP("Actual_Acquisition",CF_Gen_2[#All],MATCH($B128,CF_Gen_2[[#All],[Incurred]],0),0),0),0)</f>
        <v>0</v>
      </c>
      <c r="J128" s="27">
        <f>VLOOKUP(L128,ICG[#All],2,0)</f>
        <v>2024</v>
      </c>
      <c r="K128" s="27" t="str">
        <f>VLOOKUP(L128,ICG[#All],3,0)</f>
        <v>RC-Property</v>
      </c>
      <c r="L128" s="27" t="str">
        <f t="shared" si="10"/>
        <v>#2024#RC-Property</v>
      </c>
    </row>
    <row r="129" spans="1:12">
      <c r="A129" s="26">
        <f t="shared" si="8"/>
        <v>45930</v>
      </c>
      <c r="B129" s="26">
        <f t="shared" si="9"/>
        <v>47756</v>
      </c>
      <c r="C129" s="21">
        <f>IFERROR(HLOOKUP("Exp_Premium",CF_Gen_2[#All],MATCH($B129,CF_Gen_2[[#All],[Incurred]],0),0),0)</f>
        <v>250993364.54996085</v>
      </c>
      <c r="D129" s="22">
        <f>IF(AND($J129&lt;YEAR($A129),$B129&lt;=$A129),IFERROR(HLOOKUP("Actual_Premium",CF_Gen_2[#All],MATCH($B129,CF_Gen_2[[#All],[Incurred]],0),0),0),0)</f>
        <v>0</v>
      </c>
      <c r="E129" s="21">
        <f>-IFERROR(HLOOKUP("Exp_Claim",CF_Gen_2[#All],MATCH($B129,CF_Gen_2[[#All],[Incurred]],0),0),0)-IFERROR(HLOOKUP("Exp_NPR",CF_Gen_2[#All],MATCH($B129,CF_Gen_2[[#All],[Incurred]],0),0),0)</f>
        <v>-67938238.574028194</v>
      </c>
      <c r="F129" s="21">
        <f>-IFERROR(HLOOKUP("Exp_RA",CF_Gen_2[#All],MATCH($B129,CF_Gen_2[[#All],[Incurred]],0),0),0)</f>
        <v>-9086389.9327403978</v>
      </c>
      <c r="G129" s="21">
        <f>-IFERROR(HLOOKUP("Exp_Expense",CF_Gen_2[#All],MATCH($B129,CF_Gen_2[[#All],[Incurred]],0),0),0)</f>
        <v>0</v>
      </c>
      <c r="H129" s="21">
        <f>-IFERROR(HLOOKUP("Exp_Commission",CF_Gen_2[#All],MATCH($B129,CF_Gen_2[[#All],[Incurred]],0),0),0)-IFERROR(HLOOKUP("Exp_Acquisition",CF_Gen_2[#All],MATCH($B129,CF_Gen_2[[#All],[Incurred]],0),0),0)</f>
        <v>80432741.467320457</v>
      </c>
      <c r="I129" s="22">
        <f>IF(AND($J129&lt;YEAR($A129),$B129&lt;=$A129),-IFERROR(HLOOKUP("Actual_Commission",CF_Gen_2[#All],MATCH($B129,CF_Gen_2[[#All],[Incurred]],0),0),0)-IFERROR(HLOOKUP("Actual_Acquisition",CF_Gen_2[#All],MATCH($B129,CF_Gen_2[[#All],[Incurred]],0),0),0),0)</f>
        <v>0</v>
      </c>
      <c r="J129" s="27">
        <f>VLOOKUP(L129,ICG[#All],2,0)</f>
        <v>2024</v>
      </c>
      <c r="K129" s="27" t="str">
        <f>VLOOKUP(L129,ICG[#All],3,0)</f>
        <v>RC-Property</v>
      </c>
      <c r="L129" s="27" t="str">
        <f t="shared" si="10"/>
        <v>#2024#RC-Property</v>
      </c>
    </row>
    <row r="130" spans="1:12">
      <c r="A130" s="26">
        <f t="shared" si="8"/>
        <v>45930</v>
      </c>
      <c r="B130" s="26">
        <f t="shared" si="9"/>
        <v>47848</v>
      </c>
      <c r="C130" s="21">
        <f>IFERROR(HLOOKUP("Exp_Premium",CF_Gen_2[#All],MATCH($B130,CF_Gen_2[[#All],[Incurred]],0),0),0)</f>
        <v>226986103.37061512</v>
      </c>
      <c r="D130" s="22">
        <f>IF(AND($J130&lt;YEAR($A130),$B130&lt;=$A130),IFERROR(HLOOKUP("Actual_Premium",CF_Gen_2[#All],MATCH($B130,CF_Gen_2[[#All],[Incurred]],0),0),0),0)</f>
        <v>0</v>
      </c>
      <c r="E130" s="21">
        <f>-IFERROR(HLOOKUP("Exp_Claim",CF_Gen_2[#All],MATCH($B130,CF_Gen_2[[#All],[Incurred]],0),0),0)-IFERROR(HLOOKUP("Exp_NPR",CF_Gen_2[#All],MATCH($B130,CF_Gen_2[[#All],[Incurred]],0),0),0)</f>
        <v>-62298889.679806396</v>
      </c>
      <c r="F130" s="21">
        <f>-IFERROR(HLOOKUP("Exp_RA",CF_Gen_2[#All],MATCH($B130,CF_Gen_2[[#All],[Incurred]],0),0),0)</f>
        <v>-8332156.027134601</v>
      </c>
      <c r="G130" s="21">
        <f>-IFERROR(HLOOKUP("Exp_Expense",CF_Gen_2[#All],MATCH($B130,CF_Gen_2[[#All],[Incurred]],0),0),0)</f>
        <v>0</v>
      </c>
      <c r="H130" s="21">
        <f>-IFERROR(HLOOKUP("Exp_Commission",CF_Gen_2[#All],MATCH($B130,CF_Gen_2[[#All],[Incurred]],0),0),0)-IFERROR(HLOOKUP("Exp_Acquisition",CF_Gen_2[#All],MATCH($B130,CF_Gen_2[[#All],[Incurred]],0),0),0)</f>
        <v>72682665.570830151</v>
      </c>
      <c r="I130" s="22">
        <f>IF(AND($J130&lt;YEAR($A130),$B130&lt;=$A130),-IFERROR(HLOOKUP("Actual_Commission",CF_Gen_2[#All],MATCH($B130,CF_Gen_2[[#All],[Incurred]],0),0),0)-IFERROR(HLOOKUP("Actual_Acquisition",CF_Gen_2[#All],MATCH($B130,CF_Gen_2[[#All],[Incurred]],0),0),0),0)</f>
        <v>0</v>
      </c>
      <c r="J130" s="27">
        <f>VLOOKUP(L130,ICG[#All],2,0)</f>
        <v>2024</v>
      </c>
      <c r="K130" s="27" t="str">
        <f>VLOOKUP(L130,ICG[#All],3,0)</f>
        <v>RC-Property</v>
      </c>
      <c r="L130" s="27" t="str">
        <f t="shared" si="10"/>
        <v>#2024#RC-Property</v>
      </c>
    </row>
    <row r="131" spans="1:12">
      <c r="A131" s="26">
        <f t="shared" si="8"/>
        <v>45930</v>
      </c>
      <c r="B131" s="26">
        <f t="shared" si="9"/>
        <v>47938</v>
      </c>
      <c r="C131" s="21">
        <f>IFERROR(HLOOKUP("Exp_Premium",CF_Gen_2[#All],MATCH($B131,CF_Gen_2[[#All],[Incurred]],0),0),0)</f>
        <v>205193726.7227346</v>
      </c>
      <c r="D131" s="22">
        <f>IF(AND($J131&lt;YEAR($A131),$B131&lt;=$A131),IFERROR(HLOOKUP("Actual_Premium",CF_Gen_2[#All],MATCH($B131,CF_Gen_2[[#All],[Incurred]],0),0),0),0)</f>
        <v>0</v>
      </c>
      <c r="E131" s="21">
        <f>-IFERROR(HLOOKUP("Exp_Claim",CF_Gen_2[#All],MATCH($B131,CF_Gen_2[[#All],[Incurred]],0),0),0)-IFERROR(HLOOKUP("Exp_NPR",CF_Gen_2[#All],MATCH($B131,CF_Gen_2[[#All],[Incurred]],0),0),0)</f>
        <v>-57116152.261762932</v>
      </c>
      <c r="F131" s="21">
        <f>-IFERROR(HLOOKUP("Exp_RA",CF_Gen_2[#All],MATCH($B131,CF_Gen_2[[#All],[Incurred]],0),0),0)</f>
        <v>-7638991.55764319</v>
      </c>
      <c r="G131" s="21">
        <f>-IFERROR(HLOOKUP("Exp_Expense",CF_Gen_2[#All],MATCH($B131,CF_Gen_2[[#All],[Incurred]],0),0),0)</f>
        <v>0</v>
      </c>
      <c r="H131" s="21">
        <f>-IFERROR(HLOOKUP("Exp_Commission",CF_Gen_2[#All],MATCH($B131,CF_Gen_2[[#All],[Incurred]],0),0),0)-IFERROR(HLOOKUP("Exp_Acquisition",CF_Gen_2[#All],MATCH($B131,CF_Gen_2[[#All],[Incurred]],0),0),0)</f>
        <v>65651845.321539357</v>
      </c>
      <c r="I131" s="22">
        <f>IF(AND($J131&lt;YEAR($A131),$B131&lt;=$A131),-IFERROR(HLOOKUP("Actual_Commission",CF_Gen_2[#All],MATCH($B131,CF_Gen_2[[#All],[Incurred]],0),0),0)-IFERROR(HLOOKUP("Actual_Acquisition",CF_Gen_2[#All],MATCH($B131,CF_Gen_2[[#All],[Incurred]],0),0),0),0)</f>
        <v>0</v>
      </c>
      <c r="J131" s="27">
        <f>VLOOKUP(L131,ICG[#All],2,0)</f>
        <v>2024</v>
      </c>
      <c r="K131" s="27" t="str">
        <f>VLOOKUP(L131,ICG[#All],3,0)</f>
        <v>RC-Property</v>
      </c>
      <c r="L131" s="27" t="str">
        <f t="shared" si="10"/>
        <v>#2024#RC-Property</v>
      </c>
    </row>
    <row r="132" spans="1:12">
      <c r="A132" s="26">
        <f t="shared" si="8"/>
        <v>45930</v>
      </c>
      <c r="B132" s="26">
        <f t="shared" si="9"/>
        <v>48029</v>
      </c>
      <c r="C132" s="21">
        <f>IFERROR(HLOOKUP("Exp_Premium",CF_Gen_2[#All],MATCH($B132,CF_Gen_2[[#All],[Incurred]],0),0),0)</f>
        <v>185417924.87000728</v>
      </c>
      <c r="D132" s="22">
        <f>IF(AND($J132&lt;YEAR($A132),$B132&lt;=$A132),IFERROR(HLOOKUP("Actual_Premium",CF_Gen_2[#All],MATCH($B132,CF_Gen_2[[#All],[Incurred]],0),0),0),0)</f>
        <v>0</v>
      </c>
      <c r="E132" s="21">
        <f>-IFERROR(HLOOKUP("Exp_Claim",CF_Gen_2[#All],MATCH($B132,CF_Gen_2[[#All],[Incurred]],0),0),0)-IFERROR(HLOOKUP("Exp_NPR",CF_Gen_2[#All],MATCH($B132,CF_Gen_2[[#All],[Incurred]],0),0),0)</f>
        <v>-52353733.522814505</v>
      </c>
      <c r="F132" s="21">
        <f>-IFERROR(HLOOKUP("Exp_RA",CF_Gen_2[#All],MATCH($B132,CF_Gen_2[[#All],[Incurred]],0),0),0)</f>
        <v>-7002042.5493476186</v>
      </c>
      <c r="G132" s="21">
        <f>-IFERROR(HLOOKUP("Exp_Expense",CF_Gen_2[#All],MATCH($B132,CF_Gen_2[[#All],[Incurred]],0),0),0)</f>
        <v>0</v>
      </c>
      <c r="H132" s="21">
        <f>-IFERROR(HLOOKUP("Exp_Commission",CF_Gen_2[#All],MATCH($B132,CF_Gen_2[[#All],[Incurred]],0),0),0)-IFERROR(HLOOKUP("Exp_Acquisition",CF_Gen_2[#All],MATCH($B132,CF_Gen_2[[#All],[Incurred]],0),0),0)</f>
        <v>59275574.71889133</v>
      </c>
      <c r="I132" s="22">
        <f>IF(AND($J132&lt;YEAR($A132),$B132&lt;=$A132),-IFERROR(HLOOKUP("Actual_Commission",CF_Gen_2[#All],MATCH($B132,CF_Gen_2[[#All],[Incurred]],0),0),0)-IFERROR(HLOOKUP("Actual_Acquisition",CF_Gen_2[#All],MATCH($B132,CF_Gen_2[[#All],[Incurred]],0),0),0),0)</f>
        <v>0</v>
      </c>
      <c r="J132" s="27">
        <f>VLOOKUP(L132,ICG[#All],2,0)</f>
        <v>2024</v>
      </c>
      <c r="K132" s="27" t="str">
        <f>VLOOKUP(L132,ICG[#All],3,0)</f>
        <v>RC-Property</v>
      </c>
      <c r="L132" s="27" t="str">
        <f t="shared" si="10"/>
        <v>#2024#RC-Property</v>
      </c>
    </row>
    <row r="133" spans="1:12">
      <c r="A133" s="26">
        <f t="shared" si="8"/>
        <v>45930</v>
      </c>
      <c r="B133" s="26">
        <f t="shared" si="9"/>
        <v>48121</v>
      </c>
      <c r="C133" s="21">
        <f>IFERROR(HLOOKUP("Exp_Premium",CF_Gen_2[#All],MATCH($B133,CF_Gen_2[[#All],[Incurred]],0),0),0)</f>
        <v>167477708.80871877</v>
      </c>
      <c r="D133" s="22">
        <f>IF(AND($J133&lt;YEAR($A133),$B133&lt;=$A133),IFERROR(HLOOKUP("Actual_Premium",CF_Gen_2[#All],MATCH($B133,CF_Gen_2[[#All],[Incurred]],0),0),0),0)</f>
        <v>0</v>
      </c>
      <c r="E133" s="21">
        <f>-IFERROR(HLOOKUP("Exp_Claim",CF_Gen_2[#All],MATCH($B133,CF_Gen_2[[#All],[Incurred]],0),0),0)-IFERROR(HLOOKUP("Exp_NPR",CF_Gen_2[#All],MATCH($B133,CF_Gen_2[[#All],[Incurred]],0),0),0)</f>
        <v>-47978184.261236198</v>
      </c>
      <c r="F133" s="21">
        <f>-IFERROR(HLOOKUP("Exp_RA",CF_Gen_2[#All],MATCH($B133,CF_Gen_2[[#All],[Incurred]],0),0),0)</f>
        <v>-6416835.3435809733</v>
      </c>
      <c r="G133" s="21">
        <f>-IFERROR(HLOOKUP("Exp_Expense",CF_Gen_2[#All],MATCH($B133,CF_Gen_2[[#All],[Incurred]],0),0),0)</f>
        <v>0</v>
      </c>
      <c r="H133" s="21">
        <f>-IFERROR(HLOOKUP("Exp_Commission",CF_Gen_2[#All],MATCH($B133,CF_Gen_2[[#All],[Incurred]],0),0),0)-IFERROR(HLOOKUP("Exp_Acquisition",CF_Gen_2[#All],MATCH($B133,CF_Gen_2[[#All],[Incurred]],0),0),0)</f>
        <v>53494821.240464874</v>
      </c>
      <c r="I133" s="22">
        <f>IF(AND($J133&lt;YEAR($A133),$B133&lt;=$A133),-IFERROR(HLOOKUP("Actual_Commission",CF_Gen_2[#All],MATCH($B133,CF_Gen_2[[#All],[Incurred]],0),0),0)-IFERROR(HLOOKUP("Actual_Acquisition",CF_Gen_2[#All],MATCH($B133,CF_Gen_2[[#All],[Incurred]],0),0),0),0)</f>
        <v>0</v>
      </c>
      <c r="J133" s="27">
        <f>VLOOKUP(L133,ICG[#All],2,0)</f>
        <v>2024</v>
      </c>
      <c r="K133" s="27" t="str">
        <f>VLOOKUP(L133,ICG[#All],3,0)</f>
        <v>RC-Property</v>
      </c>
      <c r="L133" s="27" t="str">
        <f t="shared" si="10"/>
        <v>#2024#RC-Property</v>
      </c>
    </row>
    <row r="134" spans="1:12">
      <c r="A134" s="26">
        <f t="shared" si="8"/>
        <v>45930</v>
      </c>
      <c r="B134" s="26">
        <f t="shared" si="9"/>
        <v>48213</v>
      </c>
      <c r="C134" s="21">
        <f>IFERROR(HLOOKUP("Exp_Premium",CF_Gen_2[#All],MATCH($B134,CF_Gen_2[[#All],[Incurred]],0),0),0)</f>
        <v>151207928.36163607</v>
      </c>
      <c r="D134" s="22">
        <f>IF(AND($J134&lt;YEAR($A134),$B134&lt;=$A134),IFERROR(HLOOKUP("Actual_Premium",CF_Gen_2[#All],MATCH($B134,CF_Gen_2[[#All],[Incurred]],0),0),0),0)</f>
        <v>0</v>
      </c>
      <c r="E134" s="21">
        <f>-IFERROR(HLOOKUP("Exp_Claim",CF_Gen_2[#All],MATCH($B134,CF_Gen_2[[#All],[Incurred]],0),0),0)-IFERROR(HLOOKUP("Exp_NPR",CF_Gen_2[#All],MATCH($B134,CF_Gen_2[[#All],[Incurred]],0),0),0)</f>
        <v>-43958678.602017075</v>
      </c>
      <c r="F134" s="21">
        <f>-IFERROR(HLOOKUP("Exp_RA",CF_Gen_2[#All],MATCH($B134,CF_Gen_2[[#All],[Incurred]],0),0),0)</f>
        <v>-5879247.1381298564</v>
      </c>
      <c r="G134" s="21">
        <f>-IFERROR(HLOOKUP("Exp_Expense",CF_Gen_2[#All],MATCH($B134,CF_Gen_2[[#All],[Incurred]],0),0),0)</f>
        <v>0</v>
      </c>
      <c r="H134" s="21">
        <f>-IFERROR(HLOOKUP("Exp_Commission",CF_Gen_2[#All],MATCH($B134,CF_Gen_2[[#All],[Incurred]],0),0),0)-IFERROR(HLOOKUP("Exp_Acquisition",CF_Gen_2[#All],MATCH($B134,CF_Gen_2[[#All],[Incurred]],0),0),0)</f>
        <v>48255738.885087073</v>
      </c>
      <c r="I134" s="22">
        <f>IF(AND($J134&lt;YEAR($A134),$B134&lt;=$A134),-IFERROR(HLOOKUP("Actual_Commission",CF_Gen_2[#All],MATCH($B134,CF_Gen_2[[#All],[Incurred]],0),0),0)-IFERROR(HLOOKUP("Actual_Acquisition",CF_Gen_2[#All],MATCH($B134,CF_Gen_2[[#All],[Incurred]],0),0),0),0)</f>
        <v>0</v>
      </c>
      <c r="J134" s="27">
        <f>VLOOKUP(L134,ICG[#All],2,0)</f>
        <v>2024</v>
      </c>
      <c r="K134" s="27" t="str">
        <f>VLOOKUP(L134,ICG[#All],3,0)</f>
        <v>RC-Property</v>
      </c>
      <c r="L134" s="27" t="str">
        <f t="shared" si="10"/>
        <v>#2024#RC-Property</v>
      </c>
    </row>
    <row r="135" spans="1:12">
      <c r="A135" s="26">
        <f t="shared" si="8"/>
        <v>45930</v>
      </c>
      <c r="B135" s="26">
        <f t="shared" si="9"/>
        <v>48304</v>
      </c>
      <c r="C135" s="21">
        <f>IFERROR(HLOOKUP("Exp_Premium",CF_Gen_2[#All],MATCH($B135,CF_Gen_2[[#All],[Incurred]],0),0),0)</f>
        <v>136457914.87764654</v>
      </c>
      <c r="D135" s="22">
        <f>IF(AND($J135&lt;YEAR($A135),$B135&lt;=$A135),IFERROR(HLOOKUP("Actual_Premium",CF_Gen_2[#All],MATCH($B135,CF_Gen_2[[#All],[Incurred]],0),0),0),0)</f>
        <v>0</v>
      </c>
      <c r="E135" s="21">
        <f>-IFERROR(HLOOKUP("Exp_Claim",CF_Gen_2[#All],MATCH($B135,CF_Gen_2[[#All],[Incurred]],0),0),0)-IFERROR(HLOOKUP("Exp_NPR",CF_Gen_2[#All],MATCH($B135,CF_Gen_2[[#All],[Incurred]],0),0),0)</f>
        <v>-40266810.632208563</v>
      </c>
      <c r="F135" s="21">
        <f>-IFERROR(HLOOKUP("Exp_RA",CF_Gen_2[#All],MATCH($B135,CF_Gen_2[[#All],[Incurred]],0),0),0)</f>
        <v>-5385478.7882583467</v>
      </c>
      <c r="G135" s="21">
        <f>-IFERROR(HLOOKUP("Exp_Expense",CF_Gen_2[#All],MATCH($B135,CF_Gen_2[[#All],[Incurred]],0),0),0)</f>
        <v>0</v>
      </c>
      <c r="H135" s="21">
        <f>-IFERROR(HLOOKUP("Exp_Commission",CF_Gen_2[#All],MATCH($B135,CF_Gen_2[[#All],[Incurred]],0),0),0)-IFERROR(HLOOKUP("Exp_Acquisition",CF_Gen_2[#All],MATCH($B135,CF_Gen_2[[#All],[Incurred]],0),0),0)</f>
        <v>43509222.270922028</v>
      </c>
      <c r="I135" s="22">
        <f>IF(AND($J135&lt;YEAR($A135),$B135&lt;=$A135),-IFERROR(HLOOKUP("Actual_Commission",CF_Gen_2[#All],MATCH($B135,CF_Gen_2[[#All],[Incurred]],0),0),0)-IFERROR(HLOOKUP("Actual_Acquisition",CF_Gen_2[#All],MATCH($B135,CF_Gen_2[[#All],[Incurred]],0),0),0),0)</f>
        <v>0</v>
      </c>
      <c r="J135" s="27">
        <f>VLOOKUP(L135,ICG[#All],2,0)</f>
        <v>2024</v>
      </c>
      <c r="K135" s="27" t="str">
        <f>VLOOKUP(L135,ICG[#All],3,0)</f>
        <v>RC-Property</v>
      </c>
      <c r="L135" s="27" t="str">
        <f t="shared" si="10"/>
        <v>#2024#RC-Property</v>
      </c>
    </row>
    <row r="136" spans="1:12">
      <c r="A136" s="26">
        <f t="shared" si="8"/>
        <v>45930</v>
      </c>
      <c r="B136" s="26">
        <f t="shared" si="9"/>
        <v>48395</v>
      </c>
      <c r="C136" s="21">
        <f>IFERROR(HLOOKUP("Exp_Premium",CF_Gen_2[#All],MATCH($B136,CF_Gen_2[[#All],[Incurred]],0),0),0)</f>
        <v>123090238.21295127</v>
      </c>
      <c r="D136" s="22">
        <f>IF(AND($J136&lt;YEAR($A136),$B136&lt;=$A136),IFERROR(HLOOKUP("Actual_Premium",CF_Gen_2[#All],MATCH($B136,CF_Gen_2[[#All],[Incurred]],0),0),0),0)</f>
        <v>0</v>
      </c>
      <c r="E136" s="21">
        <f>-IFERROR(HLOOKUP("Exp_Claim",CF_Gen_2[#All],MATCH($B136,CF_Gen_2[[#All],[Incurred]],0),0),0)-IFERROR(HLOOKUP("Exp_NPR",CF_Gen_2[#All],MATCH($B136,CF_Gen_2[[#All],[Incurred]],0),0),0)</f>
        <v>-36876406.653023377</v>
      </c>
      <c r="F136" s="21">
        <f>-IFERROR(HLOOKUP("Exp_RA",CF_Gen_2[#All],MATCH($B136,CF_Gen_2[[#All],[Incurred]],0),0),0)</f>
        <v>-4932029.6963920156</v>
      </c>
      <c r="G136" s="21">
        <f>-IFERROR(HLOOKUP("Exp_Expense",CF_Gen_2[#All],MATCH($B136,CF_Gen_2[[#All],[Incurred]],0),0),0)</f>
        <v>0</v>
      </c>
      <c r="H136" s="21">
        <f>-IFERROR(HLOOKUP("Exp_Commission",CF_Gen_2[#All],MATCH($B136,CF_Gen_2[[#All],[Incurred]],0),0),0)-IFERROR(HLOOKUP("Exp_Acquisition",CF_Gen_2[#All],MATCH($B136,CF_Gen_2[[#All],[Incurred]],0),0),0)</f>
        <v>39210498.379253596</v>
      </c>
      <c r="I136" s="22">
        <f>IF(AND($J136&lt;YEAR($A136),$B136&lt;=$A136),-IFERROR(HLOOKUP("Actual_Commission",CF_Gen_2[#All],MATCH($B136,CF_Gen_2[[#All],[Incurred]],0),0),0)-IFERROR(HLOOKUP("Actual_Acquisition",CF_Gen_2[#All],MATCH($B136,CF_Gen_2[[#All],[Incurred]],0),0),0),0)</f>
        <v>0</v>
      </c>
      <c r="J136" s="27">
        <f>VLOOKUP(L136,ICG[#All],2,0)</f>
        <v>2024</v>
      </c>
      <c r="K136" s="27" t="str">
        <f>VLOOKUP(L136,ICG[#All],3,0)</f>
        <v>RC-Property</v>
      </c>
      <c r="L136" s="27" t="str">
        <f t="shared" si="10"/>
        <v>#2024#RC-Property</v>
      </c>
    </row>
    <row r="137" spans="1:12">
      <c r="A137" s="26">
        <f t="shared" si="8"/>
        <v>45930</v>
      </c>
      <c r="B137" s="26">
        <f t="shared" si="9"/>
        <v>48487</v>
      </c>
      <c r="C137" s="21">
        <f>IFERROR(HLOOKUP("Exp_Premium",CF_Gen_2[#All],MATCH($B137,CF_Gen_2[[#All],[Incurred]],0),0),0)</f>
        <v>110979568.51428518</v>
      </c>
      <c r="D137" s="22">
        <f>IF(AND($J137&lt;YEAR($A137),$B137&lt;=$A137),IFERROR(HLOOKUP("Actual_Premium",CF_Gen_2[#All],MATCH($B137,CF_Gen_2[[#All],[Incurred]],0),0),0),0)</f>
        <v>0</v>
      </c>
      <c r="E137" s="21">
        <f>-IFERROR(HLOOKUP("Exp_Claim",CF_Gen_2[#All],MATCH($B137,CF_Gen_2[[#All],[Incurred]],0),0),0)-IFERROR(HLOOKUP("Exp_NPR",CF_Gen_2[#All],MATCH($B137,CF_Gen_2[[#All],[Incurred]],0),0),0)</f>
        <v>-33763351.858826287</v>
      </c>
      <c r="F137" s="21">
        <f>-IFERROR(HLOOKUP("Exp_RA",CF_Gen_2[#All],MATCH($B137,CF_Gen_2[[#All],[Incurred]],0),0),0)</f>
        <v>-4515674.6313245036</v>
      </c>
      <c r="G137" s="21">
        <f>-IFERROR(HLOOKUP("Exp_Expense",CF_Gen_2[#All],MATCH($B137,CF_Gen_2[[#All],[Incurred]],0),0),0)</f>
        <v>0</v>
      </c>
      <c r="H137" s="21">
        <f>-IFERROR(HLOOKUP("Exp_Commission",CF_Gen_2[#All],MATCH($B137,CF_Gen_2[[#All],[Incurred]],0),0),0)-IFERROR(HLOOKUP("Exp_Acquisition",CF_Gen_2[#All],MATCH($B137,CF_Gen_2[[#All],[Incurred]],0),0),0)</f>
        <v>35318752.814148158</v>
      </c>
      <c r="I137" s="22">
        <f>IF(AND($J137&lt;YEAR($A137),$B137&lt;=$A137),-IFERROR(HLOOKUP("Actual_Commission",CF_Gen_2[#All],MATCH($B137,CF_Gen_2[[#All],[Incurred]],0),0),0)-IFERROR(HLOOKUP("Actual_Acquisition",CF_Gen_2[#All],MATCH($B137,CF_Gen_2[[#All],[Incurred]],0),0),0),0)</f>
        <v>0</v>
      </c>
      <c r="J137" s="27">
        <f>VLOOKUP(L137,ICG[#All],2,0)</f>
        <v>2024</v>
      </c>
      <c r="K137" s="27" t="str">
        <f>VLOOKUP(L137,ICG[#All],3,0)</f>
        <v>RC-Property</v>
      </c>
      <c r="L137" s="27" t="str">
        <f t="shared" si="10"/>
        <v>#2024#RC-Property</v>
      </c>
    </row>
    <row r="138" spans="1:12">
      <c r="A138" s="26">
        <f t="shared" si="8"/>
        <v>45930</v>
      </c>
      <c r="B138" s="26">
        <f t="shared" si="9"/>
        <v>48579</v>
      </c>
      <c r="C138" s="21">
        <f>IFERROR(HLOOKUP("Exp_Premium",CF_Gen_2[#All],MATCH($B138,CF_Gen_2[[#All],[Incurred]],0),0),0)</f>
        <v>100011634.10095003</v>
      </c>
      <c r="D138" s="22">
        <f>IF(AND($J138&lt;YEAR($A138),$B138&lt;=$A138),IFERROR(HLOOKUP("Actual_Premium",CF_Gen_2[#All],MATCH($B138,CF_Gen_2[[#All],[Incurred]],0),0),0),0)</f>
        <v>0</v>
      </c>
      <c r="E138" s="21">
        <f>-IFERROR(HLOOKUP("Exp_Claim",CF_Gen_2[#All],MATCH($B138,CF_Gen_2[[#All],[Incurred]],0),0),0)-IFERROR(HLOOKUP("Exp_NPR",CF_Gen_2[#All],MATCH($B138,CF_Gen_2[[#All],[Incurred]],0),0),0)</f>
        <v>-30905430.343216974</v>
      </c>
      <c r="F138" s="21">
        <f>-IFERROR(HLOOKUP("Exp_RA",CF_Gen_2[#All],MATCH($B138,CF_Gen_2[[#All],[Incurred]],0),0),0)</f>
        <v>-4133442.3298541224</v>
      </c>
      <c r="G138" s="21">
        <f>-IFERROR(HLOOKUP("Exp_Expense",CF_Gen_2[#All],MATCH($B138,CF_Gen_2[[#All],[Incurred]],0),0),0)</f>
        <v>0</v>
      </c>
      <c r="H138" s="21">
        <f>-IFERROR(HLOOKUP("Exp_Commission",CF_Gen_2[#All],MATCH($B138,CF_Gen_2[[#All],[Incurred]],0),0),0)-IFERROR(HLOOKUP("Exp_Acquisition",CF_Gen_2[#All],MATCH($B138,CF_Gen_2[[#All],[Incurred]],0),0),0)</f>
        <v>31796787.704996075</v>
      </c>
      <c r="I138" s="22">
        <f>IF(AND($J138&lt;YEAR($A138),$B138&lt;=$A138),-IFERROR(HLOOKUP("Actual_Commission",CF_Gen_2[#All],MATCH($B138,CF_Gen_2[[#All],[Incurred]],0),0),0)-IFERROR(HLOOKUP("Actual_Acquisition",CF_Gen_2[#All],MATCH($B138,CF_Gen_2[[#All],[Incurred]],0),0),0),0)</f>
        <v>0</v>
      </c>
      <c r="J138" s="27">
        <f>VLOOKUP(L138,ICG[#All],2,0)</f>
        <v>2024</v>
      </c>
      <c r="K138" s="27" t="str">
        <f>VLOOKUP(L138,ICG[#All],3,0)</f>
        <v>RC-Property</v>
      </c>
      <c r="L138" s="27" t="str">
        <f t="shared" si="10"/>
        <v>#2024#RC-Property</v>
      </c>
    </row>
    <row r="139" spans="1:12">
      <c r="A139" s="26">
        <f t="shared" ref="A139:A170" si="11">ValuationDate</f>
        <v>45930</v>
      </c>
      <c r="B139" s="26">
        <f t="shared" si="9"/>
        <v>48669</v>
      </c>
      <c r="C139" s="21">
        <f>IFERROR(HLOOKUP("Exp_Premium",CF_Gen_2[#All],MATCH($B139,CF_Gen_2[[#All],[Incurred]],0),0),0)</f>
        <v>90082267.455889702</v>
      </c>
      <c r="D139" s="22">
        <f>IF(AND($J139&lt;YEAR($A139),$B139&lt;=$A139),IFERROR(HLOOKUP("Actual_Premium",CF_Gen_2[#All],MATCH($B139,CF_Gen_2[[#All],[Incurred]],0),0),0),0)</f>
        <v>0</v>
      </c>
      <c r="E139" s="21">
        <f>-IFERROR(HLOOKUP("Exp_Claim",CF_Gen_2[#All],MATCH($B139,CF_Gen_2[[#All],[Incurred]],0),0),0)-IFERROR(HLOOKUP("Exp_NPR",CF_Gen_2[#All],MATCH($B139,CF_Gen_2[[#All],[Incurred]],0),0),0)</f>
        <v>-28282177.415684715</v>
      </c>
      <c r="F139" s="21">
        <f>-IFERROR(HLOOKUP("Exp_RA",CF_Gen_2[#All],MATCH($B139,CF_Gen_2[[#All],[Incurred]],0),0),0)</f>
        <v>-3782595.7448961041</v>
      </c>
      <c r="G139" s="21">
        <f>-IFERROR(HLOOKUP("Exp_Expense",CF_Gen_2[#All],MATCH($B139,CF_Gen_2[[#All],[Incurred]],0),0),0)</f>
        <v>0</v>
      </c>
      <c r="H139" s="21">
        <f>-IFERROR(HLOOKUP("Exp_Commission",CF_Gen_2[#All],MATCH($B139,CF_Gen_2[[#All],[Incurred]],0),0),0)-IFERROR(HLOOKUP("Exp_Acquisition",CF_Gen_2[#All],MATCH($B139,CF_Gen_2[[#All],[Incurred]],0),0),0)</f>
        <v>28610708.614910107</v>
      </c>
      <c r="I139" s="22">
        <f>IF(AND($J139&lt;YEAR($A139),$B139&lt;=$A139),-IFERROR(HLOOKUP("Actual_Commission",CF_Gen_2[#All],MATCH($B139,CF_Gen_2[[#All],[Incurred]],0),0),0)-IFERROR(HLOOKUP("Actual_Acquisition",CF_Gen_2[#All],MATCH($B139,CF_Gen_2[[#All],[Incurred]],0),0),0),0)</f>
        <v>0</v>
      </c>
      <c r="J139" s="27">
        <f>VLOOKUP(L139,ICG[#All],2,0)</f>
        <v>2024</v>
      </c>
      <c r="K139" s="27" t="str">
        <f>VLOOKUP(L139,ICG[#All],3,0)</f>
        <v>RC-Property</v>
      </c>
      <c r="L139" s="27" t="str">
        <f t="shared" si="10"/>
        <v>#2024#RC-Property</v>
      </c>
    </row>
    <row r="140" spans="1:12">
      <c r="A140" s="26">
        <f t="shared" si="11"/>
        <v>45930</v>
      </c>
      <c r="B140" s="26">
        <f t="shared" ref="B140:B171" si="12">EOMONTH(B139,3)</f>
        <v>48760</v>
      </c>
      <c r="C140" s="21">
        <f>IFERROR(HLOOKUP("Exp_Premium",CF_Gen_2[#All],MATCH($B140,CF_Gen_2[[#All],[Incurred]],0),0),0)</f>
        <v>81096531.991642147</v>
      </c>
      <c r="D140" s="22">
        <f>IF(AND($J140&lt;YEAR($A140),$B140&lt;=$A140),IFERROR(HLOOKUP("Actual_Premium",CF_Gen_2[#All],MATCH($B140,CF_Gen_2[[#All],[Incurred]],0),0),0),0)</f>
        <v>0</v>
      </c>
      <c r="E140" s="21">
        <f>-IFERROR(HLOOKUP("Exp_Claim",CF_Gen_2[#All],MATCH($B140,CF_Gen_2[[#All],[Incurred]],0),0),0)-IFERROR(HLOOKUP("Exp_NPR",CF_Gen_2[#All],MATCH($B140,CF_Gen_2[[#All],[Incurred]],0),0),0)</f>
        <v>-25874743.289325207</v>
      </c>
      <c r="F140" s="21">
        <f>-IFERROR(HLOOKUP("Exp_RA",CF_Gen_2[#All],MATCH($B140,CF_Gen_2[[#All],[Incurred]],0),0),0)</f>
        <v>-3460613.8144159229</v>
      </c>
      <c r="G140" s="21">
        <f>-IFERROR(HLOOKUP("Exp_Expense",CF_Gen_2[#All],MATCH($B140,CF_Gen_2[[#All],[Incurred]],0),0),0)</f>
        <v>0</v>
      </c>
      <c r="H140" s="21">
        <f>-IFERROR(HLOOKUP("Exp_Commission",CF_Gen_2[#All],MATCH($B140,CF_Gen_2[[#All],[Incurred]],0),0),0)-IFERROR(HLOOKUP("Exp_Acquisition",CF_Gen_2[#All],MATCH($B140,CF_Gen_2[[#All],[Incurred]],0),0),0)</f>
        <v>25729638.034775667</v>
      </c>
      <c r="I140" s="22">
        <f>IF(AND($J140&lt;YEAR($A140),$B140&lt;=$A140),-IFERROR(HLOOKUP("Actual_Commission",CF_Gen_2[#All],MATCH($B140,CF_Gen_2[[#All],[Incurred]],0),0),0)-IFERROR(HLOOKUP("Actual_Acquisition",CF_Gen_2[#All],MATCH($B140,CF_Gen_2[[#All],[Incurred]],0),0),0),0)</f>
        <v>0</v>
      </c>
      <c r="J140" s="27">
        <f>VLOOKUP(L140,ICG[#All],2,0)</f>
        <v>2024</v>
      </c>
      <c r="K140" s="27" t="str">
        <f>VLOOKUP(L140,ICG[#All],3,0)</f>
        <v>RC-Property</v>
      </c>
      <c r="L140" s="27" t="str">
        <f t="shared" si="10"/>
        <v>#2024#RC-Property</v>
      </c>
    </row>
    <row r="141" spans="1:12">
      <c r="A141" s="26">
        <f t="shared" si="11"/>
        <v>45930</v>
      </c>
      <c r="B141" s="26">
        <f t="shared" si="12"/>
        <v>48852</v>
      </c>
      <c r="C141" s="21">
        <f>IFERROR(HLOOKUP("Exp_Premium",CF_Gen_2[#All],MATCH($B141,CF_Gen_2[[#All],[Incurred]],0),0),0)</f>
        <v>72967922.859422371</v>
      </c>
      <c r="D141" s="22">
        <f>IF(AND($J141&lt;YEAR($A141),$B141&lt;=$A141),IFERROR(HLOOKUP("Actual_Premium",CF_Gen_2[#All],MATCH($B141,CF_Gen_2[[#All],[Incurred]],0),0),0),0)</f>
        <v>0</v>
      </c>
      <c r="E141" s="21">
        <f>-IFERROR(HLOOKUP("Exp_Claim",CF_Gen_2[#All],MATCH($B141,CF_Gen_2[[#All],[Incurred]],0),0),0)-IFERROR(HLOOKUP("Exp_NPR",CF_Gen_2[#All],MATCH($B141,CF_Gen_2[[#All],[Incurred]],0),0),0)</f>
        <v>-23665767.271319184</v>
      </c>
      <c r="F141" s="21">
        <f>-IFERROR(HLOOKUP("Exp_RA",CF_Gen_2[#All],MATCH($B141,CF_Gen_2[[#All],[Incurred]],0),0),0)</f>
        <v>-3165174.6350529771</v>
      </c>
      <c r="G141" s="21">
        <f>-IFERROR(HLOOKUP("Exp_Expense",CF_Gen_2[#All],MATCH($B141,CF_Gen_2[[#All],[Incurred]],0),0),0)</f>
        <v>0</v>
      </c>
      <c r="H141" s="21">
        <f>-IFERROR(HLOOKUP("Exp_Commission",CF_Gen_2[#All],MATCH($B141,CF_Gen_2[[#All],[Incurred]],0),0),0)-IFERROR(HLOOKUP("Exp_Acquisition",CF_Gen_2[#All],MATCH($B141,CF_Gen_2[[#All],[Incurred]],0),0),0)</f>
        <v>23125453.241944369</v>
      </c>
      <c r="I141" s="22">
        <f>IF(AND($J141&lt;YEAR($A141),$B141&lt;=$A141),-IFERROR(HLOOKUP("Actual_Commission",CF_Gen_2[#All],MATCH($B141,CF_Gen_2[[#All],[Incurred]],0),0),0)-IFERROR(HLOOKUP("Actual_Acquisition",CF_Gen_2[#All],MATCH($B141,CF_Gen_2[[#All],[Incurred]],0),0),0),0)</f>
        <v>0</v>
      </c>
      <c r="J141" s="27">
        <f>VLOOKUP(L141,ICG[#All],2,0)</f>
        <v>2024</v>
      </c>
      <c r="K141" s="27" t="str">
        <f>VLOOKUP(L141,ICG[#All],3,0)</f>
        <v>RC-Property</v>
      </c>
      <c r="L141" s="27" t="str">
        <f t="shared" si="10"/>
        <v>#2024#RC-Property</v>
      </c>
    </row>
    <row r="142" spans="1:12">
      <c r="A142" s="26">
        <f t="shared" si="11"/>
        <v>45930</v>
      </c>
      <c r="B142" s="26">
        <f t="shared" si="12"/>
        <v>48944</v>
      </c>
      <c r="C142" s="21">
        <f>IFERROR(HLOOKUP("Exp_Premium",CF_Gen_2[#All],MATCH($B142,CF_Gen_2[[#All],[Incurred]],0),0),0)</f>
        <v>65617635.623091668</v>
      </c>
      <c r="D142" s="22">
        <f>IF(AND($J142&lt;YEAR($A142),$B142&lt;=$A142),IFERROR(HLOOKUP("Actual_Premium",CF_Gen_2[#All],MATCH($B142,CF_Gen_2[[#All],[Incurred]],0),0),0),0)</f>
        <v>0</v>
      </c>
      <c r="E142" s="21">
        <f>-IFERROR(HLOOKUP("Exp_Claim",CF_Gen_2[#All],MATCH($B142,CF_Gen_2[[#All],[Incurred]],0),0),0)-IFERROR(HLOOKUP("Exp_NPR",CF_Gen_2[#All],MATCH($B142,CF_Gen_2[[#All],[Incurred]],0),0),0)</f>
        <v>-21639261.653716307</v>
      </c>
      <c r="F142" s="21">
        <f>-IFERROR(HLOOKUP("Exp_RA",CF_Gen_2[#All],MATCH($B142,CF_Gen_2[[#All],[Incurred]],0),0),0)</f>
        <v>-2894139.9331102055</v>
      </c>
      <c r="G142" s="21">
        <f>-IFERROR(HLOOKUP("Exp_Expense",CF_Gen_2[#All],MATCH($B142,CF_Gen_2[[#All],[Incurred]],0),0),0)</f>
        <v>0</v>
      </c>
      <c r="H142" s="21">
        <f>-IFERROR(HLOOKUP("Exp_Commission",CF_Gen_2[#All],MATCH($B142,CF_Gen_2[[#All],[Incurred]],0),0),0)-IFERROR(HLOOKUP("Exp_Acquisition",CF_Gen_2[#All],MATCH($B142,CF_Gen_2[[#All],[Incurred]],0),0),0)</f>
        <v>20772546.485555623</v>
      </c>
      <c r="I142" s="22">
        <f>IF(AND($J142&lt;YEAR($A142),$B142&lt;=$A142),-IFERROR(HLOOKUP("Actual_Commission",CF_Gen_2[#All],MATCH($B142,CF_Gen_2[[#All],[Incurred]],0),0),0)-IFERROR(HLOOKUP("Actual_Acquisition",CF_Gen_2[#All],MATCH($B142,CF_Gen_2[[#All],[Incurred]],0),0),0),0)</f>
        <v>0</v>
      </c>
      <c r="J142" s="27">
        <f>VLOOKUP(L142,ICG[#All],2,0)</f>
        <v>2024</v>
      </c>
      <c r="K142" s="27" t="str">
        <f>VLOOKUP(L142,ICG[#All],3,0)</f>
        <v>RC-Property</v>
      </c>
      <c r="L142" s="27" t="str">
        <f t="shared" si="10"/>
        <v>#2024#RC-Property</v>
      </c>
    </row>
    <row r="143" spans="1:12">
      <c r="A143" s="26">
        <f t="shared" si="11"/>
        <v>45930</v>
      </c>
      <c r="B143" s="26">
        <f t="shared" si="12"/>
        <v>49034</v>
      </c>
      <c r="C143" s="21">
        <f>IFERROR(HLOOKUP("Exp_Premium",CF_Gen_2[#All],MATCH($B143,CF_Gen_2[[#All],[Incurred]],0),0),0)</f>
        <v>58973897.128283806</v>
      </c>
      <c r="D143" s="22">
        <f>IF(AND($J143&lt;YEAR($A143),$B143&lt;=$A143),IFERROR(HLOOKUP("Actual_Premium",CF_Gen_2[#All],MATCH($B143,CF_Gen_2[[#All],[Incurred]],0),0),0),0)</f>
        <v>0</v>
      </c>
      <c r="E143" s="21">
        <f>-IFERROR(HLOOKUP("Exp_Claim",CF_Gen_2[#All],MATCH($B143,CF_Gen_2[[#All],[Incurred]],0),0),0)-IFERROR(HLOOKUP("Exp_NPR",CF_Gen_2[#All],MATCH($B143,CF_Gen_2[[#All],[Incurred]],0),0),0)</f>
        <v>-19780504.562948365</v>
      </c>
      <c r="F143" s="21">
        <f>-IFERROR(HLOOKUP("Exp_RA",CF_Gen_2[#All],MATCH($B143,CF_Gen_2[[#All],[Incurred]],0),0),0)</f>
        <v>-2645540.7337276624</v>
      </c>
      <c r="G143" s="21">
        <f>-IFERROR(HLOOKUP("Exp_Expense",CF_Gen_2[#All],MATCH($B143,CF_Gen_2[[#All],[Incurred]],0),0),0)</f>
        <v>0</v>
      </c>
      <c r="H143" s="21">
        <f>-IFERROR(HLOOKUP("Exp_Commission",CF_Gen_2[#All],MATCH($B143,CF_Gen_2[[#All],[Incurred]],0),0),0)-IFERROR(HLOOKUP("Exp_Acquisition",CF_Gen_2[#All],MATCH($B143,CF_Gen_2[[#All],[Incurred]],0),0),0)</f>
        <v>18647605.628565177</v>
      </c>
      <c r="I143" s="22">
        <f>IF(AND($J143&lt;YEAR($A143),$B143&lt;=$A143),-IFERROR(HLOOKUP("Actual_Commission",CF_Gen_2[#All],MATCH($B143,CF_Gen_2[[#All],[Incurred]],0),0),0)-IFERROR(HLOOKUP("Actual_Acquisition",CF_Gen_2[#All],MATCH($B143,CF_Gen_2[[#All],[Incurred]],0),0),0),0)</f>
        <v>0</v>
      </c>
      <c r="J143" s="27">
        <f>VLOOKUP(L143,ICG[#All],2,0)</f>
        <v>2024</v>
      </c>
      <c r="K143" s="27" t="str">
        <f>VLOOKUP(L143,ICG[#All],3,0)</f>
        <v>RC-Property</v>
      </c>
      <c r="L143" s="27" t="str">
        <f t="shared" si="10"/>
        <v>#2024#RC-Property</v>
      </c>
    </row>
    <row r="144" spans="1:12">
      <c r="A144" s="26">
        <f t="shared" si="11"/>
        <v>45930</v>
      </c>
      <c r="B144" s="26">
        <f t="shared" si="12"/>
        <v>49125</v>
      </c>
      <c r="C144" s="21">
        <f>IFERROR(HLOOKUP("Exp_Premium",CF_Gen_2[#All],MATCH($B144,CF_Gen_2[[#All],[Incurred]],0),0),0)</f>
        <v>52971353.364112265</v>
      </c>
      <c r="D144" s="22">
        <f>IF(AND($J144&lt;YEAR($A144),$B144&lt;=$A144),IFERROR(HLOOKUP("Actual_Premium",CF_Gen_2[#All],MATCH($B144,CF_Gen_2[[#All],[Incurred]],0),0),0),0)</f>
        <v>0</v>
      </c>
      <c r="E144" s="21">
        <f>-IFERROR(HLOOKUP("Exp_Claim",CF_Gen_2[#All],MATCH($B144,CF_Gen_2[[#All],[Incurred]],0),0),0)-IFERROR(HLOOKUP("Exp_NPR",CF_Gen_2[#All],MATCH($B144,CF_Gen_2[[#All],[Incurred]],0),0),0)</f>
        <v>-18075941.082784727</v>
      </c>
      <c r="F144" s="21">
        <f>-IFERROR(HLOOKUP("Exp_RA",CF_Gen_2[#All],MATCH($B144,CF_Gen_2[[#All],[Incurred]],0),0),0)</f>
        <v>-2417564.1365864347</v>
      </c>
      <c r="G144" s="21">
        <f>-IFERROR(HLOOKUP("Exp_Expense",CF_Gen_2[#All],MATCH($B144,CF_Gen_2[[#All],[Incurred]],0),0),0)</f>
        <v>0</v>
      </c>
      <c r="H144" s="21">
        <f>-IFERROR(HLOOKUP("Exp_Commission",CF_Gen_2[#All],MATCH($B144,CF_Gen_2[[#All],[Incurred]],0),0),0)-IFERROR(HLOOKUP("Exp_Acquisition",CF_Gen_2[#All],MATCH($B144,CF_Gen_2[[#All],[Incurred]],0),0),0)</f>
        <v>16729413.530956322</v>
      </c>
      <c r="I144" s="22">
        <f>IF(AND($J144&lt;YEAR($A144),$B144&lt;=$A144),-IFERROR(HLOOKUP("Actual_Commission",CF_Gen_2[#All],MATCH($B144,CF_Gen_2[[#All],[Incurred]],0),0),0)-IFERROR(HLOOKUP("Actual_Acquisition",CF_Gen_2[#All],MATCH($B144,CF_Gen_2[[#All],[Incurred]],0),0),0),0)</f>
        <v>0</v>
      </c>
      <c r="J144" s="27">
        <f>VLOOKUP(L144,ICG[#All],2,0)</f>
        <v>2024</v>
      </c>
      <c r="K144" s="27" t="str">
        <f>VLOOKUP(L144,ICG[#All],3,0)</f>
        <v>RC-Property</v>
      </c>
      <c r="L144" s="27" t="str">
        <f t="shared" si="10"/>
        <v>#2024#RC-Property</v>
      </c>
    </row>
    <row r="145" spans="1:12">
      <c r="A145" s="26">
        <f t="shared" si="11"/>
        <v>45930</v>
      </c>
      <c r="B145" s="26">
        <f t="shared" si="12"/>
        <v>49217</v>
      </c>
      <c r="C145" s="21">
        <f>IFERROR(HLOOKUP("Exp_Premium",CF_Gen_2[#All],MATCH($B145,CF_Gen_2[[#All],[Incurred]],0),0),0)</f>
        <v>47550509.54399839</v>
      </c>
      <c r="D145" s="22">
        <f>IF(AND($J145&lt;YEAR($A145),$B145&lt;=$A145),IFERROR(HLOOKUP("Actual_Premium",CF_Gen_2[#All],MATCH($B145,CF_Gen_2[[#All],[Incurred]],0),0),0),0)</f>
        <v>0</v>
      </c>
      <c r="E145" s="21">
        <f>-IFERROR(HLOOKUP("Exp_Claim",CF_Gen_2[#All],MATCH($B145,CF_Gen_2[[#All],[Incurred]],0),0),0)-IFERROR(HLOOKUP("Exp_NPR",CF_Gen_2[#All],MATCH($B145,CF_Gen_2[[#All],[Incurred]],0),0),0)</f>
        <v>-16513092.017485555</v>
      </c>
      <c r="F145" s="21">
        <f>-IFERROR(HLOOKUP("Exp_RA",CF_Gen_2[#All],MATCH($B145,CF_Gen_2[[#All],[Incurred]],0),0),0)</f>
        <v>-2208541.1134497141</v>
      </c>
      <c r="G145" s="21">
        <f>-IFERROR(HLOOKUP("Exp_Expense",CF_Gen_2[#All],MATCH($B145,CF_Gen_2[[#All],[Incurred]],0),0),0)</f>
        <v>0</v>
      </c>
      <c r="H145" s="21">
        <f>-IFERROR(HLOOKUP("Exp_Commission",CF_Gen_2[#All],MATCH($B145,CF_Gen_2[[#All],[Incurred]],0),0),0)-IFERROR(HLOOKUP("Exp_Acquisition",CF_Gen_2[#All],MATCH($B145,CF_Gen_2[[#All],[Incurred]],0),0),0)</f>
        <v>14998664.600412138</v>
      </c>
      <c r="I145" s="22">
        <f>IF(AND($J145&lt;YEAR($A145),$B145&lt;=$A145),-IFERROR(HLOOKUP("Actual_Commission",CF_Gen_2[#All],MATCH($B145,CF_Gen_2[[#All],[Incurred]],0),0),0)-IFERROR(HLOOKUP("Actual_Acquisition",CF_Gen_2[#All],MATCH($B145,CF_Gen_2[[#All],[Incurred]],0),0),0),0)</f>
        <v>0</v>
      </c>
      <c r="J145" s="27">
        <f>VLOOKUP(L145,ICG[#All],2,0)</f>
        <v>2024</v>
      </c>
      <c r="K145" s="27" t="str">
        <f>VLOOKUP(L145,ICG[#All],3,0)</f>
        <v>RC-Property</v>
      </c>
      <c r="L145" s="27" t="str">
        <f t="shared" si="10"/>
        <v>#2024#RC-Property</v>
      </c>
    </row>
    <row r="146" spans="1:12">
      <c r="A146" s="26">
        <f t="shared" si="11"/>
        <v>45930</v>
      </c>
      <c r="B146" s="26">
        <f t="shared" si="12"/>
        <v>49309</v>
      </c>
      <c r="C146" s="21">
        <f>IFERROR(HLOOKUP("Exp_Premium",CF_Gen_2[#All],MATCH($B146,CF_Gen_2[[#All],[Incurred]],0),0),0)</f>
        <v>42657218.026308388</v>
      </c>
      <c r="D146" s="22">
        <f>IF(AND($J146&lt;YEAR($A146),$B146&lt;=$A146),IFERROR(HLOOKUP("Actual_Premium",CF_Gen_2[#All],MATCH($B146,CF_Gen_2[[#All],[Incurred]],0),0),0),0)</f>
        <v>0</v>
      </c>
      <c r="E146" s="21">
        <f>-IFERROR(HLOOKUP("Exp_Claim",CF_Gen_2[#All],MATCH($B146,CF_Gen_2[[#All],[Incurred]],0),0),0)-IFERROR(HLOOKUP("Exp_NPR",CF_Gen_2[#All],MATCH($B146,CF_Gen_2[[#All],[Incurred]],0),0),0)</f>
        <v>-15080469.710022619</v>
      </c>
      <c r="F146" s="21">
        <f>-IFERROR(HLOOKUP("Exp_RA",CF_Gen_2[#All],MATCH($B146,CF_Gen_2[[#All],[Incurred]],0),0),0)</f>
        <v>-2016935.2492828607</v>
      </c>
      <c r="G146" s="21">
        <f>-IFERROR(HLOOKUP("Exp_Expense",CF_Gen_2[#All],MATCH($B146,CF_Gen_2[[#All],[Incurred]],0),0),0)</f>
        <v>0</v>
      </c>
      <c r="H146" s="21">
        <f>-IFERROR(HLOOKUP("Exp_Commission",CF_Gen_2[#All],MATCH($B146,CF_Gen_2[[#All],[Incurred]],0),0),0)-IFERROR(HLOOKUP("Exp_Acquisition",CF_Gen_2[#All],MATCH($B146,CF_Gen_2[[#All],[Incurred]],0),0),0)</f>
        <v>13437797.066953292</v>
      </c>
      <c r="I146" s="22">
        <f>IF(AND($J146&lt;YEAR($A146),$B146&lt;=$A146),-IFERROR(HLOOKUP("Actual_Commission",CF_Gen_2[#All],MATCH($B146,CF_Gen_2[[#All],[Incurred]],0),0),0)-IFERROR(HLOOKUP("Actual_Acquisition",CF_Gen_2[#All],MATCH($B146,CF_Gen_2[[#All],[Incurred]],0),0),0),0)</f>
        <v>0</v>
      </c>
      <c r="J146" s="27">
        <f>VLOOKUP(L146,ICG[#All],2,0)</f>
        <v>2024</v>
      </c>
      <c r="K146" s="27" t="str">
        <f>VLOOKUP(L146,ICG[#All],3,0)</f>
        <v>RC-Property</v>
      </c>
      <c r="L146" s="27" t="str">
        <f t="shared" si="10"/>
        <v>#2024#RC-Property</v>
      </c>
    </row>
    <row r="147" spans="1:12">
      <c r="A147" s="26">
        <f t="shared" si="11"/>
        <v>45930</v>
      </c>
      <c r="B147" s="26">
        <f t="shared" si="12"/>
        <v>49399</v>
      </c>
      <c r="C147" s="21">
        <f>IFERROR(HLOOKUP("Exp_Premium",CF_Gen_2[#All],MATCH($B147,CF_Gen_2[[#All],[Incurred]],0),0),0)</f>
        <v>38242210.057485014</v>
      </c>
      <c r="D147" s="22">
        <f>IF(AND($J147&lt;YEAR($A147),$B147&lt;=$A147),IFERROR(HLOOKUP("Actual_Premium",CF_Gen_2[#All],MATCH($B147,CF_Gen_2[[#All],[Incurred]],0),0),0),0)</f>
        <v>0</v>
      </c>
      <c r="E147" s="21">
        <f>-IFERROR(HLOOKUP("Exp_Claim",CF_Gen_2[#All],MATCH($B147,CF_Gen_2[[#All],[Incurred]],0),0),0)-IFERROR(HLOOKUP("Exp_NPR",CF_Gen_2[#All],MATCH($B147,CF_Gen_2[[#All],[Incurred]],0),0),0)</f>
        <v>-13767500.374718813</v>
      </c>
      <c r="F147" s="21">
        <f>-IFERROR(HLOOKUP("Exp_RA",CF_Gen_2[#All],MATCH($B147,CF_Gen_2[[#All],[Incurred]],0),0),0)</f>
        <v>-1841332.3546434627</v>
      </c>
      <c r="G147" s="21">
        <f>-IFERROR(HLOOKUP("Exp_Expense",CF_Gen_2[#All],MATCH($B147,CF_Gen_2[[#All],[Incurred]],0),0),0)</f>
        <v>0</v>
      </c>
      <c r="H147" s="21">
        <f>-IFERROR(HLOOKUP("Exp_Commission",CF_Gen_2[#All],MATCH($B147,CF_Gen_2[[#All],[Incurred]],0),0),0)-IFERROR(HLOOKUP("Exp_Acquisition",CF_Gen_2[#All],MATCH($B147,CF_Gen_2[[#All],[Incurred]],0),0),0)</f>
        <v>12030839.657629749</v>
      </c>
      <c r="I147" s="22">
        <f>IF(AND($J147&lt;YEAR($A147),$B147&lt;=$A147),-IFERROR(HLOOKUP("Actual_Commission",CF_Gen_2[#All],MATCH($B147,CF_Gen_2[[#All],[Incurred]],0),0),0)-IFERROR(HLOOKUP("Actual_Acquisition",CF_Gen_2[#All],MATCH($B147,CF_Gen_2[[#All],[Incurred]],0),0),0),0)</f>
        <v>0</v>
      </c>
      <c r="J147" s="27">
        <f>VLOOKUP(L147,ICG[#All],2,0)</f>
        <v>2024</v>
      </c>
      <c r="K147" s="27" t="str">
        <f>VLOOKUP(L147,ICG[#All],3,0)</f>
        <v>RC-Property</v>
      </c>
      <c r="L147" s="27" t="str">
        <f t="shared" si="10"/>
        <v>#2024#RC-Property</v>
      </c>
    </row>
    <row r="148" spans="1:12">
      <c r="A148" s="26">
        <f t="shared" si="11"/>
        <v>45930</v>
      </c>
      <c r="B148" s="26">
        <f t="shared" si="12"/>
        <v>49490</v>
      </c>
      <c r="C148" s="21">
        <f>IFERROR(HLOOKUP("Exp_Premium",CF_Gen_2[#All],MATCH($B148,CF_Gen_2[[#All],[Incurred]],0),0),0)</f>
        <v>34260667.652802736</v>
      </c>
      <c r="D148" s="22">
        <f>IF(AND($J148&lt;YEAR($A148),$B148&lt;=$A148),IFERROR(HLOOKUP("Actual_Premium",CF_Gen_2[#All],MATCH($B148,CF_Gen_2[[#All],[Incurred]],0),0),0),0)</f>
        <v>0</v>
      </c>
      <c r="E148" s="21">
        <f>-IFERROR(HLOOKUP("Exp_Claim",CF_Gen_2[#All],MATCH($B148,CF_Gen_2[[#All],[Incurred]],0),0),0)-IFERROR(HLOOKUP("Exp_NPR",CF_Gen_2[#All],MATCH($B148,CF_Gen_2[[#All],[Incurred]],0),0),0)</f>
        <v>-12564452.444778429</v>
      </c>
      <c r="F148" s="21">
        <f>-IFERROR(HLOOKUP("Exp_RA",CF_Gen_2[#All],MATCH($B148,CF_Gen_2[[#All],[Incurred]],0),0),0)</f>
        <v>-1680430.8825320946</v>
      </c>
      <c r="G148" s="21">
        <f>-IFERROR(HLOOKUP("Exp_Expense",CF_Gen_2[#All],MATCH($B148,CF_Gen_2[[#All],[Incurred]],0),0),0)</f>
        <v>0</v>
      </c>
      <c r="H148" s="21">
        <f>-IFERROR(HLOOKUP("Exp_Commission",CF_Gen_2[#All],MATCH($B148,CF_Gen_2[[#All],[Incurred]],0),0),0)-IFERROR(HLOOKUP("Exp_Acquisition",CF_Gen_2[#All],MATCH($B148,CF_Gen_2[[#All],[Incurred]],0),0),0)</f>
        <v>10763271.457156997</v>
      </c>
      <c r="I148" s="22">
        <f>IF(AND($J148&lt;YEAR($A148),$B148&lt;=$A148),-IFERROR(HLOOKUP("Actual_Commission",CF_Gen_2[#All],MATCH($B148,CF_Gen_2[[#All],[Incurred]],0),0),0)-IFERROR(HLOOKUP("Actual_Acquisition",CF_Gen_2[#All],MATCH($B148,CF_Gen_2[[#All],[Incurred]],0),0),0),0)</f>
        <v>0</v>
      </c>
      <c r="J148" s="27">
        <f>VLOOKUP(L148,ICG[#All],2,0)</f>
        <v>2024</v>
      </c>
      <c r="K148" s="27" t="str">
        <f>VLOOKUP(L148,ICG[#All],3,0)</f>
        <v>RC-Property</v>
      </c>
      <c r="L148" s="27" t="str">
        <f t="shared" si="10"/>
        <v>#2024#RC-Property</v>
      </c>
    </row>
    <row r="149" spans="1:12">
      <c r="A149" s="26">
        <f t="shared" si="11"/>
        <v>45930</v>
      </c>
      <c r="B149" s="26">
        <f t="shared" si="12"/>
        <v>49582</v>
      </c>
      <c r="C149" s="21">
        <f>IFERROR(HLOOKUP("Exp_Premium",CF_Gen_2[#All],MATCH($B149,CF_Gen_2[[#All],[Incurred]],0),0),0)</f>
        <v>30671832.235150605</v>
      </c>
      <c r="D149" s="22">
        <f>IF(AND($J149&lt;YEAR($A149),$B149&lt;=$A149),IFERROR(HLOOKUP("Actual_Premium",CF_Gen_2[#All],MATCH($B149,CF_Gen_2[[#All],[Incurred]],0),0),0),0)</f>
        <v>0</v>
      </c>
      <c r="E149" s="21">
        <f>-IFERROR(HLOOKUP("Exp_Claim",CF_Gen_2[#All],MATCH($B149,CF_Gen_2[[#All],[Incurred]],0),0),0)-IFERROR(HLOOKUP("Exp_NPR",CF_Gen_2[#All],MATCH($B149,CF_Gen_2[[#All],[Incurred]],0),0),0)</f>
        <v>-11462370.473193578</v>
      </c>
      <c r="F149" s="21">
        <f>-IFERROR(HLOOKUP("Exp_RA",CF_Gen_2[#All],MATCH($B149,CF_Gen_2[[#All],[Incurred]],0),0),0)</f>
        <v>-1533033.0879785651</v>
      </c>
      <c r="G149" s="21">
        <f>-IFERROR(HLOOKUP("Exp_Expense",CF_Gen_2[#All],MATCH($B149,CF_Gen_2[[#All],[Incurred]],0),0),0)</f>
        <v>0</v>
      </c>
      <c r="H149" s="21">
        <f>-IFERROR(HLOOKUP("Exp_Commission",CF_Gen_2[#All],MATCH($B149,CF_Gen_2[[#All],[Incurred]],0),0),0)-IFERROR(HLOOKUP("Exp_Acquisition",CF_Gen_2[#All],MATCH($B149,CF_Gen_2[[#All],[Incurred]],0),0),0)</f>
        <v>9621893.8411994595</v>
      </c>
      <c r="I149" s="22">
        <f>IF(AND($J149&lt;YEAR($A149),$B149&lt;=$A149),-IFERROR(HLOOKUP("Actual_Commission",CF_Gen_2[#All],MATCH($B149,CF_Gen_2[[#All],[Incurred]],0),0),0)-IFERROR(HLOOKUP("Actual_Acquisition",CF_Gen_2[#All],MATCH($B149,CF_Gen_2[[#All],[Incurred]],0),0),0),0)</f>
        <v>0</v>
      </c>
      <c r="J149" s="27">
        <f>VLOOKUP(L149,ICG[#All],2,0)</f>
        <v>2024</v>
      </c>
      <c r="K149" s="27" t="str">
        <f>VLOOKUP(L149,ICG[#All],3,0)</f>
        <v>RC-Property</v>
      </c>
      <c r="L149" s="27" t="str">
        <f t="shared" si="10"/>
        <v>#2024#RC-Property</v>
      </c>
    </row>
    <row r="150" spans="1:12">
      <c r="A150" s="26">
        <f t="shared" si="11"/>
        <v>45930</v>
      </c>
      <c r="B150" s="26">
        <f t="shared" si="12"/>
        <v>49674</v>
      </c>
      <c r="C150" s="21">
        <f>IFERROR(HLOOKUP("Exp_Premium",CF_Gen_2[#All],MATCH($B150,CF_Gen_2[[#All],[Incurred]],0),0),0)</f>
        <v>27438646.93255141</v>
      </c>
      <c r="D150" s="22">
        <f>IF(AND($J150&lt;YEAR($A150),$B150&lt;=$A150),IFERROR(HLOOKUP("Actual_Premium",CF_Gen_2[#All],MATCH($B150,CF_Gen_2[[#All],[Incurred]],0),0),0),0)</f>
        <v>0</v>
      </c>
      <c r="E150" s="21">
        <f>-IFERROR(HLOOKUP("Exp_Claim",CF_Gen_2[#All],MATCH($B150,CF_Gen_2[[#All],[Incurred]],0),0),0)-IFERROR(HLOOKUP("Exp_NPR",CF_Gen_2[#All],MATCH($B150,CF_Gen_2[[#All],[Incurred]],0),0),0)</f>
        <v>-10453014.160651194</v>
      </c>
      <c r="F150" s="21">
        <f>-IFERROR(HLOOKUP("Exp_RA",CF_Gen_2[#All],MATCH($B150,CF_Gen_2[[#All],[Incurred]],0),0),0)</f>
        <v>-1398036.8733381226</v>
      </c>
      <c r="G150" s="21">
        <f>-IFERROR(HLOOKUP("Exp_Expense",CF_Gen_2[#All],MATCH($B150,CF_Gen_2[[#All],[Incurred]],0),0),0)</f>
        <v>0</v>
      </c>
      <c r="H150" s="21">
        <f>-IFERROR(HLOOKUP("Exp_Commission",CF_Gen_2[#All],MATCH($B150,CF_Gen_2[[#All],[Incurred]],0),0),0)-IFERROR(HLOOKUP("Exp_Acquisition",CF_Gen_2[#All],MATCH($B150,CF_Gen_2[[#All],[Incurred]],0),0),0)</f>
        <v>8594713.4615533296</v>
      </c>
      <c r="I150" s="22">
        <f>IF(AND($J150&lt;YEAR($A150),$B150&lt;=$A150),-IFERROR(HLOOKUP("Actual_Commission",CF_Gen_2[#All],MATCH($B150,CF_Gen_2[[#All],[Incurred]],0),0),0)-IFERROR(HLOOKUP("Actual_Acquisition",CF_Gen_2[#All],MATCH($B150,CF_Gen_2[[#All],[Incurred]],0),0),0),0)</f>
        <v>0</v>
      </c>
      <c r="J150" s="27">
        <f>VLOOKUP(L150,ICG[#All],2,0)</f>
        <v>2024</v>
      </c>
      <c r="K150" s="27" t="str">
        <f>VLOOKUP(L150,ICG[#All],3,0)</f>
        <v>RC-Property</v>
      </c>
      <c r="L150" s="27" t="str">
        <f t="shared" si="10"/>
        <v>#2024#RC-Property</v>
      </c>
    </row>
    <row r="151" spans="1:12">
      <c r="A151" s="26">
        <f t="shared" si="11"/>
        <v>45930</v>
      </c>
      <c r="B151" s="26">
        <f t="shared" si="12"/>
        <v>49765</v>
      </c>
      <c r="C151" s="21">
        <f>IFERROR(HLOOKUP("Exp_Premium",CF_Gen_2[#All],MATCH($B151,CF_Gen_2[[#All],[Incurred]],0),0),0)</f>
        <v>24527429.692478586</v>
      </c>
      <c r="D151" s="22">
        <f>IF(AND($J151&lt;YEAR($A151),$B151&lt;=$A151),IFERROR(HLOOKUP("Actual_Premium",CF_Gen_2[#All],MATCH($B151,CF_Gen_2[[#All],[Incurred]],0),0),0),0)</f>
        <v>0</v>
      </c>
      <c r="E151" s="21">
        <f>-IFERROR(HLOOKUP("Exp_Claim",CF_Gen_2[#All],MATCH($B151,CF_Gen_2[[#All],[Incurred]],0),0),0)-IFERROR(HLOOKUP("Exp_NPR",CF_Gen_2[#All],MATCH($B151,CF_Gen_2[[#All],[Incurred]],0),0),0)</f>
        <v>-9528802.1165460926</v>
      </c>
      <c r="F151" s="21">
        <f>-IFERROR(HLOOKUP("Exp_RA",CF_Gen_2[#All],MATCH($B151,CF_Gen_2[[#All],[Incurred]],0),0),0)</f>
        <v>-1274428.2666162469</v>
      </c>
      <c r="G151" s="21">
        <f>-IFERROR(HLOOKUP("Exp_Expense",CF_Gen_2[#All],MATCH($B151,CF_Gen_2[[#All],[Incurred]],0),0),0)</f>
        <v>0</v>
      </c>
      <c r="H151" s="21">
        <f>-IFERROR(HLOOKUP("Exp_Commission",CF_Gen_2[#All],MATCH($B151,CF_Gen_2[[#All],[Incurred]],0),0),0)-IFERROR(HLOOKUP("Exp_Acquisition",CF_Gen_2[#All],MATCH($B151,CF_Gen_2[[#All],[Incurred]],0),0),0)</f>
        <v>7670835.3474379778</v>
      </c>
      <c r="I151" s="22">
        <f>IF(AND($J151&lt;YEAR($A151),$B151&lt;=$A151),-IFERROR(HLOOKUP("Actual_Commission",CF_Gen_2[#All],MATCH($B151,CF_Gen_2[[#All],[Incurred]],0),0),0)-IFERROR(HLOOKUP("Actual_Acquisition",CF_Gen_2[#All],MATCH($B151,CF_Gen_2[[#All],[Incurred]],0),0),0),0)</f>
        <v>0</v>
      </c>
      <c r="J151" s="27">
        <f>VLOOKUP(L151,ICG[#All],2,0)</f>
        <v>2024</v>
      </c>
      <c r="K151" s="27" t="str">
        <f>VLOOKUP(L151,ICG[#All],3,0)</f>
        <v>RC-Property</v>
      </c>
      <c r="L151" s="27" t="str">
        <f t="shared" si="10"/>
        <v>#2024#RC-Property</v>
      </c>
    </row>
    <row r="152" spans="1:12">
      <c r="A152" s="26">
        <f t="shared" si="11"/>
        <v>45930</v>
      </c>
      <c r="B152" s="26">
        <f t="shared" si="12"/>
        <v>49856</v>
      </c>
      <c r="C152" s="21">
        <f>IFERROR(HLOOKUP("Exp_Premium",CF_Gen_2[#All],MATCH($B152,CF_Gen_2[[#All],[Incurred]],0),0),0)</f>
        <v>21907574.607293162</v>
      </c>
      <c r="D152" s="22">
        <f>IF(AND($J152&lt;YEAR($A152),$B152&lt;=$A152),IFERROR(HLOOKUP("Actual_Premium",CF_Gen_2[#All],MATCH($B152,CF_Gen_2[[#All],[Incurred]],0),0),0),0)</f>
        <v>0</v>
      </c>
      <c r="E152" s="21">
        <f>-IFERROR(HLOOKUP("Exp_Claim",CF_Gen_2[#All],MATCH($B152,CF_Gen_2[[#All],[Incurred]],0),0),0)-IFERROR(HLOOKUP("Exp_NPR",CF_Gen_2[#All],MATCH($B152,CF_Gen_2[[#All],[Incurred]],0),0),0)</f>
        <v>-8682759.989228515</v>
      </c>
      <c r="F152" s="21">
        <f>-IFERROR(HLOOKUP("Exp_RA",CF_Gen_2[#All],MATCH($B152,CF_Gen_2[[#All],[Incurred]],0),0),0)</f>
        <v>-1161274.484156077</v>
      </c>
      <c r="G152" s="21">
        <f>-IFERROR(HLOOKUP("Exp_Expense",CF_Gen_2[#All],MATCH($B152,CF_Gen_2[[#All],[Incurred]],0),0),0)</f>
        <v>0</v>
      </c>
      <c r="H152" s="21">
        <f>-IFERROR(HLOOKUP("Exp_Commission",CF_Gen_2[#All],MATCH($B152,CF_Gen_2[[#All],[Incurred]],0),0),0)-IFERROR(HLOOKUP("Exp_Acquisition",CF_Gen_2[#All],MATCH($B152,CF_Gen_2[[#All],[Incurred]],0),0),0)</f>
        <v>6840365.2650852064</v>
      </c>
      <c r="I152" s="22">
        <f>IF(AND($J152&lt;YEAR($A152),$B152&lt;=$A152),-IFERROR(HLOOKUP("Actual_Commission",CF_Gen_2[#All],MATCH($B152,CF_Gen_2[[#All],[Incurred]],0),0),0)-IFERROR(HLOOKUP("Actual_Acquisition",CF_Gen_2[#All],MATCH($B152,CF_Gen_2[[#All],[Incurred]],0),0),0),0)</f>
        <v>0</v>
      </c>
      <c r="J152" s="27">
        <f>VLOOKUP(L152,ICG[#All],2,0)</f>
        <v>2024</v>
      </c>
      <c r="K152" s="27" t="str">
        <f>VLOOKUP(L152,ICG[#All],3,0)</f>
        <v>RC-Property</v>
      </c>
      <c r="L152" s="27" t="str">
        <f t="shared" si="10"/>
        <v>#2024#RC-Property</v>
      </c>
    </row>
    <row r="153" spans="1:12">
      <c r="A153" s="26">
        <f t="shared" si="11"/>
        <v>45930</v>
      </c>
      <c r="B153" s="26">
        <f t="shared" si="12"/>
        <v>49948</v>
      </c>
      <c r="C153" s="21">
        <f>IFERROR(HLOOKUP("Exp_Premium",CF_Gen_2[#All],MATCH($B153,CF_Gen_2[[#All],[Incurred]],0),0),0)</f>
        <v>19551279.061999999</v>
      </c>
      <c r="D153" s="22">
        <f>IF(AND($J153&lt;YEAR($A153),$B153&lt;=$A153),IFERROR(HLOOKUP("Actual_Premium",CF_Gen_2[#All],MATCH($B153,CF_Gen_2[[#All],[Incurred]],0),0),0),0)</f>
        <v>0</v>
      </c>
      <c r="E153" s="21">
        <f>-IFERROR(HLOOKUP("Exp_Claim",CF_Gen_2[#All],MATCH($B153,CF_Gen_2[[#All],[Incurred]],0),0),0)-IFERROR(HLOOKUP("Exp_NPR",CF_Gen_2[#All],MATCH($B153,CF_Gen_2[[#All],[Incurred]],0),0),0)</f>
        <v>-7908472.6293643238</v>
      </c>
      <c r="F153" s="21">
        <f>-IFERROR(HLOOKUP("Exp_RA",CF_Gen_2[#All],MATCH($B153,CF_Gen_2[[#All],[Incurred]],0),0),0)</f>
        <v>-1057717.5327339116</v>
      </c>
      <c r="G153" s="21">
        <f>-IFERROR(HLOOKUP("Exp_Expense",CF_Gen_2[#All],MATCH($B153,CF_Gen_2[[#All],[Incurred]],0),0),0)</f>
        <v>0</v>
      </c>
      <c r="H153" s="21">
        <f>-IFERROR(HLOOKUP("Exp_Commission",CF_Gen_2[#All],MATCH($B153,CF_Gen_2[[#All],[Incurred]],0),0),0)-IFERROR(HLOOKUP("Exp_Acquisition",CF_Gen_2[#All],MATCH($B153,CF_Gen_2[[#All],[Incurred]],0),0),0)</f>
        <v>6094320.5493850596</v>
      </c>
      <c r="I153" s="22">
        <f>IF(AND($J153&lt;YEAR($A153),$B153&lt;=$A153),-IFERROR(HLOOKUP("Actual_Commission",CF_Gen_2[#All],MATCH($B153,CF_Gen_2[[#All],[Incurred]],0),0),0)-IFERROR(HLOOKUP("Actual_Acquisition",CF_Gen_2[#All],MATCH($B153,CF_Gen_2[[#All],[Incurred]],0),0),0),0)</f>
        <v>0</v>
      </c>
      <c r="J153" s="27">
        <f>VLOOKUP(L153,ICG[#All],2,0)</f>
        <v>2024</v>
      </c>
      <c r="K153" s="27" t="str">
        <f>VLOOKUP(L153,ICG[#All],3,0)</f>
        <v>RC-Property</v>
      </c>
      <c r="L153" s="27" t="str">
        <f t="shared" si="10"/>
        <v>#2024#RC-Property</v>
      </c>
    </row>
    <row r="154" spans="1:12">
      <c r="A154" s="26">
        <f t="shared" si="11"/>
        <v>45930</v>
      </c>
      <c r="B154" s="26">
        <f t="shared" si="12"/>
        <v>50040</v>
      </c>
      <c r="C154" s="21">
        <f>IFERROR(HLOOKUP("Exp_Premium",CF_Gen_2[#All],MATCH($B154,CF_Gen_2[[#All],[Incurred]],0),0),0)</f>
        <v>17433294.514589414</v>
      </c>
      <c r="D154" s="22">
        <f>IF(AND($J154&lt;YEAR($A154),$B154&lt;=$A154),IFERROR(HLOOKUP("Actual_Premium",CF_Gen_2[#All],MATCH($B154,CF_Gen_2[[#All],[Incurred]],0),0),0),0)</f>
        <v>0</v>
      </c>
      <c r="E154" s="21">
        <f>-IFERROR(HLOOKUP("Exp_Claim",CF_Gen_2[#All],MATCH($B154,CF_Gen_2[[#All],[Incurred]],0),0),0)-IFERROR(HLOOKUP("Exp_NPR",CF_Gen_2[#All],MATCH($B154,CF_Gen_2[[#All],[Incurred]],0),0),0)</f>
        <v>-7200039.9759338992</v>
      </c>
      <c r="F154" s="21">
        <f>-IFERROR(HLOOKUP("Exp_RA",CF_Gen_2[#All],MATCH($B154,CF_Gen_2[[#All],[Incurred]],0),0),0)</f>
        <v>-962968.30953848455</v>
      </c>
      <c r="G154" s="21">
        <f>-IFERROR(HLOOKUP("Exp_Expense",CF_Gen_2[#All],MATCH($B154,CF_Gen_2[[#All],[Incurred]],0),0),0)</f>
        <v>0</v>
      </c>
      <c r="H154" s="21">
        <f>-IFERROR(HLOOKUP("Exp_Commission",CF_Gen_2[#All],MATCH($B154,CF_Gen_2[[#All],[Incurred]],0),0),0)-IFERROR(HLOOKUP("Exp_Acquisition",CF_Gen_2[#All],MATCH($B154,CF_Gen_2[[#All],[Incurred]],0),0),0)</f>
        <v>5424548.6870269002</v>
      </c>
      <c r="I154" s="22">
        <f>IF(AND($J154&lt;YEAR($A154),$B154&lt;=$A154),-IFERROR(HLOOKUP("Actual_Commission",CF_Gen_2[#All],MATCH($B154,CF_Gen_2[[#All],[Incurred]],0),0),0)-IFERROR(HLOOKUP("Actual_Acquisition",CF_Gen_2[#All],MATCH($B154,CF_Gen_2[[#All],[Incurred]],0),0),0),0)</f>
        <v>0</v>
      </c>
      <c r="J154" s="27">
        <f>VLOOKUP(L154,ICG[#All],2,0)</f>
        <v>2024</v>
      </c>
      <c r="K154" s="27" t="str">
        <f>VLOOKUP(L154,ICG[#All],3,0)</f>
        <v>RC-Property</v>
      </c>
      <c r="L154" s="27" t="str">
        <f t="shared" si="10"/>
        <v>#2024#RC-Property</v>
      </c>
    </row>
    <row r="155" spans="1:12">
      <c r="A155" s="26">
        <f t="shared" si="11"/>
        <v>45930</v>
      </c>
      <c r="B155" s="26">
        <f t="shared" si="12"/>
        <v>50130</v>
      </c>
      <c r="C155" s="21">
        <f>IFERROR(HLOOKUP("Exp_Premium",CF_Gen_2[#All],MATCH($B155,CF_Gen_2[[#All],[Incurred]],0),0),0)</f>
        <v>15530698.901931575</v>
      </c>
      <c r="D155" s="22">
        <f>IF(AND($J155&lt;YEAR($A155),$B155&lt;=$A155),IFERROR(HLOOKUP("Actual_Premium",CF_Gen_2[#All],MATCH($B155,CF_Gen_2[[#All],[Incurred]],0),0),0),0)</f>
        <v>0</v>
      </c>
      <c r="E155" s="21">
        <f>-IFERROR(HLOOKUP("Exp_Claim",CF_Gen_2[#All],MATCH($B155,CF_Gen_2[[#All],[Incurred]],0),0),0)-IFERROR(HLOOKUP("Exp_NPR",CF_Gen_2[#All],MATCH($B155,CF_Gen_2[[#All],[Incurred]],0),0),0)</f>
        <v>-6552036.3780998485</v>
      </c>
      <c r="F155" s="21">
        <f>-IFERROR(HLOOKUP("Exp_RA",CF_Gen_2[#All],MATCH($B155,CF_Gen_2[[#All],[Incurred]],0),0),0)</f>
        <v>-876301.16168002097</v>
      </c>
      <c r="G155" s="21">
        <f>-IFERROR(HLOOKUP("Exp_Expense",CF_Gen_2[#All],MATCH($B155,CF_Gen_2[[#All],[Incurred]],0),0),0)</f>
        <v>0</v>
      </c>
      <c r="H155" s="21">
        <f>-IFERROR(HLOOKUP("Exp_Commission",CF_Gen_2[#All],MATCH($B155,CF_Gen_2[[#All],[Incurred]],0),0),0)-IFERROR(HLOOKUP("Exp_Acquisition",CF_Gen_2[#All],MATCH($B155,CF_Gen_2[[#All],[Incurred]],0),0),0)</f>
        <v>4823652.9908437766</v>
      </c>
      <c r="I155" s="22">
        <f>IF(AND($J155&lt;YEAR($A155),$B155&lt;=$A155),-IFERROR(HLOOKUP("Actual_Commission",CF_Gen_2[#All],MATCH($B155,CF_Gen_2[[#All],[Incurred]],0),0),0)-IFERROR(HLOOKUP("Actual_Acquisition",CF_Gen_2[#All],MATCH($B155,CF_Gen_2[[#All],[Incurred]],0),0),0),0)</f>
        <v>0</v>
      </c>
      <c r="J155" s="27">
        <f>VLOOKUP(L155,ICG[#All],2,0)</f>
        <v>2024</v>
      </c>
      <c r="K155" s="27" t="str">
        <f>VLOOKUP(L155,ICG[#All],3,0)</f>
        <v>RC-Property</v>
      </c>
      <c r="L155" s="27" t="str">
        <f t="shared" si="10"/>
        <v>#2024#RC-Property</v>
      </c>
    </row>
    <row r="156" spans="1:12">
      <c r="A156" s="26">
        <f t="shared" si="11"/>
        <v>45930</v>
      </c>
      <c r="B156" s="26">
        <f t="shared" si="12"/>
        <v>50221</v>
      </c>
      <c r="C156" s="21">
        <f>IFERROR(HLOOKUP("Exp_Premium",CF_Gen_2[#All],MATCH($B156,CF_Gen_2[[#All],[Incurred]],0),0),0)</f>
        <v>13822688.831857078</v>
      </c>
      <c r="D156" s="22">
        <f>IF(AND($J156&lt;YEAR($A156),$B156&lt;=$A156),IFERROR(HLOOKUP("Actual_Premium",CF_Gen_2[#All],MATCH($B156,CF_Gen_2[[#All],[Incurred]],0),0),0),0)</f>
        <v>0</v>
      </c>
      <c r="E156" s="21">
        <f>-IFERROR(HLOOKUP("Exp_Claim",CF_Gen_2[#All],MATCH($B156,CF_Gen_2[[#All],[Incurred]],0),0),0)-IFERROR(HLOOKUP("Exp_NPR",CF_Gen_2[#All],MATCH($B156,CF_Gen_2[[#All],[Incurred]],0),0),0)</f>
        <v>-5959473.0880804881</v>
      </c>
      <c r="F156" s="21">
        <f>-IFERROR(HLOOKUP("Exp_RA",CF_Gen_2[#All],MATCH($B156,CF_Gen_2[[#All],[Incurred]],0),0),0)</f>
        <v>-797048.86980500352</v>
      </c>
      <c r="G156" s="21">
        <f>-IFERROR(HLOOKUP("Exp_Expense",CF_Gen_2[#All],MATCH($B156,CF_Gen_2[[#All],[Incurred]],0),0),0)</f>
        <v>0</v>
      </c>
      <c r="H156" s="21">
        <f>-IFERROR(HLOOKUP("Exp_Commission",CF_Gen_2[#All],MATCH($B156,CF_Gen_2[[#All],[Incurred]],0),0),0)-IFERROR(HLOOKUP("Exp_Acquisition",CF_Gen_2[#All],MATCH($B156,CF_Gen_2[[#All],[Incurred]],0),0),0)</f>
        <v>4284924.7603671588</v>
      </c>
      <c r="I156" s="22">
        <f>IF(AND($J156&lt;YEAR($A156),$B156&lt;=$A156),-IFERROR(HLOOKUP("Actual_Commission",CF_Gen_2[#All],MATCH($B156,CF_Gen_2[[#All],[Incurred]],0),0),0)-IFERROR(HLOOKUP("Actual_Acquisition",CF_Gen_2[#All],MATCH($B156,CF_Gen_2[[#All],[Incurred]],0),0),0),0)</f>
        <v>0</v>
      </c>
      <c r="J156" s="27">
        <f>VLOOKUP(L156,ICG[#All],2,0)</f>
        <v>2024</v>
      </c>
      <c r="K156" s="27" t="str">
        <f>VLOOKUP(L156,ICG[#All],3,0)</f>
        <v>RC-Property</v>
      </c>
      <c r="L156" s="27" t="str">
        <f t="shared" si="10"/>
        <v>#2024#RC-Property</v>
      </c>
    </row>
    <row r="157" spans="1:12">
      <c r="A157" s="26">
        <f t="shared" si="11"/>
        <v>45930</v>
      </c>
      <c r="B157" s="26">
        <f t="shared" si="12"/>
        <v>50313</v>
      </c>
      <c r="C157" s="21">
        <f>IFERROR(HLOOKUP("Exp_Premium",CF_Gen_2[#All],MATCH($B157,CF_Gen_2[[#All],[Incurred]],0),0),0)</f>
        <v>12290389.875910986</v>
      </c>
      <c r="D157" s="22">
        <f>IF(AND($J157&lt;YEAR($A157),$B157&lt;=$A157),IFERROR(HLOOKUP("Actual_Premium",CF_Gen_2[#All],MATCH($B157,CF_Gen_2[[#All],[Incurred]],0),0),0),0)</f>
        <v>0</v>
      </c>
      <c r="E157" s="21">
        <f>-IFERROR(HLOOKUP("Exp_Claim",CF_Gen_2[#All],MATCH($B157,CF_Gen_2[[#All],[Incurred]],0),0),0)-IFERROR(HLOOKUP("Exp_NPR",CF_Gen_2[#All],MATCH($B157,CF_Gen_2[[#All],[Incurred]],0),0),0)</f>
        <v>-5417763.6804111488</v>
      </c>
      <c r="F157" s="21">
        <f>-IFERROR(HLOOKUP("Exp_RA",CF_Gen_2[#All],MATCH($B157,CF_Gen_2[[#All],[Incurred]],0),0),0)</f>
        <v>-724598.02310025657</v>
      </c>
      <c r="G157" s="21">
        <f>-IFERROR(HLOOKUP("Exp_Expense",CF_Gen_2[#All],MATCH($B157,CF_Gen_2[[#All],[Incurred]],0),0),0)</f>
        <v>0</v>
      </c>
      <c r="H157" s="21">
        <f>-IFERROR(HLOOKUP("Exp_Commission",CF_Gen_2[#All],MATCH($B157,CF_Gen_2[[#All],[Incurred]],0),0),0)-IFERROR(HLOOKUP("Exp_Acquisition",CF_Gen_2[#All],MATCH($B157,CF_Gen_2[[#All],[Incurred]],0),0),0)</f>
        <v>3802281.3743329225</v>
      </c>
      <c r="I157" s="22">
        <f>IF(AND($J157&lt;YEAR($A157),$B157&lt;=$A157),-IFERROR(HLOOKUP("Actual_Commission",CF_Gen_2[#All],MATCH($B157,CF_Gen_2[[#All],[Incurred]],0),0),0)-IFERROR(HLOOKUP("Actual_Acquisition",CF_Gen_2[#All],MATCH($B157,CF_Gen_2[[#All],[Incurred]],0),0),0),0)</f>
        <v>0</v>
      </c>
      <c r="J157" s="27">
        <f>VLOOKUP(L157,ICG[#All],2,0)</f>
        <v>2024</v>
      </c>
      <c r="K157" s="27" t="str">
        <f>VLOOKUP(L157,ICG[#All],3,0)</f>
        <v>RC-Property</v>
      </c>
      <c r="L157" s="27" t="str">
        <f t="shared" si="10"/>
        <v>#2024#RC-Property</v>
      </c>
    </row>
    <row r="158" spans="1:12">
      <c r="A158" s="26">
        <f t="shared" si="11"/>
        <v>45930</v>
      </c>
      <c r="B158" s="26">
        <f t="shared" si="12"/>
        <v>50405</v>
      </c>
      <c r="C158" s="21">
        <f>IFERROR(HLOOKUP("Exp_Premium",CF_Gen_2[#All],MATCH($B158,CF_Gen_2[[#All],[Incurred]],0),0),0)</f>
        <v>10916683.418433068</v>
      </c>
      <c r="D158" s="22">
        <f>IF(AND($J158&lt;YEAR($A158),$B158&lt;=$A158),IFERROR(HLOOKUP("Actual_Premium",CF_Gen_2[#All],MATCH($B158,CF_Gen_2[[#All],[Incurred]],0),0),0),0)</f>
        <v>0</v>
      </c>
      <c r="E158" s="21">
        <f>-IFERROR(HLOOKUP("Exp_Claim",CF_Gen_2[#All],MATCH($B158,CF_Gen_2[[#All],[Incurred]],0),0),0)-IFERROR(HLOOKUP("Exp_NPR",CF_Gen_2[#All],MATCH($B158,CF_Gen_2[[#All],[Incurred]],0),0),0)</f>
        <v>-4922692.1716839224</v>
      </c>
      <c r="F158" s="21">
        <f>-IFERROR(HLOOKUP("Exp_RA",CF_Gen_2[#All],MATCH($B158,CF_Gen_2[[#All],[Incurred]],0),0),0)</f>
        <v>-658384.75547212956</v>
      </c>
      <c r="G158" s="21">
        <f>-IFERROR(HLOOKUP("Exp_Expense",CF_Gen_2[#All],MATCH($B158,CF_Gen_2[[#All],[Incurred]],0),0),0)</f>
        <v>0</v>
      </c>
      <c r="H158" s="21">
        <f>-IFERROR(HLOOKUP("Exp_Commission",CF_Gen_2[#All],MATCH($B158,CF_Gen_2[[#All],[Incurred]],0),0),0)-IFERROR(HLOOKUP("Exp_Acquisition",CF_Gen_2[#All],MATCH($B158,CF_Gen_2[[#All],[Incurred]],0),0),0)</f>
        <v>3370209.8074203138</v>
      </c>
      <c r="I158" s="22">
        <f>IF(AND($J158&lt;YEAR($A158),$B158&lt;=$A158),-IFERROR(HLOOKUP("Actual_Commission",CF_Gen_2[#All],MATCH($B158,CF_Gen_2[[#All],[Incurred]],0),0),0)-IFERROR(HLOOKUP("Actual_Acquisition",CF_Gen_2[#All],MATCH($B158,CF_Gen_2[[#All],[Incurred]],0),0),0),0)</f>
        <v>0</v>
      </c>
      <c r="J158" s="27">
        <f>VLOOKUP(L158,ICG[#All],2,0)</f>
        <v>2024</v>
      </c>
      <c r="K158" s="27" t="str">
        <f>VLOOKUP(L158,ICG[#All],3,0)</f>
        <v>RC-Property</v>
      </c>
      <c r="L158" s="27" t="str">
        <f t="shared" si="10"/>
        <v>#2024#RC-Property</v>
      </c>
    </row>
    <row r="159" spans="1:12">
      <c r="A159" s="26">
        <f t="shared" si="11"/>
        <v>45930</v>
      </c>
      <c r="B159" s="26">
        <f t="shared" si="12"/>
        <v>50495</v>
      </c>
      <c r="C159" s="21">
        <f>IFERROR(HLOOKUP("Exp_Premium",CF_Gen_2[#All],MATCH($B159,CF_Gen_2[[#All],[Incurred]],0),0),0)</f>
        <v>9686048.6471280865</v>
      </c>
      <c r="D159" s="22">
        <f>IF(AND($J159&lt;YEAR($A159),$B159&lt;=$A159),IFERROR(HLOOKUP("Actual_Premium",CF_Gen_2[#All],MATCH($B159,CF_Gen_2[[#All],[Incurred]],0),0),0),0)</f>
        <v>0</v>
      </c>
      <c r="E159" s="21">
        <f>-IFERROR(HLOOKUP("Exp_Claim",CF_Gen_2[#All],MATCH($B159,CF_Gen_2[[#All],[Incurred]],0),0),0)-IFERROR(HLOOKUP("Exp_NPR",CF_Gen_2[#All],MATCH($B159,CF_Gen_2[[#All],[Incurred]],0),0),0)</f>
        <v>-4470383.6321444958</v>
      </c>
      <c r="F159" s="21">
        <f>-IFERROR(HLOOKUP("Exp_RA",CF_Gen_2[#All],MATCH($B159,CF_Gen_2[[#All],[Incurred]],0),0),0)</f>
        <v>-597890.81499874941</v>
      </c>
      <c r="G159" s="21">
        <f>-IFERROR(HLOOKUP("Exp_Expense",CF_Gen_2[#All],MATCH($B159,CF_Gen_2[[#All],[Incurred]],0),0),0)</f>
        <v>0</v>
      </c>
      <c r="H159" s="21">
        <f>-IFERROR(HLOOKUP("Exp_Commission",CF_Gen_2[#All],MATCH($B159,CF_Gen_2[[#All],[Incurred]],0),0),0)-IFERROR(HLOOKUP("Exp_Acquisition",CF_Gen_2[#All],MATCH($B159,CF_Gen_2[[#All],[Incurred]],0),0),0)</f>
        <v>2983715.1061956892</v>
      </c>
      <c r="I159" s="22">
        <f>IF(AND($J159&lt;YEAR($A159),$B159&lt;=$A159),-IFERROR(HLOOKUP("Actual_Commission",CF_Gen_2[#All],MATCH($B159,CF_Gen_2[[#All],[Incurred]],0),0),0)-IFERROR(HLOOKUP("Actual_Acquisition",CF_Gen_2[#All],MATCH($B159,CF_Gen_2[[#All],[Incurred]],0),0),0),0)</f>
        <v>0</v>
      </c>
      <c r="J159" s="27">
        <f>VLOOKUP(L159,ICG[#All],2,0)</f>
        <v>2024</v>
      </c>
      <c r="K159" s="27" t="str">
        <f>VLOOKUP(L159,ICG[#All],3,0)</f>
        <v>RC-Property</v>
      </c>
      <c r="L159" s="27" t="str">
        <f t="shared" si="10"/>
        <v>#2024#RC-Property</v>
      </c>
    </row>
    <row r="160" spans="1:12">
      <c r="A160" s="26">
        <f t="shared" si="11"/>
        <v>45930</v>
      </c>
      <c r="B160" s="26">
        <f t="shared" si="12"/>
        <v>50586</v>
      </c>
      <c r="C160" s="21">
        <f>IFERROR(HLOOKUP("Exp_Premium",CF_Gen_2[#All],MATCH($B160,CF_Gen_2[[#All],[Incurred]],0),0),0)</f>
        <v>8584418.3890972119</v>
      </c>
      <c r="D160" s="22">
        <f>IF(AND($J160&lt;YEAR($A160),$B160&lt;=$A160),IFERROR(HLOOKUP("Actual_Premium",CF_Gen_2[#All],MATCH($B160,CF_Gen_2[[#All],[Incurred]],0),0),0),0)</f>
        <v>0</v>
      </c>
      <c r="E160" s="21">
        <f>-IFERROR(HLOOKUP("Exp_Claim",CF_Gen_2[#All],MATCH($B160,CF_Gen_2[[#All],[Incurred]],0),0),0)-IFERROR(HLOOKUP("Exp_NPR",CF_Gen_2[#All],MATCH($B160,CF_Gen_2[[#All],[Incurred]],0),0),0)</f>
        <v>-4057277.0964993364</v>
      </c>
      <c r="F160" s="21">
        <f>-IFERROR(HLOOKUP("Exp_RA",CF_Gen_2[#All],MATCH($B160,CF_Gen_2[[#All],[Incurred]],0),0),0)</f>
        <v>-542639.94088982895</v>
      </c>
      <c r="G160" s="21">
        <f>-IFERROR(HLOOKUP("Exp_Expense",CF_Gen_2[#All],MATCH($B160,CF_Gen_2[[#All],[Incurred]],0),0),0)</f>
        <v>0</v>
      </c>
      <c r="H160" s="21">
        <f>-IFERROR(HLOOKUP("Exp_Commission",CF_Gen_2[#All],MATCH($B160,CF_Gen_2[[#All],[Incurred]],0),0),0)-IFERROR(HLOOKUP("Exp_Acquisition",CF_Gen_2[#All],MATCH($B160,CF_Gen_2[[#All],[Incurred]],0),0),0)</f>
        <v>2638273.39838679</v>
      </c>
      <c r="I160" s="22">
        <f>IF(AND($J160&lt;YEAR($A160),$B160&lt;=$A160),-IFERROR(HLOOKUP("Actual_Commission",CF_Gen_2[#All],MATCH($B160,CF_Gen_2[[#All],[Incurred]],0),0),0)-IFERROR(HLOOKUP("Actual_Acquisition",CF_Gen_2[#All],MATCH($B160,CF_Gen_2[[#All],[Incurred]],0),0),0),0)</f>
        <v>0</v>
      </c>
      <c r="J160" s="27">
        <f>VLOOKUP(L160,ICG[#All],2,0)</f>
        <v>2024</v>
      </c>
      <c r="K160" s="27" t="str">
        <f>VLOOKUP(L160,ICG[#All],3,0)</f>
        <v>RC-Property</v>
      </c>
      <c r="L160" s="27" t="str">
        <f t="shared" si="10"/>
        <v>#2024#RC-Property</v>
      </c>
    </row>
    <row r="161" spans="1:12">
      <c r="A161" s="26">
        <f t="shared" si="11"/>
        <v>45930</v>
      </c>
      <c r="B161" s="26">
        <f t="shared" si="12"/>
        <v>50678</v>
      </c>
      <c r="C161" s="21">
        <f>IFERROR(HLOOKUP("Exp_Premium",CF_Gen_2[#All],MATCH($B161,CF_Gen_2[[#All],[Incurred]],0),0),0)</f>
        <v>7599047.6052785432</v>
      </c>
      <c r="D161" s="22">
        <f>IF(AND($J161&lt;YEAR($A161),$B161&lt;=$A161),IFERROR(HLOOKUP("Actual_Premium",CF_Gen_2[#All],MATCH($B161,CF_Gen_2[[#All],[Incurred]],0),0),0),0)</f>
        <v>0</v>
      </c>
      <c r="E161" s="21">
        <f>-IFERROR(HLOOKUP("Exp_Claim",CF_Gen_2[#All],MATCH($B161,CF_Gen_2[[#All],[Incurred]],0),0),0)-IFERROR(HLOOKUP("Exp_NPR",CF_Gen_2[#All],MATCH($B161,CF_Gen_2[[#All],[Incurred]],0),0),0)</f>
        <v>-3680100.5960469902</v>
      </c>
      <c r="F161" s="21">
        <f>-IFERROR(HLOOKUP("Exp_RA",CF_Gen_2[#All],MATCH($B161,CF_Gen_2[[#All],[Incurred]],0),0),0)</f>
        <v>-492194.52416266332</v>
      </c>
      <c r="G161" s="21">
        <f>-IFERROR(HLOOKUP("Exp_Expense",CF_Gen_2[#All],MATCH($B161,CF_Gen_2[[#All],[Incurred]],0),0),0)</f>
        <v>0</v>
      </c>
      <c r="H161" s="21">
        <f>-IFERROR(HLOOKUP("Exp_Commission",CF_Gen_2[#All],MATCH($B161,CF_Gen_2[[#All],[Incurred]],0),0),0)-IFERROR(HLOOKUP("Exp_Acquisition",CF_Gen_2[#All],MATCH($B161,CF_Gen_2[[#All],[Incurred]],0),0),0)</f>
        <v>2329789.0455203708</v>
      </c>
      <c r="I161" s="22">
        <f>IF(AND($J161&lt;YEAR($A161),$B161&lt;=$A161),-IFERROR(HLOOKUP("Actual_Commission",CF_Gen_2[#All],MATCH($B161,CF_Gen_2[[#All],[Incurred]],0),0),0)-IFERROR(HLOOKUP("Actual_Acquisition",CF_Gen_2[#All],MATCH($B161,CF_Gen_2[[#All],[Incurred]],0),0),0),0)</f>
        <v>0</v>
      </c>
      <c r="J161" s="27">
        <f>VLOOKUP(L161,ICG[#All],2,0)</f>
        <v>2024</v>
      </c>
      <c r="K161" s="27" t="str">
        <f>VLOOKUP(L161,ICG[#All],3,0)</f>
        <v>RC-Property</v>
      </c>
      <c r="L161" s="27" t="str">
        <f t="shared" si="10"/>
        <v>#2024#RC-Property</v>
      </c>
    </row>
    <row r="162" spans="1:12">
      <c r="A162" s="26">
        <f t="shared" si="11"/>
        <v>45930</v>
      </c>
      <c r="B162" s="26">
        <f t="shared" si="12"/>
        <v>50770</v>
      </c>
      <c r="C162" s="21">
        <f>IFERROR(HLOOKUP("Exp_Premium",CF_Gen_2[#All],MATCH($B162,CF_Gen_2[[#All],[Incurred]],0),0),0)</f>
        <v>6718393.4561946075</v>
      </c>
      <c r="D162" s="22">
        <f>IF(AND($J162&lt;YEAR($A162),$B162&lt;=$A162),IFERROR(HLOOKUP("Actual_Premium",CF_Gen_2[#All],MATCH($B162,CF_Gen_2[[#All],[Incurred]],0),0),0),0)</f>
        <v>0</v>
      </c>
      <c r="E162" s="21">
        <f>-IFERROR(HLOOKUP("Exp_Claim",CF_Gen_2[#All],MATCH($B162,CF_Gen_2[[#All],[Incurred]],0),0),0)-IFERROR(HLOOKUP("Exp_NPR",CF_Gen_2[#All],MATCH($B162,CF_Gen_2[[#All],[Incurred]],0),0),0)</f>
        <v>-3335848.1478851261</v>
      </c>
      <c r="F162" s="21">
        <f>-IFERROR(HLOOKUP("Exp_RA",CF_Gen_2[#All],MATCH($B162,CF_Gen_2[[#All],[Incurred]],0),0),0)</f>
        <v>-446152.53006694076</v>
      </c>
      <c r="G162" s="21">
        <f>-IFERROR(HLOOKUP("Exp_Expense",CF_Gen_2[#All],MATCH($B162,CF_Gen_2[[#All],[Incurred]],0),0),0)</f>
        <v>0</v>
      </c>
      <c r="H162" s="21">
        <f>-IFERROR(HLOOKUP("Exp_Commission",CF_Gen_2[#All],MATCH($B162,CF_Gen_2[[#All],[Incurred]],0),0),0)-IFERROR(HLOOKUP("Exp_Acquisition",CF_Gen_2[#All],MATCH($B162,CF_Gen_2[[#All],[Incurred]],0),0),0)</f>
        <v>2054555.5818818775</v>
      </c>
      <c r="I162" s="22">
        <f>IF(AND($J162&lt;YEAR($A162),$B162&lt;=$A162),-IFERROR(HLOOKUP("Actual_Commission",CF_Gen_2[#All],MATCH($B162,CF_Gen_2[[#All],[Incurred]],0),0),0)-IFERROR(HLOOKUP("Actual_Acquisition",CF_Gen_2[#All],MATCH($B162,CF_Gen_2[[#All],[Incurred]],0),0),0),0)</f>
        <v>0</v>
      </c>
      <c r="J162" s="27">
        <f>VLOOKUP(L162,ICG[#All],2,0)</f>
        <v>2024</v>
      </c>
      <c r="K162" s="27" t="str">
        <f>VLOOKUP(L162,ICG[#All],3,0)</f>
        <v>RC-Property</v>
      </c>
      <c r="L162" s="27" t="str">
        <f t="shared" si="10"/>
        <v>#2024#RC-Property</v>
      </c>
    </row>
    <row r="163" spans="1:12">
      <c r="A163" s="26">
        <f t="shared" si="11"/>
        <v>45930</v>
      </c>
      <c r="B163" s="26">
        <f t="shared" si="12"/>
        <v>50860</v>
      </c>
      <c r="C163" s="21">
        <f>IFERROR(HLOOKUP("Exp_Premium",CF_Gen_2[#All],MATCH($B163,CF_Gen_2[[#All],[Incurred]],0),0),0)</f>
        <v>5932005.9435657831</v>
      </c>
      <c r="D163" s="22">
        <f>IF(AND($J163&lt;YEAR($A163),$B163&lt;=$A163),IFERROR(HLOOKUP("Actual_Premium",CF_Gen_2[#All],MATCH($B163,CF_Gen_2[[#All],[Incurred]],0),0),0),0)</f>
        <v>0</v>
      </c>
      <c r="E163" s="21">
        <f>-IFERROR(HLOOKUP("Exp_Claim",CF_Gen_2[#All],MATCH($B163,CF_Gen_2[[#All],[Incurred]],0),0),0)-IFERROR(HLOOKUP("Exp_NPR",CF_Gen_2[#All],MATCH($B163,CF_Gen_2[[#All],[Incurred]],0),0),0)</f>
        <v>-3021758.5495452923</v>
      </c>
      <c r="F163" s="21">
        <f>-IFERROR(HLOOKUP("Exp_RA",CF_Gen_2[#All],MATCH($B163,CF_Gen_2[[#All],[Incurred]],0),0),0)</f>
        <v>-404144.66197622224</v>
      </c>
      <c r="G163" s="21">
        <f>-IFERROR(HLOOKUP("Exp_Expense",CF_Gen_2[#All],MATCH($B163,CF_Gen_2[[#All],[Incurred]],0),0),0)</f>
        <v>0</v>
      </c>
      <c r="H163" s="21">
        <f>-IFERROR(HLOOKUP("Exp_Commission",CF_Gen_2[#All],MATCH($B163,CF_Gen_2[[#All],[Incurred]],0),0),0)-IFERROR(HLOOKUP("Exp_Acquisition",CF_Gen_2[#All],MATCH($B163,CF_Gen_2[[#All],[Incurred]],0),0),0)</f>
        <v>1809220.1129449341</v>
      </c>
      <c r="I163" s="22">
        <f>IF(AND($J163&lt;YEAR($A163),$B163&lt;=$A163),-IFERROR(HLOOKUP("Actual_Commission",CF_Gen_2[#All],MATCH($B163,CF_Gen_2[[#All],[Incurred]],0),0),0)-IFERROR(HLOOKUP("Actual_Acquisition",CF_Gen_2[#All],MATCH($B163,CF_Gen_2[[#All],[Incurred]],0),0),0),0)</f>
        <v>0</v>
      </c>
      <c r="J163" s="27">
        <f>VLOOKUP(L163,ICG[#All],2,0)</f>
        <v>2024</v>
      </c>
      <c r="K163" s="27" t="str">
        <f>VLOOKUP(L163,ICG[#All],3,0)</f>
        <v>RC-Property</v>
      </c>
      <c r="L163" s="27" t="str">
        <f t="shared" si="10"/>
        <v>#2024#RC-Property</v>
      </c>
    </row>
    <row r="164" spans="1:12">
      <c r="A164" s="26">
        <f t="shared" si="11"/>
        <v>45930</v>
      </c>
      <c r="B164" s="26">
        <f t="shared" si="12"/>
        <v>50951</v>
      </c>
      <c r="C164" s="21">
        <f>IFERROR(HLOOKUP("Exp_Premium",CF_Gen_2[#All],MATCH($B164,CF_Gen_2[[#All],[Incurred]],0),0),0)</f>
        <v>5230428.2163994201</v>
      </c>
      <c r="D164" s="22">
        <f>IF(AND($J164&lt;YEAR($A164),$B164&lt;=$A164),IFERROR(HLOOKUP("Actual_Premium",CF_Gen_2[#All],MATCH($B164,CF_Gen_2[[#All],[Incurred]],0),0),0),0)</f>
        <v>0</v>
      </c>
      <c r="E164" s="21">
        <f>-IFERROR(HLOOKUP("Exp_Claim",CF_Gen_2[#All],MATCH($B164,CF_Gen_2[[#All],[Incurred]],0),0),0)-IFERROR(HLOOKUP("Exp_NPR",CF_Gen_2[#All],MATCH($B164,CF_Gen_2[[#All],[Incurred]],0),0),0)</f>
        <v>-2735295.8390483991</v>
      </c>
      <c r="F164" s="21">
        <f>-IFERROR(HLOOKUP("Exp_RA",CF_Gen_2[#All],MATCH($B164,CF_Gen_2[[#All],[Incurred]],0),0),0)</f>
        <v>-365831.74802087643</v>
      </c>
      <c r="G164" s="21">
        <f>-IFERROR(HLOOKUP("Exp_Expense",CF_Gen_2[#All],MATCH($B164,CF_Gen_2[[#All],[Incurred]],0),0),0)</f>
        <v>0</v>
      </c>
      <c r="H164" s="21">
        <f>-IFERROR(HLOOKUP("Exp_Commission",CF_Gen_2[#All],MATCH($B164,CF_Gen_2[[#All],[Incurred]],0),0),0)-IFERROR(HLOOKUP("Exp_Acquisition",CF_Gen_2[#All],MATCH($B164,CF_Gen_2[[#All],[Incurred]],0),0),0)</f>
        <v>1590750.8740950883</v>
      </c>
      <c r="I164" s="22">
        <f>IF(AND($J164&lt;YEAR($A164),$B164&lt;=$A164),-IFERROR(HLOOKUP("Actual_Commission",CF_Gen_2[#All],MATCH($B164,CF_Gen_2[[#All],[Incurred]],0),0),0)-IFERROR(HLOOKUP("Actual_Acquisition",CF_Gen_2[#All],MATCH($B164,CF_Gen_2[[#All],[Incurred]],0),0),0),0)</f>
        <v>0</v>
      </c>
      <c r="J164" s="27">
        <f>VLOOKUP(L164,ICG[#All],2,0)</f>
        <v>2024</v>
      </c>
      <c r="K164" s="27" t="str">
        <f>VLOOKUP(L164,ICG[#All],3,0)</f>
        <v>RC-Property</v>
      </c>
      <c r="L164" s="27" t="str">
        <f t="shared" si="10"/>
        <v>#2024#RC-Property</v>
      </c>
    </row>
    <row r="165" spans="1:12">
      <c r="A165" s="26">
        <f t="shared" si="11"/>
        <v>45930</v>
      </c>
      <c r="B165" s="26">
        <f t="shared" si="12"/>
        <v>51043</v>
      </c>
      <c r="C165" s="21">
        <f>IFERROR(HLOOKUP("Exp_Premium",CF_Gen_2[#All],MATCH($B165,CF_Gen_2[[#All],[Incurred]],0),0),0)</f>
        <v>4605105.7072285721</v>
      </c>
      <c r="D165" s="22">
        <f>IF(AND($J165&lt;YEAR($A165),$B165&lt;=$A165),IFERROR(HLOOKUP("Actual_Premium",CF_Gen_2[#All],MATCH($B165,CF_Gen_2[[#All],[Incurred]],0),0),0),0)</f>
        <v>0</v>
      </c>
      <c r="E165" s="21">
        <f>-IFERROR(HLOOKUP("Exp_Claim",CF_Gen_2[#All],MATCH($B165,CF_Gen_2[[#All],[Incurred]],0),0),0)-IFERROR(HLOOKUP("Exp_NPR",CF_Gen_2[#All],MATCH($B165,CF_Gen_2[[#All],[Incurred]],0),0),0)</f>
        <v>-2474131.2911282983</v>
      </c>
      <c r="F165" s="21">
        <f>-IFERROR(HLOOKUP("Exp_RA",CF_Gen_2[#All],MATCH($B165,CF_Gen_2[[#All],[Incurred]],0),0),0)</f>
        <v>-330902.33317559544</v>
      </c>
      <c r="G165" s="21">
        <f>-IFERROR(HLOOKUP("Exp_Expense",CF_Gen_2[#All],MATCH($B165,CF_Gen_2[[#All],[Incurred]],0),0),0)</f>
        <v>0</v>
      </c>
      <c r="H165" s="21">
        <f>-IFERROR(HLOOKUP("Exp_Commission",CF_Gen_2[#All],MATCH($B165,CF_Gen_2[[#All],[Incurred]],0),0),0)-IFERROR(HLOOKUP("Exp_Acquisition",CF_Gen_2[#All],MATCH($B165,CF_Gen_2[[#All],[Incurred]],0),0),0)</f>
        <v>1396407.675842837</v>
      </c>
      <c r="I165" s="22">
        <f>IF(AND($J165&lt;YEAR($A165),$B165&lt;=$A165),-IFERROR(HLOOKUP("Actual_Commission",CF_Gen_2[#All],MATCH($B165,CF_Gen_2[[#All],[Incurred]],0),0),0)-IFERROR(HLOOKUP("Actual_Acquisition",CF_Gen_2[#All],MATCH($B165,CF_Gen_2[[#All],[Incurred]],0),0),0),0)</f>
        <v>0</v>
      </c>
      <c r="J165" s="27">
        <f>VLOOKUP(L165,ICG[#All],2,0)</f>
        <v>2024</v>
      </c>
      <c r="K165" s="27" t="str">
        <f>VLOOKUP(L165,ICG[#All],3,0)</f>
        <v>RC-Property</v>
      </c>
      <c r="L165" s="27" t="str">
        <f t="shared" si="10"/>
        <v>#2024#RC-Property</v>
      </c>
    </row>
    <row r="166" spans="1:12">
      <c r="A166" s="26">
        <f t="shared" si="11"/>
        <v>45930</v>
      </c>
      <c r="B166" s="26">
        <f t="shared" si="12"/>
        <v>51135</v>
      </c>
      <c r="C166" s="21">
        <f>IFERROR(HLOOKUP("Exp_Premium",CF_Gen_2[#All],MATCH($B166,CF_Gen_2[[#All],[Incurred]],0),0),0)</f>
        <v>4048303.3348248838</v>
      </c>
      <c r="D166" s="22">
        <f>IF(AND($J166&lt;YEAR($A166),$B166&lt;=$A166),IFERROR(HLOOKUP("Actual_Premium",CF_Gen_2[#All],MATCH($B166,CF_Gen_2[[#All],[Incurred]],0),0),0),0)</f>
        <v>0</v>
      </c>
      <c r="E166" s="21">
        <f>-IFERROR(HLOOKUP("Exp_Claim",CF_Gen_2[#All],MATCH($B166,CF_Gen_2[[#All],[Incurred]],0),0),0)-IFERROR(HLOOKUP("Exp_NPR",CF_Gen_2[#All],MATCH($B166,CF_Gen_2[[#All],[Incurred]],0),0),0)</f>
        <v>-2236126.8303056741</v>
      </c>
      <c r="F166" s="21">
        <f>-IFERROR(HLOOKUP("Exp_RA",CF_Gen_2[#All],MATCH($B166,CF_Gen_2[[#All],[Incurred]],0),0),0)</f>
        <v>-299070.46084335149</v>
      </c>
      <c r="G166" s="21">
        <f>-IFERROR(HLOOKUP("Exp_Expense",CF_Gen_2[#All],MATCH($B166,CF_Gen_2[[#All],[Incurred]],0),0),0)</f>
        <v>0</v>
      </c>
      <c r="H166" s="21">
        <f>-IFERROR(HLOOKUP("Exp_Commission",CF_Gen_2[#All],MATCH($B166,CF_Gen_2[[#All],[Incurred]],0),0),0)-IFERROR(HLOOKUP("Exp_Acquisition",CF_Gen_2[#All],MATCH($B166,CF_Gen_2[[#All],[Incurred]],0),0),0)</f>
        <v>1223714.9849750381</v>
      </c>
      <c r="I166" s="22">
        <f>IF(AND($J166&lt;YEAR($A166),$B166&lt;=$A166),-IFERROR(HLOOKUP("Actual_Commission",CF_Gen_2[#All],MATCH($B166,CF_Gen_2[[#All],[Incurred]],0),0),0)-IFERROR(HLOOKUP("Actual_Acquisition",CF_Gen_2[#All],MATCH($B166,CF_Gen_2[[#All],[Incurred]],0),0),0),0)</f>
        <v>0</v>
      </c>
      <c r="J166" s="27">
        <f>VLOOKUP(L166,ICG[#All],2,0)</f>
        <v>2024</v>
      </c>
      <c r="K166" s="27" t="str">
        <f>VLOOKUP(L166,ICG[#All],3,0)</f>
        <v>RC-Property</v>
      </c>
      <c r="L166" s="27" t="str">
        <f t="shared" si="10"/>
        <v>#2024#RC-Property</v>
      </c>
    </row>
    <row r="167" spans="1:12">
      <c r="A167" s="26">
        <f t="shared" si="11"/>
        <v>45930</v>
      </c>
      <c r="B167" s="26">
        <f t="shared" si="12"/>
        <v>51226</v>
      </c>
      <c r="C167" s="21">
        <f>IFERROR(HLOOKUP("Exp_Premium",CF_Gen_2[#All],MATCH($B167,CF_Gen_2[[#All],[Incurred]],0),0),0)</f>
        <v>3553030.074473836</v>
      </c>
      <c r="D167" s="22">
        <f>IF(AND($J167&lt;YEAR($A167),$B167&lt;=$A167),IFERROR(HLOOKUP("Actual_Premium",CF_Gen_2[#All],MATCH($B167,CF_Gen_2[[#All],[Incurred]],0),0),0),0)</f>
        <v>0</v>
      </c>
      <c r="E167" s="21">
        <f>-IFERROR(HLOOKUP("Exp_Claim",CF_Gen_2[#All],MATCH($B167,CF_Gen_2[[#All],[Incurred]],0),0),0)-IFERROR(HLOOKUP("Exp_NPR",CF_Gen_2[#All],MATCH($B167,CF_Gen_2[[#All],[Incurred]],0),0),0)</f>
        <v>-2019319.7506716894</v>
      </c>
      <c r="F167" s="21">
        <f>-IFERROR(HLOOKUP("Exp_RA",CF_Gen_2[#All],MATCH($B167,CF_Gen_2[[#All],[Incurred]],0),0),0)</f>
        <v>-270073.62920506136</v>
      </c>
      <c r="G167" s="21">
        <f>-IFERROR(HLOOKUP("Exp_Expense",CF_Gen_2[#All],MATCH($B167,CF_Gen_2[[#All],[Incurred]],0),0),0)</f>
        <v>0</v>
      </c>
      <c r="H167" s="21">
        <f>-IFERROR(HLOOKUP("Exp_Commission",CF_Gen_2[#All],MATCH($B167,CF_Gen_2[[#All],[Incurred]],0),0),0)-IFERROR(HLOOKUP("Exp_Acquisition",CF_Gen_2[#All],MATCH($B167,CF_Gen_2[[#All],[Incurred]],0),0),0)</f>
        <v>1070437.4124054499</v>
      </c>
      <c r="I167" s="22">
        <f>IF(AND($J167&lt;YEAR($A167),$B167&lt;=$A167),-IFERROR(HLOOKUP("Actual_Commission",CF_Gen_2[#All],MATCH($B167,CF_Gen_2[[#All],[Incurred]],0),0),0)-IFERROR(HLOOKUP("Actual_Acquisition",CF_Gen_2[#All],MATCH($B167,CF_Gen_2[[#All],[Incurred]],0),0),0),0)</f>
        <v>0</v>
      </c>
      <c r="J167" s="27">
        <f>VLOOKUP(L167,ICG[#All],2,0)</f>
        <v>2024</v>
      </c>
      <c r="K167" s="27" t="str">
        <f>VLOOKUP(L167,ICG[#All],3,0)</f>
        <v>RC-Property</v>
      </c>
      <c r="L167" s="27" t="str">
        <f t="shared" si="10"/>
        <v>#2024#RC-Property</v>
      </c>
    </row>
    <row r="168" spans="1:12">
      <c r="A168" s="26">
        <f t="shared" si="11"/>
        <v>45930</v>
      </c>
      <c r="B168" s="26">
        <f t="shared" si="12"/>
        <v>51317</v>
      </c>
      <c r="C168" s="21">
        <f>IFERROR(HLOOKUP("Exp_Premium",CF_Gen_2[#All],MATCH($B168,CF_Gen_2[[#All],[Incurred]],0),0),0)</f>
        <v>3112970.2562611303</v>
      </c>
      <c r="D168" s="22">
        <f>IF(AND($J168&lt;YEAR($A168),$B168&lt;=$A168),IFERROR(HLOOKUP("Actual_Premium",CF_Gen_2[#All],MATCH($B168,CF_Gen_2[[#All],[Incurred]],0),0),0),0)</f>
        <v>0</v>
      </c>
      <c r="E168" s="21">
        <f>-IFERROR(HLOOKUP("Exp_Claim",CF_Gen_2[#All],MATCH($B168,CF_Gen_2[[#All],[Incurred]],0),0),0)-IFERROR(HLOOKUP("Exp_NPR",CF_Gen_2[#All],MATCH($B168,CF_Gen_2[[#All],[Incurred]],0),0),0)</f>
        <v>-1821908.6407179646</v>
      </c>
      <c r="F168" s="21">
        <f>-IFERROR(HLOOKUP("Exp_RA",CF_Gen_2[#All],MATCH($B168,CF_Gen_2[[#All],[Incurred]],0),0),0)</f>
        <v>-243670.90873799939</v>
      </c>
      <c r="G168" s="21">
        <f>-IFERROR(HLOOKUP("Exp_Expense",CF_Gen_2[#All],MATCH($B168,CF_Gen_2[[#All],[Incurred]],0),0),0)</f>
        <v>0</v>
      </c>
      <c r="H168" s="21">
        <f>-IFERROR(HLOOKUP("Exp_Commission",CF_Gen_2[#All],MATCH($B168,CF_Gen_2[[#All],[Incurred]],0),0),0)-IFERROR(HLOOKUP("Exp_Acquisition",CF_Gen_2[#All],MATCH($B168,CF_Gen_2[[#All],[Incurred]],0),0),0)</f>
        <v>934557.39801439072</v>
      </c>
      <c r="I168" s="22">
        <f>IF(AND($J168&lt;YEAR($A168),$B168&lt;=$A168),-IFERROR(HLOOKUP("Actual_Commission",CF_Gen_2[#All],MATCH($B168,CF_Gen_2[[#All],[Incurred]],0),0),0)-IFERROR(HLOOKUP("Actual_Acquisition",CF_Gen_2[#All],MATCH($B168,CF_Gen_2[[#All],[Incurred]],0),0),0),0)</f>
        <v>0</v>
      </c>
      <c r="J168" s="27">
        <f>VLOOKUP(L168,ICG[#All],2,0)</f>
        <v>2024</v>
      </c>
      <c r="K168" s="27" t="str">
        <f>VLOOKUP(L168,ICG[#All],3,0)</f>
        <v>RC-Property</v>
      </c>
      <c r="L168" s="27" t="str">
        <f t="shared" si="10"/>
        <v>#2024#RC-Property</v>
      </c>
    </row>
    <row r="169" spans="1:12">
      <c r="A169" s="26">
        <f t="shared" si="11"/>
        <v>45930</v>
      </c>
      <c r="B169" s="26">
        <f t="shared" si="12"/>
        <v>51409</v>
      </c>
      <c r="C169" s="21">
        <f>IFERROR(HLOOKUP("Exp_Premium",CF_Gen_2[#All],MATCH($B169,CF_Gen_2[[#All],[Incurred]],0),0),0)</f>
        <v>2722421.0062210294</v>
      </c>
      <c r="D169" s="22">
        <f>IF(AND($J169&lt;YEAR($A169),$B169&lt;=$A169),IFERROR(HLOOKUP("Actual_Premium",CF_Gen_2[#All],MATCH($B169,CF_Gen_2[[#All],[Incurred]],0),0),0),0)</f>
        <v>0</v>
      </c>
      <c r="E169" s="21">
        <f>-IFERROR(HLOOKUP("Exp_Claim",CF_Gen_2[#All],MATCH($B169,CF_Gen_2[[#All],[Incurred]],0),0),0)-IFERROR(HLOOKUP("Exp_NPR",CF_Gen_2[#All],MATCH($B169,CF_Gen_2[[#All],[Incurred]],0),0),0)</f>
        <v>-1642240.4193794699</v>
      </c>
      <c r="F169" s="21">
        <f>-IFERROR(HLOOKUP("Exp_RA",CF_Gen_2[#All],MATCH($B169,CF_Gen_2[[#All],[Incurred]],0),0),0)</f>
        <v>-219641.2083532213</v>
      </c>
      <c r="G169" s="21">
        <f>-IFERROR(HLOOKUP("Exp_Expense",CF_Gen_2[#All],MATCH($B169,CF_Gen_2[[#All],[Incurred]],0),0),0)</f>
        <v>0</v>
      </c>
      <c r="H169" s="21">
        <f>-IFERROR(HLOOKUP("Exp_Commission",CF_Gen_2[#All],MATCH($B169,CF_Gen_2[[#All],[Incurred]],0),0),0)-IFERROR(HLOOKUP("Exp_Acquisition",CF_Gen_2[#All],MATCH($B169,CF_Gen_2[[#All],[Incurred]],0),0),0)</f>
        <v>814254.90066129621</v>
      </c>
      <c r="I169" s="22">
        <f>IF(AND($J169&lt;YEAR($A169),$B169&lt;=$A169),-IFERROR(HLOOKUP("Actual_Commission",CF_Gen_2[#All],MATCH($B169,CF_Gen_2[[#All],[Incurred]],0),0),0)-IFERROR(HLOOKUP("Actual_Acquisition",CF_Gen_2[#All],MATCH($B169,CF_Gen_2[[#All],[Incurred]],0),0),0),0)</f>
        <v>0</v>
      </c>
      <c r="J169" s="27">
        <f>VLOOKUP(L169,ICG[#All],2,0)</f>
        <v>2024</v>
      </c>
      <c r="K169" s="27" t="str">
        <f>VLOOKUP(L169,ICG[#All],3,0)</f>
        <v>RC-Property</v>
      </c>
      <c r="L169" s="27" t="str">
        <f t="shared" si="10"/>
        <v>#2024#RC-Property</v>
      </c>
    </row>
    <row r="170" spans="1:12">
      <c r="A170" s="26">
        <f t="shared" si="11"/>
        <v>45930</v>
      </c>
      <c r="B170" s="26">
        <f t="shared" si="12"/>
        <v>51501</v>
      </c>
      <c r="C170" s="21">
        <f>IFERROR(HLOOKUP("Exp_Premium",CF_Gen_2[#All],MATCH($B170,CF_Gen_2[[#All],[Incurred]],0),0),0)</f>
        <v>2376235.2950494695</v>
      </c>
      <c r="D170" s="22">
        <f>IF(AND($J170&lt;YEAR($A170),$B170&lt;=$A170),IFERROR(HLOOKUP("Actual_Premium",CF_Gen_2[#All],MATCH($B170,CF_Gen_2[[#All],[Incurred]],0),0),0),0)</f>
        <v>0</v>
      </c>
      <c r="E170" s="21">
        <f>-IFERROR(HLOOKUP("Exp_Claim",CF_Gen_2[#All],MATCH($B170,CF_Gen_2[[#All],[Incurred]],0),0),0)-IFERROR(HLOOKUP("Exp_NPR",CF_Gen_2[#All],MATCH($B170,CF_Gen_2[[#All],[Incurred]],0),0),0)</f>
        <v>-1478798.3966888457</v>
      </c>
      <c r="F170" s="21">
        <f>-IFERROR(HLOOKUP("Exp_RA",CF_Gen_2[#All],MATCH($B170,CF_Gen_2[[#All],[Incurred]],0),0),0)</f>
        <v>-197781.67856949585</v>
      </c>
      <c r="G170" s="21">
        <f>-IFERROR(HLOOKUP("Exp_Expense",CF_Gen_2[#All],MATCH($B170,CF_Gen_2[[#All],[Incurred]],0),0),0)</f>
        <v>0</v>
      </c>
      <c r="H170" s="21">
        <f>-IFERROR(HLOOKUP("Exp_Commission",CF_Gen_2[#All],MATCH($B170,CF_Gen_2[[#All],[Incurred]],0),0),0)-IFERROR(HLOOKUP("Exp_Acquisition",CF_Gen_2[#All],MATCH($B170,CF_Gen_2[[#All],[Incurred]],0),0),0)</f>
        <v>707888.91794728686</v>
      </c>
      <c r="I170" s="22">
        <f>IF(AND($J170&lt;YEAR($A170),$B170&lt;=$A170),-IFERROR(HLOOKUP("Actual_Commission",CF_Gen_2[#All],MATCH($B170,CF_Gen_2[[#All],[Incurred]],0),0),0)-IFERROR(HLOOKUP("Actual_Acquisition",CF_Gen_2[#All],MATCH($B170,CF_Gen_2[[#All],[Incurred]],0),0),0),0)</f>
        <v>0</v>
      </c>
      <c r="J170" s="27">
        <f>VLOOKUP(L170,ICG[#All],2,0)</f>
        <v>2024</v>
      </c>
      <c r="K170" s="27" t="str">
        <f>VLOOKUP(L170,ICG[#All],3,0)</f>
        <v>RC-Property</v>
      </c>
      <c r="L170" s="27" t="str">
        <f t="shared" si="10"/>
        <v>#2024#RC-Property</v>
      </c>
    </row>
    <row r="171" spans="1:12">
      <c r="A171" s="26">
        <f t="shared" ref="A171:A202" si="13">ValuationDate</f>
        <v>45930</v>
      </c>
      <c r="B171" s="26">
        <f t="shared" si="12"/>
        <v>51591</v>
      </c>
      <c r="C171" s="21">
        <f>IFERROR(HLOOKUP("Exp_Premium",CF_Gen_2[#All],MATCH($B171,CF_Gen_2[[#All],[Incurred]],0),0),0)</f>
        <v>2069770.1047617476</v>
      </c>
      <c r="D171" s="22">
        <f>IF(AND($J171&lt;YEAR($A171),$B171&lt;=$A171),IFERROR(HLOOKUP("Actual_Premium",CF_Gen_2[#All],MATCH($B171,CF_Gen_2[[#All],[Incurred]],0),0),0),0)</f>
        <v>0</v>
      </c>
      <c r="E171" s="21">
        <f>-IFERROR(HLOOKUP("Exp_Claim",CF_Gen_2[#All],MATCH($B171,CF_Gen_2[[#All],[Incurred]],0),0),0)-IFERROR(HLOOKUP("Exp_NPR",CF_Gen_2[#All],MATCH($B171,CF_Gen_2[[#All],[Incurred]],0),0),0)</f>
        <v>-1330191.2791199503</v>
      </c>
      <c r="F171" s="21">
        <f>-IFERROR(HLOOKUP("Exp_RA",CF_Gen_2[#All],MATCH($B171,CF_Gen_2[[#All],[Incurred]],0),0),0)</f>
        <v>-177906.24103456127</v>
      </c>
      <c r="G171" s="21">
        <f>-IFERROR(HLOOKUP("Exp_Expense",CF_Gen_2[#All],MATCH($B171,CF_Gen_2[[#All],[Incurred]],0),0),0)</f>
        <v>0</v>
      </c>
      <c r="H171" s="21">
        <f>-IFERROR(HLOOKUP("Exp_Commission",CF_Gen_2[#All],MATCH($B171,CF_Gen_2[[#All],[Incurred]],0),0),0)-IFERROR(HLOOKUP("Exp_Acquisition",CF_Gen_2[#All],MATCH($B171,CF_Gen_2[[#All],[Incurred]],0),0),0)</f>
        <v>613980.67532172636</v>
      </c>
      <c r="I171" s="22">
        <f>IF(AND($J171&lt;YEAR($A171),$B171&lt;=$A171),-IFERROR(HLOOKUP("Actual_Commission",CF_Gen_2[#All],MATCH($B171,CF_Gen_2[[#All],[Incurred]],0),0),0)-IFERROR(HLOOKUP("Actual_Acquisition",CF_Gen_2[#All],MATCH($B171,CF_Gen_2[[#All],[Incurred]],0),0),0),0)</f>
        <v>0</v>
      </c>
      <c r="J171" s="27">
        <f>VLOOKUP(L171,ICG[#All],2,0)</f>
        <v>2024</v>
      </c>
      <c r="K171" s="27" t="str">
        <f>VLOOKUP(L171,ICG[#All],3,0)</f>
        <v>RC-Property</v>
      </c>
      <c r="L171" s="27" t="str">
        <f t="shared" si="10"/>
        <v>#2024#RC-Property</v>
      </c>
    </row>
    <row r="172" spans="1:12">
      <c r="A172" s="26">
        <f t="shared" si="13"/>
        <v>45930</v>
      </c>
      <c r="B172" s="26">
        <f t="shared" ref="B172:B203" si="14">EOMONTH(B171,3)</f>
        <v>51682</v>
      </c>
      <c r="C172" s="21">
        <f>IFERROR(HLOOKUP("Exp_Premium",CF_Gen_2[#All],MATCH($B172,CF_Gen_2[[#All],[Incurred]],0),0),0)</f>
        <v>1798839.2655213475</v>
      </c>
      <c r="D172" s="22">
        <f>IF(AND($J172&lt;YEAR($A172),$B172&lt;=$A172),IFERROR(HLOOKUP("Actual_Premium",CF_Gen_2[#All],MATCH($B172,CF_Gen_2[[#All],[Incurred]],0),0),0),0)</f>
        <v>0</v>
      </c>
      <c r="E172" s="21">
        <f>-IFERROR(HLOOKUP("Exp_Claim",CF_Gen_2[#All],MATCH($B172,CF_Gen_2[[#All],[Incurred]],0),0),0)-IFERROR(HLOOKUP("Exp_NPR",CF_Gen_2[#All],MATCH($B172,CF_Gen_2[[#All],[Incurred]],0),0),0)</f>
        <v>-1195143.0458669253</v>
      </c>
      <c r="F172" s="21">
        <f>-IFERROR(HLOOKUP("Exp_RA",CF_Gen_2[#All],MATCH($B172,CF_Gen_2[[#All],[Incurred]],0),0),0)</f>
        <v>-159844.23452952702</v>
      </c>
      <c r="G172" s="21">
        <f>-IFERROR(HLOOKUP("Exp_Expense",CF_Gen_2[#All],MATCH($B172,CF_Gen_2[[#All],[Incurred]],0),0),0)</f>
        <v>0</v>
      </c>
      <c r="H172" s="21">
        <f>-IFERROR(HLOOKUP("Exp_Commission",CF_Gen_2[#All],MATCH($B172,CF_Gen_2[[#All],[Incurred]],0),0),0)-IFERROR(HLOOKUP("Exp_Acquisition",CF_Gen_2[#All],MATCH($B172,CF_Gen_2[[#All],[Incurred]],0),0),0)</f>
        <v>531198.33788101003</v>
      </c>
      <c r="I172" s="22">
        <f>IF(AND($J172&lt;YEAR($A172),$B172&lt;=$A172),-IFERROR(HLOOKUP("Actual_Commission",CF_Gen_2[#All],MATCH($B172,CF_Gen_2[[#All],[Incurred]],0),0),0)-IFERROR(HLOOKUP("Actual_Acquisition",CF_Gen_2[#All],MATCH($B172,CF_Gen_2[[#All],[Incurred]],0),0),0),0)</f>
        <v>0</v>
      </c>
      <c r="J172" s="27">
        <f>VLOOKUP(L172,ICG[#All],2,0)</f>
        <v>2024</v>
      </c>
      <c r="K172" s="27" t="str">
        <f>VLOOKUP(L172,ICG[#All],3,0)</f>
        <v>RC-Property</v>
      </c>
      <c r="L172" s="27" t="str">
        <f t="shared" ref="L172:L210" si="15">L171</f>
        <v>#2024#RC-Property</v>
      </c>
    </row>
    <row r="173" spans="1:12">
      <c r="A173" s="26">
        <f t="shared" si="13"/>
        <v>45930</v>
      </c>
      <c r="B173" s="26">
        <f t="shared" si="14"/>
        <v>51774</v>
      </c>
      <c r="C173" s="21">
        <f>IFERROR(HLOOKUP("Exp_Premium",CF_Gen_2[#All],MATCH($B173,CF_Gen_2[[#All],[Incurred]],0),0),0)</f>
        <v>1559670.5531993585</v>
      </c>
      <c r="D173" s="22">
        <f>IF(AND($J173&lt;YEAR($A173),$B173&lt;=$A173),IFERROR(HLOOKUP("Actual_Premium",CF_Gen_2[#All],MATCH($B173,CF_Gen_2[[#All],[Incurred]],0),0),0),0)</f>
        <v>0</v>
      </c>
      <c r="E173" s="21">
        <f>-IFERROR(HLOOKUP("Exp_Claim",CF_Gen_2[#All],MATCH($B173,CF_Gen_2[[#All],[Incurred]],0),0),0)-IFERROR(HLOOKUP("Exp_NPR",CF_Gen_2[#All],MATCH($B173,CF_Gen_2[[#All],[Incurred]],0),0),0)</f>
        <v>-1072483.628001635</v>
      </c>
      <c r="F173" s="21">
        <f>-IFERROR(HLOOKUP("Exp_RA",CF_Gen_2[#All],MATCH($B173,CF_Gen_2[[#All],[Incurred]],0),0),0)</f>
        <v>-143439.16835412814</v>
      </c>
      <c r="G173" s="21">
        <f>-IFERROR(HLOOKUP("Exp_Expense",CF_Gen_2[#All],MATCH($B173,CF_Gen_2[[#All],[Incurred]],0),0),0)</f>
        <v>0</v>
      </c>
      <c r="H173" s="21">
        <f>-IFERROR(HLOOKUP("Exp_Commission",CF_Gen_2[#All],MATCH($B173,CF_Gen_2[[#All],[Incurred]],0),0),0)-IFERROR(HLOOKUP("Exp_Acquisition",CF_Gen_2[#All],MATCH($B173,CF_Gen_2[[#All],[Incurred]],0),0),0)</f>
        <v>458343.11080406007</v>
      </c>
      <c r="I173" s="22">
        <f>IF(AND($J173&lt;YEAR($A173),$B173&lt;=$A173),-IFERROR(HLOOKUP("Actual_Commission",CF_Gen_2[#All],MATCH($B173,CF_Gen_2[[#All],[Incurred]],0),0),0)-IFERROR(HLOOKUP("Actual_Acquisition",CF_Gen_2[#All],MATCH($B173,CF_Gen_2[[#All],[Incurred]],0),0),0),0)</f>
        <v>0</v>
      </c>
      <c r="J173" s="27">
        <f>VLOOKUP(L173,ICG[#All],2,0)</f>
        <v>2024</v>
      </c>
      <c r="K173" s="27" t="str">
        <f>VLOOKUP(L173,ICG[#All],3,0)</f>
        <v>RC-Property</v>
      </c>
      <c r="L173" s="27" t="str">
        <f t="shared" si="15"/>
        <v>#2024#RC-Property</v>
      </c>
    </row>
    <row r="174" spans="1:12">
      <c r="A174" s="26">
        <f t="shared" si="13"/>
        <v>45930</v>
      </c>
      <c r="B174" s="26">
        <f t="shared" si="14"/>
        <v>51866</v>
      </c>
      <c r="C174" s="21">
        <f>IFERROR(HLOOKUP("Exp_Premium",CF_Gen_2[#All],MATCH($B174,CF_Gen_2[[#All],[Incurred]],0),0),0)</f>
        <v>1348866.6733338146</v>
      </c>
      <c r="D174" s="22">
        <f>IF(AND($J174&lt;YEAR($A174),$B174&lt;=$A174),IFERROR(HLOOKUP("Actual_Premium",CF_Gen_2[#All],MATCH($B174,CF_Gen_2[[#All],[Incurred]],0),0),0),0)</f>
        <v>0</v>
      </c>
      <c r="E174" s="21">
        <f>-IFERROR(HLOOKUP("Exp_Claim",CF_Gen_2[#All],MATCH($B174,CF_Gen_2[[#All],[Incurred]],0),0),0)-IFERROR(HLOOKUP("Exp_NPR",CF_Gen_2[#All],MATCH($B174,CF_Gen_2[[#All],[Incurred]],0),0),0)</f>
        <v>-961140.32771273796</v>
      </c>
      <c r="F174" s="21">
        <f>-IFERROR(HLOOKUP("Exp_RA",CF_Gen_2[#All],MATCH($B174,CF_Gen_2[[#All],[Incurred]],0),0),0)</f>
        <v>-128547.57469409046</v>
      </c>
      <c r="G174" s="21">
        <f>-IFERROR(HLOOKUP("Exp_Expense",CF_Gen_2[#All],MATCH($B174,CF_Gen_2[[#All],[Incurred]],0),0),0)</f>
        <v>0</v>
      </c>
      <c r="H174" s="21">
        <f>-IFERROR(HLOOKUP("Exp_Commission",CF_Gen_2[#All],MATCH($B174,CF_Gen_2[[#All],[Incurred]],0),0),0)-IFERROR(HLOOKUP("Exp_Acquisition",CF_Gen_2[#All],MATCH($B174,CF_Gen_2[[#All],[Incurred]],0),0),0)</f>
        <v>394336.6059032288</v>
      </c>
      <c r="I174" s="22">
        <f>IF(AND($J174&lt;YEAR($A174),$B174&lt;=$A174),-IFERROR(HLOOKUP("Actual_Commission",CF_Gen_2[#All],MATCH($B174,CF_Gen_2[[#All],[Incurred]],0),0),0)-IFERROR(HLOOKUP("Actual_Acquisition",CF_Gen_2[#All],MATCH($B174,CF_Gen_2[[#All],[Incurred]],0),0),0),0)</f>
        <v>0</v>
      </c>
      <c r="J174" s="27">
        <f>VLOOKUP(L174,ICG[#All],2,0)</f>
        <v>2024</v>
      </c>
      <c r="K174" s="27" t="str">
        <f>VLOOKUP(L174,ICG[#All],3,0)</f>
        <v>RC-Property</v>
      </c>
      <c r="L174" s="27" t="str">
        <f t="shared" si="15"/>
        <v>#2024#RC-Property</v>
      </c>
    </row>
    <row r="175" spans="1:12">
      <c r="A175" s="26">
        <f t="shared" si="13"/>
        <v>45930</v>
      </c>
      <c r="B175" s="26">
        <f t="shared" si="14"/>
        <v>51956</v>
      </c>
      <c r="C175" s="21">
        <f>IFERROR(HLOOKUP("Exp_Premium",CF_Gen_2[#All],MATCH($B175,CF_Gen_2[[#All],[Incurred]],0),0),0)</f>
        <v>1163369.7893119217</v>
      </c>
      <c r="D175" s="22">
        <f>IF(AND($J175&lt;YEAR($A175),$B175&lt;=$A175),IFERROR(HLOOKUP("Actual_Premium",CF_Gen_2[#All],MATCH($B175,CF_Gen_2[[#All],[Incurred]],0),0),0),0)</f>
        <v>0</v>
      </c>
      <c r="E175" s="21">
        <f>-IFERROR(HLOOKUP("Exp_Claim",CF_Gen_2[#All],MATCH($B175,CF_Gen_2[[#All],[Incurred]],0),0),0)-IFERROR(HLOOKUP("Exp_NPR",CF_Gen_2[#All],MATCH($B175,CF_Gen_2[[#All],[Incurred]],0),0),0)</f>
        <v>-860129.91968707845</v>
      </c>
      <c r="F175" s="21">
        <f>-IFERROR(HLOOKUP("Exp_RA",CF_Gen_2[#All],MATCH($B175,CF_Gen_2[[#All],[Incurred]],0),0),0)</f>
        <v>-115037.95222152284</v>
      </c>
      <c r="G175" s="21">
        <f>-IFERROR(HLOOKUP("Exp_Expense",CF_Gen_2[#All],MATCH($B175,CF_Gen_2[[#All],[Incurred]],0),0),0)</f>
        <v>0</v>
      </c>
      <c r="H175" s="21">
        <f>-IFERROR(HLOOKUP("Exp_Commission",CF_Gen_2[#All],MATCH($B175,CF_Gen_2[[#All],[Incurred]],0),0),0)-IFERROR(HLOOKUP("Exp_Acquisition",CF_Gen_2[#All],MATCH($B175,CF_Gen_2[[#All],[Incurred]],0),0),0)</f>
        <v>338209.3623296693</v>
      </c>
      <c r="I175" s="22">
        <f>IF(AND($J175&lt;YEAR($A175),$B175&lt;=$A175),-IFERROR(HLOOKUP("Actual_Commission",CF_Gen_2[#All],MATCH($B175,CF_Gen_2[[#All],[Incurred]],0),0),0)-IFERROR(HLOOKUP("Actual_Acquisition",CF_Gen_2[#All],MATCH($B175,CF_Gen_2[[#All],[Incurred]],0),0),0),0)</f>
        <v>0</v>
      </c>
      <c r="J175" s="27">
        <f>VLOOKUP(L175,ICG[#All],2,0)</f>
        <v>2024</v>
      </c>
      <c r="K175" s="27" t="str">
        <f>VLOOKUP(L175,ICG[#All],3,0)</f>
        <v>RC-Property</v>
      </c>
      <c r="L175" s="27" t="str">
        <f t="shared" si="15"/>
        <v>#2024#RC-Property</v>
      </c>
    </row>
    <row r="176" spans="1:12">
      <c r="A176" s="26">
        <f t="shared" si="13"/>
        <v>45930</v>
      </c>
      <c r="B176" s="26">
        <f t="shared" si="14"/>
        <v>52047</v>
      </c>
      <c r="C176" s="21">
        <f>IFERROR(HLOOKUP("Exp_Premium",CF_Gen_2[#All],MATCH($B176,CF_Gen_2[[#All],[Incurred]],0),0),0)</f>
        <v>1000429.2820407897</v>
      </c>
      <c r="D176" s="22">
        <f>IF(AND($J176&lt;YEAR($A176),$B176&lt;=$A176),IFERROR(HLOOKUP("Actual_Premium",CF_Gen_2[#All],MATCH($B176,CF_Gen_2[[#All],[Incurred]],0),0),0),0)</f>
        <v>0</v>
      </c>
      <c r="E176" s="21">
        <f>-IFERROR(HLOOKUP("Exp_Claim",CF_Gen_2[#All],MATCH($B176,CF_Gen_2[[#All],[Incurred]],0),0),0)-IFERROR(HLOOKUP("Exp_NPR",CF_Gen_2[#All],MATCH($B176,CF_Gen_2[[#All],[Incurred]],0),0),0)</f>
        <v>-768551.38117921923</v>
      </c>
      <c r="F176" s="21">
        <f>-IFERROR(HLOOKUP("Exp_RA",CF_Gen_2[#All],MATCH($B176,CF_Gen_2[[#All],[Incurred]],0),0),0)</f>
        <v>-102789.79377911368</v>
      </c>
      <c r="G176" s="21">
        <f>-IFERROR(HLOOKUP("Exp_Expense",CF_Gen_2[#All],MATCH($B176,CF_Gen_2[[#All],[Incurred]],0),0),0)</f>
        <v>0</v>
      </c>
      <c r="H176" s="21">
        <f>-IFERROR(HLOOKUP("Exp_Commission",CF_Gen_2[#All],MATCH($B176,CF_Gen_2[[#All],[Incurred]],0),0),0)-IFERROR(HLOOKUP("Exp_Acquisition",CF_Gen_2[#All],MATCH($B176,CF_Gen_2[[#All],[Incurred]],0),0),0)</f>
        <v>289090.41913969076</v>
      </c>
      <c r="I176" s="22">
        <f>IF(AND($J176&lt;YEAR($A176),$B176&lt;=$A176),-IFERROR(HLOOKUP("Actual_Commission",CF_Gen_2[#All],MATCH($B176,CF_Gen_2[[#All],[Incurred]],0),0),0)-IFERROR(HLOOKUP("Actual_Acquisition",CF_Gen_2[#All],MATCH($B176,CF_Gen_2[[#All],[Incurred]],0),0),0),0)</f>
        <v>0</v>
      </c>
      <c r="J176" s="27">
        <f>VLOOKUP(L176,ICG[#All],2,0)</f>
        <v>2024</v>
      </c>
      <c r="K176" s="27" t="str">
        <f>VLOOKUP(L176,ICG[#All],3,0)</f>
        <v>RC-Property</v>
      </c>
      <c r="L176" s="27" t="str">
        <f t="shared" si="15"/>
        <v>#2024#RC-Property</v>
      </c>
    </row>
    <row r="177" spans="1:12">
      <c r="A177" s="26">
        <f t="shared" si="13"/>
        <v>45930</v>
      </c>
      <c r="B177" s="26">
        <f t="shared" si="14"/>
        <v>52139</v>
      </c>
      <c r="C177" s="21">
        <f>IFERROR(HLOOKUP("Exp_Premium",CF_Gen_2[#All],MATCH($B177,CF_Gen_2[[#All],[Incurred]],0),0),0)</f>
        <v>857572.45532892679</v>
      </c>
      <c r="D177" s="22">
        <f>IF(AND($J177&lt;YEAR($A177),$B177&lt;=$A177),IFERROR(HLOOKUP("Actual_Premium",CF_Gen_2[#All],MATCH($B177,CF_Gen_2[[#All],[Incurred]],0),0),0),0)</f>
        <v>0</v>
      </c>
      <c r="E177" s="21">
        <f>-IFERROR(HLOOKUP("Exp_Claim",CF_Gen_2[#All],MATCH($B177,CF_Gen_2[[#All],[Incurred]],0),0),0)-IFERROR(HLOOKUP("Exp_NPR",CF_Gen_2[#All],MATCH($B177,CF_Gen_2[[#All],[Incurred]],0),0),0)</f>
        <v>-685579.201455993</v>
      </c>
      <c r="F177" s="21">
        <f>-IFERROR(HLOOKUP("Exp_RA",CF_Gen_2[#All],MATCH($B177,CF_Gen_2[[#All],[Incurred]],0),0),0)</f>
        <v>-91692.691552756267</v>
      </c>
      <c r="G177" s="21">
        <f>-IFERROR(HLOOKUP("Exp_Expense",CF_Gen_2[#All],MATCH($B177,CF_Gen_2[[#All],[Incurred]],0),0),0)</f>
        <v>0</v>
      </c>
      <c r="H177" s="21">
        <f>-IFERROR(HLOOKUP("Exp_Commission",CF_Gen_2[#All],MATCH($B177,CF_Gen_2[[#All],[Incurred]],0),0),0)-IFERROR(HLOOKUP("Exp_Acquisition",CF_Gen_2[#All],MATCH($B177,CF_Gen_2[[#All],[Incurred]],0),0),0)</f>
        <v>246197.84627744788</v>
      </c>
      <c r="I177" s="22">
        <f>IF(AND($J177&lt;YEAR($A177),$B177&lt;=$A177),-IFERROR(HLOOKUP("Actual_Commission",CF_Gen_2[#All],MATCH($B177,CF_Gen_2[[#All],[Incurred]],0),0),0)-IFERROR(HLOOKUP("Actual_Acquisition",CF_Gen_2[#All],MATCH($B177,CF_Gen_2[[#All],[Incurred]],0),0),0),0)</f>
        <v>0</v>
      </c>
      <c r="J177" s="27">
        <f>VLOOKUP(L177,ICG[#All],2,0)</f>
        <v>2024</v>
      </c>
      <c r="K177" s="27" t="str">
        <f>VLOOKUP(L177,ICG[#All],3,0)</f>
        <v>RC-Property</v>
      </c>
      <c r="L177" s="27" t="str">
        <f t="shared" si="15"/>
        <v>#2024#RC-Property</v>
      </c>
    </row>
    <row r="178" spans="1:12">
      <c r="A178" s="26">
        <f t="shared" si="13"/>
        <v>45930</v>
      </c>
      <c r="B178" s="26">
        <f t="shared" si="14"/>
        <v>52231</v>
      </c>
      <c r="C178" s="21">
        <f>IFERROR(HLOOKUP("Exp_Premium",CF_Gen_2[#All],MATCH($B178,CF_Gen_2[[#All],[Incurred]],0),0),0)</f>
        <v>732577.92587803828</v>
      </c>
      <c r="D178" s="22">
        <f>IF(AND($J178&lt;YEAR($A178),$B178&lt;=$A178),IFERROR(HLOOKUP("Actual_Premium",CF_Gen_2[#All],MATCH($B178,CF_Gen_2[[#All],[Incurred]],0),0),0),0)</f>
        <v>0</v>
      </c>
      <c r="E178" s="21">
        <f>-IFERROR(HLOOKUP("Exp_Claim",CF_Gen_2[#All],MATCH($B178,CF_Gen_2[[#All],[Incurred]],0),0),0)-IFERROR(HLOOKUP("Exp_NPR",CF_Gen_2[#All],MATCH($B178,CF_Gen_2[[#All],[Incurred]],0),0),0)</f>
        <v>-610457.22512624052</v>
      </c>
      <c r="F178" s="21">
        <f>-IFERROR(HLOOKUP("Exp_RA",CF_Gen_2[#All],MATCH($B178,CF_Gen_2[[#All],[Incurred]],0),0),0)</f>
        <v>-81645.513648571272</v>
      </c>
      <c r="G178" s="21">
        <f>-IFERROR(HLOOKUP("Exp_Expense",CF_Gen_2[#All],MATCH($B178,CF_Gen_2[[#All],[Incurred]],0),0),0)</f>
        <v>0</v>
      </c>
      <c r="H178" s="21">
        <f>-IFERROR(HLOOKUP("Exp_Commission",CF_Gen_2[#All],MATCH($B178,CF_Gen_2[[#All],[Incurred]],0),0),0)-IFERROR(HLOOKUP("Exp_Acquisition",CF_Gen_2[#All],MATCH($B178,CF_Gen_2[[#All],[Incurred]],0),0),0)</f>
        <v>208830.14862772962</v>
      </c>
      <c r="I178" s="22">
        <f>IF(AND($J178&lt;YEAR($A178),$B178&lt;=$A178),-IFERROR(HLOOKUP("Actual_Commission",CF_Gen_2[#All],MATCH($B178,CF_Gen_2[[#All],[Incurred]],0),0),0)-IFERROR(HLOOKUP("Actual_Acquisition",CF_Gen_2[#All],MATCH($B178,CF_Gen_2[[#All],[Incurred]],0),0),0),0)</f>
        <v>0</v>
      </c>
      <c r="J178" s="27">
        <f>VLOOKUP(L178,ICG[#All],2,0)</f>
        <v>2024</v>
      </c>
      <c r="K178" s="27" t="str">
        <f>VLOOKUP(L178,ICG[#All],3,0)</f>
        <v>RC-Property</v>
      </c>
      <c r="L178" s="27" t="str">
        <f t="shared" si="15"/>
        <v>#2024#RC-Property</v>
      </c>
    </row>
    <row r="179" spans="1:12">
      <c r="A179" s="26">
        <f t="shared" si="13"/>
        <v>45930</v>
      </c>
      <c r="B179" s="26">
        <f t="shared" si="14"/>
        <v>52321</v>
      </c>
      <c r="C179" s="21">
        <f>IFERROR(HLOOKUP("Exp_Premium",CF_Gen_2[#All],MATCH($B179,CF_Gen_2[[#All],[Incurred]],0),0),0)</f>
        <v>623451.45937224338</v>
      </c>
      <c r="D179" s="22">
        <f>IF(AND($J179&lt;YEAR($A179),$B179&lt;=$A179),IFERROR(HLOOKUP("Actual_Premium",CF_Gen_2[#All],MATCH($B179,CF_Gen_2[[#All],[Incurred]],0),0),0),0)</f>
        <v>0</v>
      </c>
      <c r="E179" s="21">
        <f>-IFERROR(HLOOKUP("Exp_Claim",CF_Gen_2[#All],MATCH($B179,CF_Gen_2[[#All],[Incurred]],0),0),0)-IFERROR(HLOOKUP("Exp_NPR",CF_Gen_2[#All],MATCH($B179,CF_Gen_2[[#All],[Incurred]],0),0),0)</f>
        <v>-542492.98739551916</v>
      </c>
      <c r="F179" s="21">
        <f>-IFERROR(HLOOKUP("Exp_RA",CF_Gen_2[#All],MATCH($B179,CF_Gen_2[[#All],[Incurred]],0),0),0)</f>
        <v>-72555.646462363671</v>
      </c>
      <c r="G179" s="21">
        <f>-IFERROR(HLOOKUP("Exp_Expense",CF_Gen_2[#All],MATCH($B179,CF_Gen_2[[#All],[Incurred]],0),0),0)</f>
        <v>0</v>
      </c>
      <c r="H179" s="21">
        <f>-IFERROR(HLOOKUP("Exp_Commission",CF_Gen_2[#All],MATCH($B179,CF_Gen_2[[#All],[Incurred]],0),0),0)-IFERROR(HLOOKUP("Exp_Acquisition",CF_Gen_2[#All],MATCH($B179,CF_Gen_2[[#All],[Incurred]],0),0),0)</f>
        <v>176358.46520321604</v>
      </c>
      <c r="I179" s="22">
        <f>IF(AND($J179&lt;YEAR($A179),$B179&lt;=$A179),-IFERROR(HLOOKUP("Actual_Commission",CF_Gen_2[#All],MATCH($B179,CF_Gen_2[[#All],[Incurred]],0),0),0)-IFERROR(HLOOKUP("Actual_Acquisition",CF_Gen_2[#All],MATCH($B179,CF_Gen_2[[#All],[Incurred]],0),0),0),0)</f>
        <v>0</v>
      </c>
      <c r="J179" s="27">
        <f>VLOOKUP(L179,ICG[#All],2,0)</f>
        <v>2024</v>
      </c>
      <c r="K179" s="27" t="str">
        <f>VLOOKUP(L179,ICG[#All],3,0)</f>
        <v>RC-Property</v>
      </c>
      <c r="L179" s="27" t="str">
        <f t="shared" si="15"/>
        <v>#2024#RC-Property</v>
      </c>
    </row>
    <row r="180" spans="1:12">
      <c r="A180" s="26">
        <f t="shared" si="13"/>
        <v>45930</v>
      </c>
      <c r="B180" s="26">
        <f t="shared" si="14"/>
        <v>52412</v>
      </c>
      <c r="C180" s="21">
        <f>IFERROR(HLOOKUP("Exp_Premium",CF_Gen_2[#All],MATCH($B180,CF_Gen_2[[#All],[Incurred]],0),0),0)</f>
        <v>528404.03482382349</v>
      </c>
      <c r="D180" s="22">
        <f>IF(AND($J180&lt;YEAR($A180),$B180&lt;=$A180),IFERROR(HLOOKUP("Actual_Premium",CF_Gen_2[#All],MATCH($B180,CF_Gen_2[[#All],[Incurred]],0),0),0),0)</f>
        <v>0</v>
      </c>
      <c r="E180" s="21">
        <f>-IFERROR(HLOOKUP("Exp_Claim",CF_Gen_2[#All],MATCH($B180,CF_Gen_2[[#All],[Incurred]],0),0),0)-IFERROR(HLOOKUP("Exp_NPR",CF_Gen_2[#All],MATCH($B180,CF_Gen_2[[#All],[Incurred]],0),0),0)</f>
        <v>-481052.50254398008</v>
      </c>
      <c r="F180" s="21">
        <f>-IFERROR(HLOOKUP("Exp_RA",CF_Gen_2[#All],MATCH($B180,CF_Gen_2[[#All],[Incurred]],0),0),0)</f>
        <v>-64338.297665347134</v>
      </c>
      <c r="G180" s="21">
        <f>-IFERROR(HLOOKUP("Exp_Expense",CF_Gen_2[#All],MATCH($B180,CF_Gen_2[[#All],[Incurred]],0),0),0)</f>
        <v>0</v>
      </c>
      <c r="H180" s="21">
        <f>-IFERROR(HLOOKUP("Exp_Commission",CF_Gen_2[#All],MATCH($B180,CF_Gen_2[[#All],[Incurred]],0),0),0)-IFERROR(HLOOKUP("Exp_Acquisition",CF_Gen_2[#All],MATCH($B180,CF_Gen_2[[#All],[Incurred]],0),0),0)</f>
        <v>148219.4923107918</v>
      </c>
      <c r="I180" s="22">
        <f>IF(AND($J180&lt;YEAR($A180),$B180&lt;=$A180),-IFERROR(HLOOKUP("Actual_Commission",CF_Gen_2[#All],MATCH($B180,CF_Gen_2[[#All],[Incurred]],0),0),0)-IFERROR(HLOOKUP("Actual_Acquisition",CF_Gen_2[#All],MATCH($B180,CF_Gen_2[[#All],[Incurred]],0),0),0),0)</f>
        <v>0</v>
      </c>
      <c r="J180" s="27">
        <f>VLOOKUP(L180,ICG[#All],2,0)</f>
        <v>2024</v>
      </c>
      <c r="K180" s="27" t="str">
        <f>VLOOKUP(L180,ICG[#All],3,0)</f>
        <v>RC-Property</v>
      </c>
      <c r="L180" s="27" t="str">
        <f t="shared" si="15"/>
        <v>#2024#RC-Property</v>
      </c>
    </row>
    <row r="181" spans="1:12">
      <c r="A181" s="26">
        <f t="shared" si="13"/>
        <v>45930</v>
      </c>
      <c r="B181" s="26">
        <f t="shared" si="14"/>
        <v>52504</v>
      </c>
      <c r="C181" s="21">
        <f>IFERROR(HLOOKUP("Exp_Premium",CF_Gen_2[#All],MATCH($B181,CF_Gen_2[[#All],[Incurred]],0),0),0)</f>
        <v>445831.93825078849</v>
      </c>
      <c r="D181" s="22">
        <f>IF(AND($J181&lt;YEAR($A181),$B181&lt;=$A181),IFERROR(HLOOKUP("Actual_Premium",CF_Gen_2[#All],MATCH($B181,CF_Gen_2[[#All],[Incurred]],0),0),0),0)</f>
        <v>0</v>
      </c>
      <c r="E181" s="21">
        <f>-IFERROR(HLOOKUP("Exp_Claim",CF_Gen_2[#All],MATCH($B181,CF_Gen_2[[#All],[Incurred]],0),0),0)-IFERROR(HLOOKUP("Exp_NPR",CF_Gen_2[#All],MATCH($B181,CF_Gen_2[[#All],[Incurred]],0),0),0)</f>
        <v>-425555.46993341844</v>
      </c>
      <c r="F181" s="21">
        <f>-IFERROR(HLOOKUP("Exp_RA",CF_Gen_2[#All],MATCH($B181,CF_Gen_2[[#All],[Incurred]],0),0),0)</f>
        <v>-56915.855032247324</v>
      </c>
      <c r="G181" s="21">
        <f>-IFERROR(HLOOKUP("Exp_Expense",CF_Gen_2[#All],MATCH($B181,CF_Gen_2[[#All],[Incurred]],0),0),0)</f>
        <v>0</v>
      </c>
      <c r="H181" s="21">
        <f>-IFERROR(HLOOKUP("Exp_Commission",CF_Gen_2[#All],MATCH($B181,CF_Gen_2[[#All],[Incurred]],0),0),0)-IFERROR(HLOOKUP("Exp_Acquisition",CF_Gen_2[#All],MATCH($B181,CF_Gen_2[[#All],[Incurred]],0),0),0)</f>
        <v>123909.06574407914</v>
      </c>
      <c r="I181" s="22">
        <f>IF(AND($J181&lt;YEAR($A181),$B181&lt;=$A181),-IFERROR(HLOOKUP("Actual_Commission",CF_Gen_2[#All],MATCH($B181,CF_Gen_2[[#All],[Incurred]],0),0),0)-IFERROR(HLOOKUP("Actual_Acquisition",CF_Gen_2[#All],MATCH($B181,CF_Gen_2[[#All],[Incurred]],0),0),0),0)</f>
        <v>0</v>
      </c>
      <c r="J181" s="27">
        <f>VLOOKUP(L181,ICG[#All],2,0)</f>
        <v>2024</v>
      </c>
      <c r="K181" s="27" t="str">
        <f>VLOOKUP(L181,ICG[#All],3,0)</f>
        <v>RC-Property</v>
      </c>
      <c r="L181" s="27" t="str">
        <f t="shared" si="15"/>
        <v>#2024#RC-Property</v>
      </c>
    </row>
    <row r="182" spans="1:12">
      <c r="A182" s="26">
        <f t="shared" si="13"/>
        <v>45930</v>
      </c>
      <c r="B182" s="26">
        <f t="shared" si="14"/>
        <v>52596</v>
      </c>
      <c r="C182" s="21">
        <f>IFERROR(HLOOKUP("Exp_Premium",CF_Gen_2[#All],MATCH($B182,CF_Gen_2[[#All],[Incurred]],0),0),0)</f>
        <v>374298.70406860468</v>
      </c>
      <c r="D182" s="22">
        <f>IF(AND($J182&lt;YEAR($A182),$B182&lt;=$A182),IFERROR(HLOOKUP("Actual_Premium",CF_Gen_2[#All],MATCH($B182,CF_Gen_2[[#All],[Incurred]],0),0),0),0)</f>
        <v>0</v>
      </c>
      <c r="E182" s="21">
        <f>-IFERROR(HLOOKUP("Exp_Claim",CF_Gen_2[#All],MATCH($B182,CF_Gen_2[[#All],[Incurred]],0),0),0)-IFERROR(HLOOKUP("Exp_NPR",CF_Gen_2[#All],MATCH($B182,CF_Gen_2[[#All],[Incurred]],0),0),0)</f>
        <v>-375470.86462586984</v>
      </c>
      <c r="F182" s="21">
        <f>-IFERROR(HLOOKUP("Exp_RA",CF_Gen_2[#All],MATCH($B182,CF_Gen_2[[#All],[Incurred]],0),0),0)</f>
        <v>-50217.296709221271</v>
      </c>
      <c r="G182" s="21">
        <f>-IFERROR(HLOOKUP("Exp_Expense",CF_Gen_2[#All],MATCH($B182,CF_Gen_2[[#All],[Incurred]],0),0),0)</f>
        <v>0</v>
      </c>
      <c r="H182" s="21">
        <f>-IFERROR(HLOOKUP("Exp_Commission",CF_Gen_2[#All],MATCH($B182,CF_Gen_2[[#All],[Incurred]],0),0),0)-IFERROR(HLOOKUP("Exp_Acquisition",CF_Gen_2[#All],MATCH($B182,CF_Gen_2[[#All],[Incurred]],0),0),0)</f>
        <v>102976.34272263257</v>
      </c>
      <c r="I182" s="22">
        <f>IF(AND($J182&lt;YEAR($A182),$B182&lt;=$A182),-IFERROR(HLOOKUP("Actual_Commission",CF_Gen_2[#All],MATCH($B182,CF_Gen_2[[#All],[Incurred]],0),0),0)-IFERROR(HLOOKUP("Actual_Acquisition",CF_Gen_2[#All],MATCH($B182,CF_Gen_2[[#All],[Incurred]],0),0),0),0)</f>
        <v>0</v>
      </c>
      <c r="J182" s="27">
        <f>VLOOKUP(L182,ICG[#All],2,0)</f>
        <v>2024</v>
      </c>
      <c r="K182" s="27" t="str">
        <f>VLOOKUP(L182,ICG[#All],3,0)</f>
        <v>RC-Property</v>
      </c>
      <c r="L182" s="27" t="str">
        <f t="shared" si="15"/>
        <v>#2024#RC-Property</v>
      </c>
    </row>
    <row r="183" spans="1:12">
      <c r="A183" s="26">
        <f t="shared" si="13"/>
        <v>45930</v>
      </c>
      <c r="B183" s="26">
        <f t="shared" si="14"/>
        <v>52687</v>
      </c>
      <c r="C183" s="21">
        <f>IFERROR(HLOOKUP("Exp_Premium",CF_Gen_2[#All],MATCH($B183,CF_Gen_2[[#All],[Incurred]],0),0),0)</f>
        <v>312518.73841087217</v>
      </c>
      <c r="D183" s="22">
        <f>IF(AND($J183&lt;YEAR($A183),$B183&lt;=$A183),IFERROR(HLOOKUP("Actual_Premium",CF_Gen_2[#All],MATCH($B183,CF_Gen_2[[#All],[Incurred]],0),0),0),0)</f>
        <v>0</v>
      </c>
      <c r="E183" s="21">
        <f>-IFERROR(HLOOKUP("Exp_Claim",CF_Gen_2[#All],MATCH($B183,CF_Gen_2[[#All],[Incurred]],0),0),0)-IFERROR(HLOOKUP("Exp_NPR",CF_Gen_2[#All],MATCH($B183,CF_Gen_2[[#All],[Incurred]],0),0),0)</f>
        <v>-330312.88225870446</v>
      </c>
      <c r="F183" s="21">
        <f>-IFERROR(HLOOKUP("Exp_RA",CF_Gen_2[#All],MATCH($B183,CF_Gen_2[[#All],[Incurred]],0),0),0)</f>
        <v>-44177.648861760885</v>
      </c>
      <c r="G183" s="21">
        <f>-IFERROR(HLOOKUP("Exp_Expense",CF_Gen_2[#All],MATCH($B183,CF_Gen_2[[#All],[Incurred]],0),0),0)</f>
        <v>0</v>
      </c>
      <c r="H183" s="21">
        <f>-IFERROR(HLOOKUP("Exp_Commission",CF_Gen_2[#All],MATCH($B183,CF_Gen_2[[#All],[Incurred]],0),0),0)-IFERROR(HLOOKUP("Exp_Acquisition",CF_Gen_2[#All],MATCH($B183,CF_Gen_2[[#All],[Incurred]],0),0),0)</f>
        <v>85018.529486614309</v>
      </c>
      <c r="I183" s="22">
        <f>IF(AND($J183&lt;YEAR($A183),$B183&lt;=$A183),-IFERROR(HLOOKUP("Actual_Commission",CF_Gen_2[#All],MATCH($B183,CF_Gen_2[[#All],[Incurred]],0),0),0)-IFERROR(HLOOKUP("Actual_Acquisition",CF_Gen_2[#All],MATCH($B183,CF_Gen_2[[#All],[Incurred]],0),0),0),0)</f>
        <v>0</v>
      </c>
      <c r="J183" s="27">
        <f>VLOOKUP(L183,ICG[#All],2,0)</f>
        <v>2024</v>
      </c>
      <c r="K183" s="27" t="str">
        <f>VLOOKUP(L183,ICG[#All],3,0)</f>
        <v>RC-Property</v>
      </c>
      <c r="L183" s="27" t="str">
        <f t="shared" si="15"/>
        <v>#2024#RC-Property</v>
      </c>
    </row>
    <row r="184" spans="1:12">
      <c r="A184" s="26">
        <f t="shared" si="13"/>
        <v>45930</v>
      </c>
      <c r="B184" s="26">
        <f t="shared" si="14"/>
        <v>52778</v>
      </c>
      <c r="C184" s="21">
        <f>IFERROR(HLOOKUP("Exp_Premium",CF_Gen_2[#All],MATCH($B184,CF_Gen_2[[#All],[Incurred]],0),0),0)</f>
        <v>259342.47307511451</v>
      </c>
      <c r="D184" s="22">
        <f>IF(AND($J184&lt;YEAR($A184),$B184&lt;=$A184),IFERROR(HLOOKUP("Actual_Premium",CF_Gen_2[#All],MATCH($B184,CF_Gen_2[[#All],[Incurred]],0),0),0),0)</f>
        <v>0</v>
      </c>
      <c r="E184" s="21">
        <f>-IFERROR(HLOOKUP("Exp_Claim",CF_Gen_2[#All],MATCH($B184,CF_Gen_2[[#All],[Incurred]],0),0),0)-IFERROR(HLOOKUP("Exp_NPR",CF_Gen_2[#All],MATCH($B184,CF_Gen_2[[#All],[Incurred]],0),0),0)</f>
        <v>-289637.21018627536</v>
      </c>
      <c r="F184" s="21">
        <f>-IFERROR(HLOOKUP("Exp_RA",CF_Gen_2[#All],MATCH($B184,CF_Gen_2[[#All],[Incurred]],0),0),0)</f>
        <v>-38737.486959069756</v>
      </c>
      <c r="G184" s="21">
        <f>-IFERROR(HLOOKUP("Exp_Expense",CF_Gen_2[#All],MATCH($B184,CF_Gen_2[[#All],[Incurred]],0),0),0)</f>
        <v>0</v>
      </c>
      <c r="H184" s="21">
        <f>-IFERROR(HLOOKUP("Exp_Commission",CF_Gen_2[#All],MATCH($B184,CF_Gen_2[[#All],[Incurred]],0),0),0)-IFERROR(HLOOKUP("Exp_Acquisition",CF_Gen_2[#All],MATCH($B184,CF_Gen_2[[#All],[Incurred]],0),0),0)</f>
        <v>69676.105199949394</v>
      </c>
      <c r="I184" s="22">
        <f>IF(AND($J184&lt;YEAR($A184),$B184&lt;=$A184),-IFERROR(HLOOKUP("Actual_Commission",CF_Gen_2[#All],MATCH($B184,CF_Gen_2[[#All],[Incurred]],0),0),0)-IFERROR(HLOOKUP("Actual_Acquisition",CF_Gen_2[#All],MATCH($B184,CF_Gen_2[[#All],[Incurred]],0),0),0),0)</f>
        <v>0</v>
      </c>
      <c r="J184" s="27">
        <f>VLOOKUP(L184,ICG[#All],2,0)</f>
        <v>2024</v>
      </c>
      <c r="K184" s="27" t="str">
        <f>VLOOKUP(L184,ICG[#All],3,0)</f>
        <v>RC-Property</v>
      </c>
      <c r="L184" s="27" t="str">
        <f t="shared" si="15"/>
        <v>#2024#RC-Property</v>
      </c>
    </row>
    <row r="185" spans="1:12">
      <c r="A185" s="26">
        <f t="shared" si="13"/>
        <v>45930</v>
      </c>
      <c r="B185" s="26">
        <f t="shared" si="14"/>
        <v>52870</v>
      </c>
      <c r="C185" s="21">
        <f>IFERROR(HLOOKUP("Exp_Premium",CF_Gen_2[#All],MATCH($B185,CF_Gen_2[[#All],[Incurred]],0),0),0)</f>
        <v>213742.91203339005</v>
      </c>
      <c r="D185" s="22">
        <f>IF(AND($J185&lt;YEAR($A185),$B185&lt;=$A185),IFERROR(HLOOKUP("Actual_Premium",CF_Gen_2[#All],MATCH($B185,CF_Gen_2[[#All],[Incurred]],0),0),0),0)</f>
        <v>0</v>
      </c>
      <c r="E185" s="21">
        <f>-IFERROR(HLOOKUP("Exp_Claim",CF_Gen_2[#All],MATCH($B185,CF_Gen_2[[#All],[Incurred]],0),0),0)-IFERROR(HLOOKUP("Exp_NPR",CF_Gen_2[#All],MATCH($B185,CF_Gen_2[[#All],[Incurred]],0),0),0)</f>
        <v>-253037.59908091879</v>
      </c>
      <c r="F185" s="21">
        <f>-IFERROR(HLOOKUP("Exp_RA",CF_Gen_2[#All],MATCH($B185,CF_Gen_2[[#All],[Incurred]],0),0),0)</f>
        <v>-33842.47724333276</v>
      </c>
      <c r="G185" s="21">
        <f>-IFERROR(HLOOKUP("Exp_Expense",CF_Gen_2[#All],MATCH($B185,CF_Gen_2[[#All],[Incurred]],0),0),0)</f>
        <v>0</v>
      </c>
      <c r="H185" s="21">
        <f>-IFERROR(HLOOKUP("Exp_Commission",CF_Gen_2[#All],MATCH($B185,CF_Gen_2[[#All],[Incurred]],0),0),0)-IFERROR(HLOOKUP("Exp_Acquisition",CF_Gen_2[#All],MATCH($B185,CF_Gen_2[[#All],[Incurred]],0),0),0)</f>
        <v>56628.49715228931</v>
      </c>
      <c r="I185" s="22">
        <f>IF(AND($J185&lt;YEAR($A185),$B185&lt;=$A185),-IFERROR(HLOOKUP("Actual_Commission",CF_Gen_2[#All],MATCH($B185,CF_Gen_2[[#All],[Incurred]],0),0),0)-IFERROR(HLOOKUP("Actual_Acquisition",CF_Gen_2[#All],MATCH($B185,CF_Gen_2[[#All],[Incurred]],0),0),0),0)</f>
        <v>0</v>
      </c>
      <c r="J185" s="27">
        <f>VLOOKUP(L185,ICG[#All],2,0)</f>
        <v>2024</v>
      </c>
      <c r="K185" s="27" t="str">
        <f>VLOOKUP(L185,ICG[#All],3,0)</f>
        <v>RC-Property</v>
      </c>
      <c r="L185" s="27" t="str">
        <f t="shared" si="15"/>
        <v>#2024#RC-Property</v>
      </c>
    </row>
    <row r="186" spans="1:12">
      <c r="A186" s="26">
        <f t="shared" si="13"/>
        <v>45930</v>
      </c>
      <c r="B186" s="26">
        <f t="shared" si="14"/>
        <v>52962</v>
      </c>
      <c r="C186" s="21">
        <f>IFERROR(HLOOKUP("Exp_Premium",CF_Gen_2[#All],MATCH($B186,CF_Gen_2[[#All],[Incurred]],0),0),0)</f>
        <v>174803.4445571125</v>
      </c>
      <c r="D186" s="22">
        <f>IF(AND($J186&lt;YEAR($A186),$B186&lt;=$A186),IFERROR(HLOOKUP("Actual_Premium",CF_Gen_2[#All],MATCH($B186,CF_Gen_2[[#All],[Incurred]],0),0),0),0)</f>
        <v>0</v>
      </c>
      <c r="E186" s="21">
        <f>-IFERROR(HLOOKUP("Exp_Claim",CF_Gen_2[#All],MATCH($B186,CF_Gen_2[[#All],[Incurred]],0),0),0)-IFERROR(HLOOKUP("Exp_NPR",CF_Gen_2[#All],MATCH($B186,CF_Gen_2[[#All],[Incurred]],0),0),0)</f>
        <v>-220142.71120039932</v>
      </c>
      <c r="F186" s="21">
        <f>-IFERROR(HLOOKUP("Exp_RA",CF_Gen_2[#All],MATCH($B186,CF_Gen_2[[#All],[Incurred]],0),0),0)</f>
        <v>-29442.955201699497</v>
      </c>
      <c r="G186" s="21">
        <f>-IFERROR(HLOOKUP("Exp_Expense",CF_Gen_2[#All],MATCH($B186,CF_Gen_2[[#All],[Incurred]],0),0),0)</f>
        <v>0</v>
      </c>
      <c r="H186" s="21">
        <f>-IFERROR(HLOOKUP("Exp_Commission",CF_Gen_2[#All],MATCH($B186,CF_Gen_2[[#All],[Incurred]],0),0),0)-IFERROR(HLOOKUP("Exp_Acquisition",CF_Gen_2[#All],MATCH($B186,CF_Gen_2[[#All],[Incurred]],0),0),0)</f>
        <v>45590.166214843062</v>
      </c>
      <c r="I186" s="22">
        <f>IF(AND($J186&lt;YEAR($A186),$B186&lt;=$A186),-IFERROR(HLOOKUP("Actual_Commission",CF_Gen_2[#All],MATCH($B186,CF_Gen_2[[#All],[Incurred]],0),0),0)-IFERROR(HLOOKUP("Actual_Acquisition",CF_Gen_2[#All],MATCH($B186,CF_Gen_2[[#All],[Incurred]],0),0),0),0)</f>
        <v>0</v>
      </c>
      <c r="J186" s="27">
        <f>VLOOKUP(L186,ICG[#All],2,0)</f>
        <v>2024</v>
      </c>
      <c r="K186" s="27" t="str">
        <f>VLOOKUP(L186,ICG[#All],3,0)</f>
        <v>RC-Property</v>
      </c>
      <c r="L186" s="27" t="str">
        <f t="shared" si="15"/>
        <v>#2024#RC-Property</v>
      </c>
    </row>
    <row r="187" spans="1:12">
      <c r="A187" s="26">
        <f t="shared" si="13"/>
        <v>45930</v>
      </c>
      <c r="B187" s="26">
        <f t="shared" si="14"/>
        <v>53052</v>
      </c>
      <c r="C187" s="21">
        <f>IFERROR(HLOOKUP("Exp_Premium",CF_Gen_2[#All],MATCH($B187,CF_Gen_2[[#All],[Incurred]],0),0),0)</f>
        <v>141706.81007658661</v>
      </c>
      <c r="D187" s="22">
        <f>IF(AND($J187&lt;YEAR($A187),$B187&lt;=$A187),IFERROR(HLOOKUP("Actual_Premium",CF_Gen_2[#All],MATCH($B187,CF_Gen_2[[#All],[Incurred]],0),0),0),0)</f>
        <v>0</v>
      </c>
      <c r="E187" s="21">
        <f>-IFERROR(HLOOKUP("Exp_Claim",CF_Gen_2[#All],MATCH($B187,CF_Gen_2[[#All],[Incurred]],0),0),0)-IFERROR(HLOOKUP("Exp_NPR",CF_Gen_2[#All],MATCH($B187,CF_Gen_2[[#All],[Incurred]],0),0),0)</f>
        <v>-190613.22338765603</v>
      </c>
      <c r="F187" s="21">
        <f>-IFERROR(HLOOKUP("Exp_RA",CF_Gen_2[#All],MATCH($B187,CF_Gen_2[[#All],[Incurred]],0),0),0)</f>
        <v>-25493.538107402557</v>
      </c>
      <c r="G187" s="21">
        <f>-IFERROR(HLOOKUP("Exp_Expense",CF_Gen_2[#All],MATCH($B187,CF_Gen_2[[#All],[Incurred]],0),0),0)</f>
        <v>0</v>
      </c>
      <c r="H187" s="21">
        <f>-IFERROR(HLOOKUP("Exp_Commission",CF_Gen_2[#All],MATCH($B187,CF_Gen_2[[#All],[Incurred]],0),0),0)-IFERROR(HLOOKUP("Exp_Acquisition",CF_Gen_2[#All],MATCH($B187,CF_Gen_2[[#All],[Incurred]],0),0),0)</f>
        <v>36307.065128682778</v>
      </c>
      <c r="I187" s="22">
        <f>IF(AND($J187&lt;YEAR($A187),$B187&lt;=$A187),-IFERROR(HLOOKUP("Actual_Commission",CF_Gen_2[#All],MATCH($B187,CF_Gen_2[[#All],[Incurred]],0),0),0)-IFERROR(HLOOKUP("Actual_Acquisition",CF_Gen_2[#All],MATCH($B187,CF_Gen_2[[#All],[Incurred]],0),0),0),0)</f>
        <v>0</v>
      </c>
      <c r="J187" s="27">
        <f>VLOOKUP(L187,ICG[#All],2,0)</f>
        <v>2024</v>
      </c>
      <c r="K187" s="27" t="str">
        <f>VLOOKUP(L187,ICG[#All],3,0)</f>
        <v>RC-Property</v>
      </c>
      <c r="L187" s="27" t="str">
        <f t="shared" si="15"/>
        <v>#2024#RC-Property</v>
      </c>
    </row>
    <row r="188" spans="1:12">
      <c r="A188" s="26">
        <f t="shared" si="13"/>
        <v>45930</v>
      </c>
      <c r="B188" s="26">
        <f t="shared" si="14"/>
        <v>53143</v>
      </c>
      <c r="C188" s="21">
        <f>IFERROR(HLOOKUP("Exp_Premium",CF_Gen_2[#All],MATCH($B188,CF_Gen_2[[#All],[Incurred]],0),0),0)</f>
        <v>113725.11001577841</v>
      </c>
      <c r="D188" s="22">
        <f>IF(AND($J188&lt;YEAR($A188),$B188&lt;=$A188),IFERROR(HLOOKUP("Actual_Premium",CF_Gen_2[#All],MATCH($B188,CF_Gen_2[[#All],[Incurred]],0),0),0),0)</f>
        <v>0</v>
      </c>
      <c r="E188" s="21">
        <f>-IFERROR(HLOOKUP("Exp_Claim",CF_Gen_2[#All],MATCH($B188,CF_Gen_2[[#All],[Incurred]],0),0),0)-IFERROR(HLOOKUP("Exp_NPR",CF_Gen_2[#All],MATCH($B188,CF_Gen_2[[#All],[Incurred]],0),0),0)</f>
        <v>-164139.16458381491</v>
      </c>
      <c r="F188" s="21">
        <f>-IFERROR(HLOOKUP("Exp_RA",CF_Gen_2[#All],MATCH($B188,CF_Gen_2[[#All],[Incurred]],0),0),0)</f>
        <v>-21952.768925818869</v>
      </c>
      <c r="G188" s="21">
        <f>-IFERROR(HLOOKUP("Exp_Expense",CF_Gen_2[#All],MATCH($B188,CF_Gen_2[[#All],[Incurred]],0),0),0)</f>
        <v>0</v>
      </c>
      <c r="H188" s="21">
        <f>-IFERROR(HLOOKUP("Exp_Commission",CF_Gen_2[#All],MATCH($B188,CF_Gen_2[[#All],[Incurred]],0),0),0)-IFERROR(HLOOKUP("Exp_Acquisition",CF_Gen_2[#All],MATCH($B188,CF_Gen_2[[#All],[Incurred]],0),0),0)</f>
        <v>28553.43551529562</v>
      </c>
      <c r="I188" s="22">
        <f>IF(AND($J188&lt;YEAR($A188),$B188&lt;=$A188),-IFERROR(HLOOKUP("Actual_Commission",CF_Gen_2[#All],MATCH($B188,CF_Gen_2[[#All],[Incurred]],0),0),0)-IFERROR(HLOOKUP("Actual_Acquisition",CF_Gen_2[#All],MATCH($B188,CF_Gen_2[[#All],[Incurred]],0),0),0),0)</f>
        <v>0</v>
      </c>
      <c r="J188" s="27">
        <f>VLOOKUP(L188,ICG[#All],2,0)</f>
        <v>2024</v>
      </c>
      <c r="K188" s="27" t="str">
        <f>VLOOKUP(L188,ICG[#All],3,0)</f>
        <v>RC-Property</v>
      </c>
      <c r="L188" s="27" t="str">
        <f t="shared" si="15"/>
        <v>#2024#RC-Property</v>
      </c>
    </row>
    <row r="189" spans="1:12">
      <c r="A189" s="26">
        <f t="shared" si="13"/>
        <v>45930</v>
      </c>
      <c r="B189" s="26">
        <f t="shared" si="14"/>
        <v>53235</v>
      </c>
      <c r="C189" s="21">
        <f>IFERROR(HLOOKUP("Exp_Premium",CF_Gen_2[#All],MATCH($B189,CF_Gen_2[[#All],[Incurred]],0),0),0)</f>
        <v>90210.771091927731</v>
      </c>
      <c r="D189" s="22">
        <f>IF(AND($J189&lt;YEAR($A189),$B189&lt;=$A189),IFERROR(HLOOKUP("Actual_Premium",CF_Gen_2[#All],MATCH($B189,CF_Gen_2[[#All],[Incurred]],0),0),0),0)</f>
        <v>0</v>
      </c>
      <c r="E189" s="21">
        <f>-IFERROR(HLOOKUP("Exp_Claim",CF_Gen_2[#All],MATCH($B189,CF_Gen_2[[#All],[Incurred]],0),0),0)-IFERROR(HLOOKUP("Exp_NPR",CF_Gen_2[#All],MATCH($B189,CF_Gen_2[[#All],[Incurred]],0),0),0)</f>
        <v>-140437.46921791203</v>
      </c>
      <c r="F189" s="21">
        <f>-IFERROR(HLOOKUP("Exp_RA",CF_Gen_2[#All],MATCH($B189,CF_Gen_2[[#All],[Incurred]],0),0),0)</f>
        <v>-18782.78909293062</v>
      </c>
      <c r="G189" s="21">
        <f>-IFERROR(HLOOKUP("Exp_Expense",CF_Gen_2[#All],MATCH($B189,CF_Gen_2[[#All],[Incurred]],0),0),0)</f>
        <v>0</v>
      </c>
      <c r="H189" s="21">
        <f>-IFERROR(HLOOKUP("Exp_Commission",CF_Gen_2[#All],MATCH($B189,CF_Gen_2[[#All],[Incurred]],0),0),0)-IFERROR(HLOOKUP("Exp_Acquisition",CF_Gen_2[#All],MATCH($B189,CF_Gen_2[[#All],[Incurred]],0),0),0)</f>
        <v>22128.912524354102</v>
      </c>
      <c r="I189" s="22">
        <f>IF(AND($J189&lt;YEAR($A189),$B189&lt;=$A189),-IFERROR(HLOOKUP("Actual_Commission",CF_Gen_2[#All],MATCH($B189,CF_Gen_2[[#All],[Incurred]],0),0),0)-IFERROR(HLOOKUP("Actual_Acquisition",CF_Gen_2[#All],MATCH($B189,CF_Gen_2[[#All],[Incurred]],0),0),0),0)</f>
        <v>0</v>
      </c>
      <c r="J189" s="27">
        <f>VLOOKUP(L189,ICG[#All],2,0)</f>
        <v>2024</v>
      </c>
      <c r="K189" s="27" t="str">
        <f>VLOOKUP(L189,ICG[#All],3,0)</f>
        <v>RC-Property</v>
      </c>
      <c r="L189" s="27" t="str">
        <f t="shared" si="15"/>
        <v>#2024#RC-Property</v>
      </c>
    </row>
    <row r="190" spans="1:12">
      <c r="A190" s="26">
        <f t="shared" si="13"/>
        <v>45930</v>
      </c>
      <c r="B190" s="26">
        <f t="shared" si="14"/>
        <v>53327</v>
      </c>
      <c r="C190" s="21">
        <f>IFERROR(HLOOKUP("Exp_Premium",CF_Gen_2[#All],MATCH($B190,CF_Gen_2[[#All],[Incurred]],0),0),0)</f>
        <v>70588.37302131117</v>
      </c>
      <c r="D190" s="22">
        <f>IF(AND($J190&lt;YEAR($A190),$B190&lt;=$A190),IFERROR(HLOOKUP("Actual_Premium",CF_Gen_2[#All],MATCH($B190,CF_Gen_2[[#All],[Incurred]],0),0),0),0)</f>
        <v>0</v>
      </c>
      <c r="E190" s="21">
        <f>-IFERROR(HLOOKUP("Exp_Claim",CF_Gen_2[#All],MATCH($B190,CF_Gen_2[[#All],[Incurred]],0),0),0)-IFERROR(HLOOKUP("Exp_NPR",CF_Gen_2[#All],MATCH($B190,CF_Gen_2[[#All],[Incurred]],0),0),0)</f>
        <v>-119249.72929677487</v>
      </c>
      <c r="F190" s="21">
        <f>-IFERROR(HLOOKUP("Exp_RA",CF_Gen_2[#All],MATCH($B190,CF_Gen_2[[#All],[Incurred]],0),0),0)</f>
        <v>-15949.037868910218</v>
      </c>
      <c r="G190" s="21">
        <f>-IFERROR(HLOOKUP("Exp_Expense",CF_Gen_2[#All],MATCH($B190,CF_Gen_2[[#All],[Incurred]],0),0),0)</f>
        <v>0</v>
      </c>
      <c r="H190" s="21">
        <f>-IFERROR(HLOOKUP("Exp_Commission",CF_Gen_2[#All],MATCH($B190,CF_Gen_2[[#All],[Incurred]],0),0),0)-IFERROR(HLOOKUP("Exp_Acquisition",CF_Gen_2[#All],MATCH($B190,CF_Gen_2[[#All],[Incurred]],0),0),0)</f>
        <v>16855.908797122294</v>
      </c>
      <c r="I190" s="22">
        <f>IF(AND($J190&lt;YEAR($A190),$B190&lt;=$A190),-IFERROR(HLOOKUP("Actual_Commission",CF_Gen_2[#All],MATCH($B190,CF_Gen_2[[#All],[Incurred]],0),0),0)-IFERROR(HLOOKUP("Actual_Acquisition",CF_Gen_2[#All],MATCH($B190,CF_Gen_2[[#All],[Incurred]],0),0),0),0)</f>
        <v>0</v>
      </c>
      <c r="J190" s="27">
        <f>VLOOKUP(L190,ICG[#All],2,0)</f>
        <v>2024</v>
      </c>
      <c r="K190" s="27" t="str">
        <f>VLOOKUP(L190,ICG[#All],3,0)</f>
        <v>RC-Property</v>
      </c>
      <c r="L190" s="27" t="str">
        <f t="shared" si="15"/>
        <v>#2024#RC-Property</v>
      </c>
    </row>
    <row r="191" spans="1:12">
      <c r="A191" s="26">
        <f t="shared" si="13"/>
        <v>45930</v>
      </c>
      <c r="B191" s="26">
        <f t="shared" si="14"/>
        <v>53417</v>
      </c>
      <c r="C191" s="21">
        <f>IFERROR(HLOOKUP("Exp_Premium",CF_Gen_2[#All],MATCH($B191,CF_Gen_2[[#All],[Incurred]],0),0),0)</f>
        <v>54347.261294194745</v>
      </c>
      <c r="D191" s="22">
        <f>IF(AND($J191&lt;YEAR($A191),$B191&lt;=$A191),IFERROR(HLOOKUP("Actual_Premium",CF_Gen_2[#All],MATCH($B191,CF_Gen_2[[#All],[Incurred]],0),0),0),0)</f>
        <v>0</v>
      </c>
      <c r="E191" s="21">
        <f>-IFERROR(HLOOKUP("Exp_Claim",CF_Gen_2[#All],MATCH($B191,CF_Gen_2[[#All],[Incurred]],0),0),0)-IFERROR(HLOOKUP("Exp_NPR",CF_Gen_2[#All],MATCH($B191,CF_Gen_2[[#All],[Incurred]],0),0),0)</f>
        <v>-100340.12936542912</v>
      </c>
      <c r="F191" s="21">
        <f>-IFERROR(HLOOKUP("Exp_RA",CF_Gen_2[#All],MATCH($B191,CF_Gen_2[[#All],[Incurred]],0),0),0)</f>
        <v>-13419.97614969731</v>
      </c>
      <c r="G191" s="21">
        <f>-IFERROR(HLOOKUP("Exp_Expense",CF_Gen_2[#All],MATCH($B191,CF_Gen_2[[#All],[Incurred]],0),0),0)</f>
        <v>0</v>
      </c>
      <c r="H191" s="21">
        <f>-IFERROR(HLOOKUP("Exp_Commission",CF_Gen_2[#All],MATCH($B191,CF_Gen_2[[#All],[Incurred]],0),0),0)-IFERROR(HLOOKUP("Exp_Acquisition",CF_Gen_2[#All],MATCH($B191,CF_Gen_2[[#All],[Incurred]],0),0),0)</f>
        <v>12577.251947806253</v>
      </c>
      <c r="I191" s="22">
        <f>IF(AND($J191&lt;YEAR($A191),$B191&lt;=$A191),-IFERROR(HLOOKUP("Actual_Commission",CF_Gen_2[#All],MATCH($B191,CF_Gen_2[[#All],[Incurred]],0),0),0)-IFERROR(HLOOKUP("Actual_Acquisition",CF_Gen_2[#All],MATCH($B191,CF_Gen_2[[#All],[Incurred]],0),0),0),0)</f>
        <v>0</v>
      </c>
      <c r="J191" s="27">
        <f>VLOOKUP(L191,ICG[#All],2,0)</f>
        <v>2024</v>
      </c>
      <c r="K191" s="27" t="str">
        <f>VLOOKUP(L191,ICG[#All],3,0)</f>
        <v>RC-Property</v>
      </c>
      <c r="L191" s="27" t="str">
        <f t="shared" si="15"/>
        <v>#2024#RC-Property</v>
      </c>
    </row>
    <row r="192" spans="1:12">
      <c r="A192" s="26">
        <f t="shared" si="13"/>
        <v>45930</v>
      </c>
      <c r="B192" s="26">
        <f t="shared" si="14"/>
        <v>53508</v>
      </c>
      <c r="C192" s="21">
        <f>IFERROR(HLOOKUP("Exp_Premium",CF_Gen_2[#All],MATCH($B192,CF_Gen_2[[#All],[Incurred]],0),0),0)</f>
        <v>41034.872735596931</v>
      </c>
      <c r="D192" s="22">
        <f>IF(AND($J192&lt;YEAR($A192),$B192&lt;=$A192),IFERROR(HLOOKUP("Actual_Premium",CF_Gen_2[#All],MATCH($B192,CF_Gen_2[[#All],[Incurred]],0),0),0),0)</f>
        <v>0</v>
      </c>
      <c r="E192" s="21">
        <f>-IFERROR(HLOOKUP("Exp_Claim",CF_Gen_2[#All],MATCH($B192,CF_Gen_2[[#All],[Incurred]],0),0),0)-IFERROR(HLOOKUP("Exp_NPR",CF_Gen_2[#All],MATCH($B192,CF_Gen_2[[#All],[Incurred]],0),0),0)</f>
        <v>-83493.549750917606</v>
      </c>
      <c r="F192" s="21">
        <f>-IFERROR(HLOOKUP("Exp_RA",CF_Gen_2[#All],MATCH($B192,CF_Gen_2[[#All],[Incurred]],0),0),0)</f>
        <v>-11166.832785616552</v>
      </c>
      <c r="G192" s="21">
        <f>-IFERROR(HLOOKUP("Exp_Expense",CF_Gen_2[#All],MATCH($B192,CF_Gen_2[[#All],[Incurred]],0),0),0)</f>
        <v>0</v>
      </c>
      <c r="H192" s="21">
        <f>-IFERROR(HLOOKUP("Exp_Commission",CF_Gen_2[#All],MATCH($B192,CF_Gen_2[[#All],[Incurred]],0),0),0)-IFERROR(HLOOKUP("Exp_Acquisition",CF_Gen_2[#All],MATCH($B192,CF_Gen_2[[#All],[Incurred]],0),0),0)</f>
        <v>9154.0520698381151</v>
      </c>
      <c r="I192" s="22">
        <f>IF(AND($J192&lt;YEAR($A192),$B192&lt;=$A192),-IFERROR(HLOOKUP("Actual_Commission",CF_Gen_2[#All],MATCH($B192,CF_Gen_2[[#All],[Incurred]],0),0),0)-IFERROR(HLOOKUP("Actual_Acquisition",CF_Gen_2[#All],MATCH($B192,CF_Gen_2[[#All],[Incurred]],0),0),0),0)</f>
        <v>0</v>
      </c>
      <c r="J192" s="27">
        <f>VLOOKUP(L192,ICG[#All],2,0)</f>
        <v>2024</v>
      </c>
      <c r="K192" s="27" t="str">
        <f>VLOOKUP(L192,ICG[#All],3,0)</f>
        <v>RC-Property</v>
      </c>
      <c r="L192" s="27" t="str">
        <f t="shared" si="15"/>
        <v>#2024#RC-Property</v>
      </c>
    </row>
    <row r="193" spans="1:12">
      <c r="A193" s="26">
        <f t="shared" si="13"/>
        <v>45930</v>
      </c>
      <c r="B193" s="26">
        <f t="shared" si="14"/>
        <v>53600</v>
      </c>
      <c r="C193" s="21">
        <f>IFERROR(HLOOKUP("Exp_Premium",CF_Gen_2[#All],MATCH($B193,CF_Gen_2[[#All],[Incurred]],0),0),0)</f>
        <v>30250.708010571154</v>
      </c>
      <c r="D193" s="22">
        <f>IF(AND($J193&lt;YEAR($A193),$B193&lt;=$A193),IFERROR(HLOOKUP("Actual_Premium",CF_Gen_2[#All],MATCH($B193,CF_Gen_2[[#All],[Incurred]],0),0),0),0)</f>
        <v>0</v>
      </c>
      <c r="E193" s="21">
        <f>-IFERROR(HLOOKUP("Exp_Claim",CF_Gen_2[#All],MATCH($B193,CF_Gen_2[[#All],[Incurred]],0),0),0)-IFERROR(HLOOKUP("Exp_NPR",CF_Gen_2[#All],MATCH($B193,CF_Gen_2[[#All],[Incurred]],0),0),0)</f>
        <v>-68513.824648547074</v>
      </c>
      <c r="F193" s="21">
        <f>-IFERROR(HLOOKUP("Exp_RA",CF_Gen_2[#All],MATCH($B193,CF_Gen_2[[#All],[Incurred]],0),0),0)</f>
        <v>-9163.3716093735784</v>
      </c>
      <c r="G193" s="21">
        <f>-IFERROR(HLOOKUP("Exp_Expense",CF_Gen_2[#All],MATCH($B193,CF_Gen_2[[#All],[Incurred]],0),0),0)</f>
        <v>0</v>
      </c>
      <c r="H193" s="21">
        <f>-IFERROR(HLOOKUP("Exp_Commission",CF_Gen_2[#All],MATCH($B193,CF_Gen_2[[#All],[Incurred]],0),0),0)-IFERROR(HLOOKUP("Exp_Acquisition",CF_Gen_2[#All],MATCH($B193,CF_Gen_2[[#All],[Incurred]],0),0),0)</f>
        <v>6463.777878202357</v>
      </c>
      <c r="I193" s="22">
        <f>IF(AND($J193&lt;YEAR($A193),$B193&lt;=$A193),-IFERROR(HLOOKUP("Actual_Commission",CF_Gen_2[#All],MATCH($B193,CF_Gen_2[[#All],[Incurred]],0),0),0)-IFERROR(HLOOKUP("Actual_Acquisition",CF_Gen_2[#All],MATCH($B193,CF_Gen_2[[#All],[Incurred]],0),0),0),0)</f>
        <v>0</v>
      </c>
      <c r="J193" s="27">
        <f>VLOOKUP(L193,ICG[#All],2,0)</f>
        <v>2024</v>
      </c>
      <c r="K193" s="27" t="str">
        <f>VLOOKUP(L193,ICG[#All],3,0)</f>
        <v>RC-Property</v>
      </c>
      <c r="L193" s="27" t="str">
        <f t="shared" si="15"/>
        <v>#2024#RC-Property</v>
      </c>
    </row>
    <row r="194" spans="1:12">
      <c r="A194" s="26">
        <f t="shared" si="13"/>
        <v>45930</v>
      </c>
      <c r="B194" s="26">
        <f t="shared" si="14"/>
        <v>53692</v>
      </c>
      <c r="C194" s="21">
        <f>IFERROR(HLOOKUP("Exp_Premium",CF_Gen_2[#All],MATCH($B194,CF_Gen_2[[#All],[Incurred]],0),0),0)</f>
        <v>21640.891115254748</v>
      </c>
      <c r="D194" s="22">
        <f>IF(AND($J194&lt;YEAR($A194),$B194&lt;=$A194),IFERROR(HLOOKUP("Actual_Premium",CF_Gen_2[#All],MATCH($B194,CF_Gen_2[[#All],[Incurred]],0),0),0),0)</f>
        <v>0</v>
      </c>
      <c r="E194" s="21">
        <f>-IFERROR(HLOOKUP("Exp_Claim",CF_Gen_2[#All],MATCH($B194,CF_Gen_2[[#All],[Incurred]],0),0),0)-IFERROR(HLOOKUP("Exp_NPR",CF_Gen_2[#All],MATCH($B194,CF_Gen_2[[#All],[Incurred]],0),0),0)</f>
        <v>-55222.142666728942</v>
      </c>
      <c r="F194" s="21">
        <f>-IFERROR(HLOOKUP("Exp_RA",CF_Gen_2[#All],MATCH($B194,CF_Gen_2[[#All],[Incurred]],0),0),0)</f>
        <v>-7385.6775171551053</v>
      </c>
      <c r="G194" s="21">
        <f>-IFERROR(HLOOKUP("Exp_Expense",CF_Gen_2[#All],MATCH($B194,CF_Gen_2[[#All],[Incurred]],0),0),0)</f>
        <v>0</v>
      </c>
      <c r="H194" s="21">
        <f>-IFERROR(HLOOKUP("Exp_Commission",CF_Gen_2[#All],MATCH($B194,CF_Gen_2[[#All],[Incurred]],0),0),0)-IFERROR(HLOOKUP("Exp_Acquisition",CF_Gen_2[#All],MATCH($B194,CF_Gen_2[[#All],[Incurred]],0),0),0)</f>
        <v>4398.5220195572128</v>
      </c>
      <c r="I194" s="22">
        <f>IF(AND($J194&lt;YEAR($A194),$B194&lt;=$A194),-IFERROR(HLOOKUP("Actual_Commission",CF_Gen_2[#All],MATCH($B194,CF_Gen_2[[#All],[Incurred]],0),0),0)-IFERROR(HLOOKUP("Actual_Acquisition",CF_Gen_2[#All],MATCH($B194,CF_Gen_2[[#All],[Incurred]],0),0),0),0)</f>
        <v>0</v>
      </c>
      <c r="J194" s="27">
        <f>VLOOKUP(L194,ICG[#All],2,0)</f>
        <v>2024</v>
      </c>
      <c r="K194" s="27" t="str">
        <f>VLOOKUP(L194,ICG[#All],3,0)</f>
        <v>RC-Property</v>
      </c>
      <c r="L194" s="27" t="str">
        <f t="shared" si="15"/>
        <v>#2024#RC-Property</v>
      </c>
    </row>
    <row r="195" spans="1:12">
      <c r="A195" s="26">
        <f t="shared" si="13"/>
        <v>45930</v>
      </c>
      <c r="B195" s="26">
        <f t="shared" si="14"/>
        <v>53782</v>
      </c>
      <c r="C195" s="21">
        <f>IFERROR(HLOOKUP("Exp_Premium",CF_Gen_2[#All],MATCH($B195,CF_Gen_2[[#All],[Incurred]],0),0),0)</f>
        <v>14893.261265518315</v>
      </c>
      <c r="D195" s="22">
        <f>IF(AND($J195&lt;YEAR($A195),$B195&lt;=$A195),IFERROR(HLOOKUP("Actual_Premium",CF_Gen_2[#All],MATCH($B195,CF_Gen_2[[#All],[Incurred]],0),0),0),0)</f>
        <v>0</v>
      </c>
      <c r="E195" s="21">
        <f>-IFERROR(HLOOKUP("Exp_Claim",CF_Gen_2[#All],MATCH($B195,CF_Gen_2[[#All],[Incurred]],0),0),0)-IFERROR(HLOOKUP("Exp_NPR",CF_Gen_2[#All],MATCH($B195,CF_Gen_2[[#All],[Incurred]],0),0),0)</f>
        <v>-43455.578421587466</v>
      </c>
      <c r="F195" s="21">
        <f>-IFERROR(HLOOKUP("Exp_RA",CF_Gen_2[#All],MATCH($B195,CF_Gen_2[[#All],[Incurred]],0),0),0)</f>
        <v>-5811.9600769612871</v>
      </c>
      <c r="G195" s="21">
        <f>-IFERROR(HLOOKUP("Exp_Expense",CF_Gen_2[#All],MATCH($B195,CF_Gen_2[[#All],[Incurred]],0),0),0)</f>
        <v>0</v>
      </c>
      <c r="H195" s="21">
        <f>-IFERROR(HLOOKUP("Exp_Commission",CF_Gen_2[#All],MATCH($B195,CF_Gen_2[[#All],[Incurred]],0),0),0)-IFERROR(HLOOKUP("Exp_Acquisition",CF_Gen_2[#All],MATCH($B195,CF_Gen_2[[#All],[Incurred]],0),0),0)</f>
        <v>2863.4378347317456</v>
      </c>
      <c r="I195" s="22">
        <f>IF(AND($J195&lt;YEAR($A195),$B195&lt;=$A195),-IFERROR(HLOOKUP("Actual_Commission",CF_Gen_2[#All],MATCH($B195,CF_Gen_2[[#All],[Incurred]],0),0),0)-IFERROR(HLOOKUP("Actual_Acquisition",CF_Gen_2[#All],MATCH($B195,CF_Gen_2[[#All],[Incurred]],0),0),0),0)</f>
        <v>0</v>
      </c>
      <c r="J195" s="27">
        <f>VLOOKUP(L195,ICG[#All],2,0)</f>
        <v>2024</v>
      </c>
      <c r="K195" s="27" t="str">
        <f>VLOOKUP(L195,ICG[#All],3,0)</f>
        <v>RC-Property</v>
      </c>
      <c r="L195" s="27" t="str">
        <f t="shared" si="15"/>
        <v>#2024#RC-Property</v>
      </c>
    </row>
    <row r="196" spans="1:12">
      <c r="A196" s="26">
        <f t="shared" si="13"/>
        <v>45930</v>
      </c>
      <c r="B196" s="26">
        <f t="shared" si="14"/>
        <v>53873</v>
      </c>
      <c r="C196" s="21">
        <f>IFERROR(HLOOKUP("Exp_Premium",CF_Gen_2[#All],MATCH($B196,CF_Gen_2[[#All],[Incurred]],0),0),0)</f>
        <v>9732.9474973035904</v>
      </c>
      <c r="D196" s="22">
        <f>IF(AND($J196&lt;YEAR($A196),$B196&lt;=$A196),IFERROR(HLOOKUP("Actual_Premium",CF_Gen_2[#All],MATCH($B196,CF_Gen_2[[#All],[Incurred]],0),0),0),0)</f>
        <v>0</v>
      </c>
      <c r="E196" s="21">
        <f>-IFERROR(HLOOKUP("Exp_Claim",CF_Gen_2[#All],MATCH($B196,CF_Gen_2[[#All],[Incurred]],0),0),0)-IFERROR(HLOOKUP("Exp_NPR",CF_Gen_2[#All],MATCH($B196,CF_Gen_2[[#All],[Incurred]],0),0),0)</f>
        <v>-33065.744671698827</v>
      </c>
      <c r="F196" s="21">
        <f>-IFERROR(HLOOKUP("Exp_RA",CF_Gen_2[#All],MATCH($B196,CF_Gen_2[[#All],[Incurred]],0),0),0)</f>
        <v>-4422.373258560543</v>
      </c>
      <c r="G196" s="21">
        <f>-IFERROR(HLOOKUP("Exp_Expense",CF_Gen_2[#All],MATCH($B196,CF_Gen_2[[#All],[Incurred]],0),0),0)</f>
        <v>0</v>
      </c>
      <c r="H196" s="21">
        <f>-IFERROR(HLOOKUP("Exp_Commission",CF_Gen_2[#All],MATCH($B196,CF_Gen_2[[#All],[Incurred]],0),0),0)-IFERROR(HLOOKUP("Exp_Acquisition",CF_Gen_2[#All],MATCH($B196,CF_Gen_2[[#All],[Incurred]],0),0),0)</f>
        <v>1775.3314575336822</v>
      </c>
      <c r="I196" s="22">
        <f>IF(AND($J196&lt;YEAR($A196),$B196&lt;=$A196),-IFERROR(HLOOKUP("Actual_Commission",CF_Gen_2[#All],MATCH($B196,CF_Gen_2[[#All],[Incurred]],0),0),0)-IFERROR(HLOOKUP("Actual_Acquisition",CF_Gen_2[#All],MATCH($B196,CF_Gen_2[[#All],[Incurred]],0),0),0),0)</f>
        <v>0</v>
      </c>
      <c r="J196" s="27">
        <f>VLOOKUP(L196,ICG[#All],2,0)</f>
        <v>2024</v>
      </c>
      <c r="K196" s="27" t="str">
        <f>VLOOKUP(L196,ICG[#All],3,0)</f>
        <v>RC-Property</v>
      </c>
      <c r="L196" s="27" t="str">
        <f t="shared" si="15"/>
        <v>#2024#RC-Property</v>
      </c>
    </row>
    <row r="197" spans="1:12">
      <c r="A197" s="26">
        <f t="shared" si="13"/>
        <v>45930</v>
      </c>
      <c r="B197" s="26">
        <f t="shared" si="14"/>
        <v>53965</v>
      </c>
      <c r="C197" s="21">
        <f>IFERROR(HLOOKUP("Exp_Premium",CF_Gen_2[#All],MATCH($B197,CF_Gen_2[[#All],[Incurred]],0),0),0)</f>
        <v>5918.3807666296061</v>
      </c>
      <c r="D197" s="22">
        <f>IF(AND($J197&lt;YEAR($A197),$B197&lt;=$A197),IFERROR(HLOOKUP("Actual_Premium",CF_Gen_2[#All],MATCH($B197,CF_Gen_2[[#All],[Incurred]],0),0),0),0)</f>
        <v>0</v>
      </c>
      <c r="E197" s="21">
        <f>-IFERROR(HLOOKUP("Exp_Claim",CF_Gen_2[#All],MATCH($B197,CF_Gen_2[[#All],[Incurred]],0),0),0)-IFERROR(HLOOKUP("Exp_NPR",CF_Gen_2[#All],MATCH($B197,CF_Gen_2[[#All],[Incurred]],0),0),0)</f>
        <v>-23917.55531252881</v>
      </c>
      <c r="F197" s="21">
        <f>-IFERROR(HLOOKUP("Exp_RA",CF_Gen_2[#All],MATCH($B197,CF_Gen_2[[#All],[Incurred]],0),0),0)</f>
        <v>-3198.8499903587917</v>
      </c>
      <c r="G197" s="21">
        <f>-IFERROR(HLOOKUP("Exp_Expense",CF_Gen_2[#All],MATCH($B197,CF_Gen_2[[#All],[Incurred]],0),0),0)</f>
        <v>0</v>
      </c>
      <c r="H197" s="21">
        <f>-IFERROR(HLOOKUP("Exp_Commission",CF_Gen_2[#All],MATCH($B197,CF_Gen_2[[#All],[Incurred]],0),0),0)-IFERROR(HLOOKUP("Exp_Acquisition",CF_Gen_2[#All],MATCH($B197,CF_Gen_2[[#All],[Incurred]],0),0),0)</f>
        <v>1031.9114096914527</v>
      </c>
      <c r="I197" s="22">
        <f>IF(AND($J197&lt;YEAR($A197),$B197&lt;=$A197),-IFERROR(HLOOKUP("Actual_Commission",CF_Gen_2[#All],MATCH($B197,CF_Gen_2[[#All],[Incurred]],0),0),0)-IFERROR(HLOOKUP("Actual_Acquisition",CF_Gen_2[#All],MATCH($B197,CF_Gen_2[[#All],[Incurred]],0),0),0),0)</f>
        <v>0</v>
      </c>
      <c r="J197" s="27">
        <f>VLOOKUP(L197,ICG[#All],2,0)</f>
        <v>2024</v>
      </c>
      <c r="K197" s="27" t="str">
        <f>VLOOKUP(L197,ICG[#All],3,0)</f>
        <v>RC-Property</v>
      </c>
      <c r="L197" s="27" t="str">
        <f t="shared" si="15"/>
        <v>#2024#RC-Property</v>
      </c>
    </row>
    <row r="198" spans="1:12">
      <c r="A198" s="26">
        <f t="shared" si="13"/>
        <v>45930</v>
      </c>
      <c r="B198" s="26">
        <f t="shared" si="14"/>
        <v>54057</v>
      </c>
      <c r="C198" s="21">
        <f>IFERROR(HLOOKUP("Exp_Premium",CF_Gen_2[#All],MATCH($B198,CF_Gen_2[[#All],[Incurred]],0),0),0)</f>
        <v>3237.7024193914904</v>
      </c>
      <c r="D198" s="22">
        <f>IF(AND($J198&lt;YEAR($A198),$B198&lt;=$A198),IFERROR(HLOOKUP("Actual_Premium",CF_Gen_2[#All],MATCH($B198,CF_Gen_2[[#All],[Incurred]],0),0),0),0)</f>
        <v>0</v>
      </c>
      <c r="E198" s="21">
        <f>-IFERROR(HLOOKUP("Exp_Claim",CF_Gen_2[#All],MATCH($B198,CF_Gen_2[[#All],[Incurred]],0),0),0)-IFERROR(HLOOKUP("Exp_NPR",CF_Gen_2[#All],MATCH($B198,CF_Gen_2[[#All],[Incurred]],0),0),0)</f>
        <v>-15888.090314751282</v>
      </c>
      <c r="F198" s="21">
        <f>-IFERROR(HLOOKUP("Exp_RA",CF_Gen_2[#All],MATCH($B198,CF_Gen_2[[#All],[Incurred]],0),0),0)</f>
        <v>-2124.9503507383401</v>
      </c>
      <c r="G198" s="21">
        <f>-IFERROR(HLOOKUP("Exp_Expense",CF_Gen_2[#All],MATCH($B198,CF_Gen_2[[#All],[Incurred]],0),0),0)</f>
        <v>0</v>
      </c>
      <c r="H198" s="21">
        <f>-IFERROR(HLOOKUP("Exp_Commission",CF_Gen_2[#All],MATCH($B198,CF_Gen_2[[#All],[Incurred]],0),0),0)-IFERROR(HLOOKUP("Exp_Acquisition",CF_Gen_2[#All],MATCH($B198,CF_Gen_2[[#All],[Incurred]],0),0),0)</f>
        <v>548.38720629317186</v>
      </c>
      <c r="I198" s="22">
        <f>IF(AND($J198&lt;YEAR($A198),$B198&lt;=$A198),-IFERROR(HLOOKUP("Actual_Commission",CF_Gen_2[#All],MATCH($B198,CF_Gen_2[[#All],[Incurred]],0),0),0)-IFERROR(HLOOKUP("Actual_Acquisition",CF_Gen_2[#All],MATCH($B198,CF_Gen_2[[#All],[Incurred]],0),0),0),0)</f>
        <v>0</v>
      </c>
      <c r="J198" s="27">
        <f>VLOOKUP(L198,ICG[#All],2,0)</f>
        <v>2024</v>
      </c>
      <c r="K198" s="27" t="str">
        <f>VLOOKUP(L198,ICG[#All],3,0)</f>
        <v>RC-Property</v>
      </c>
      <c r="L198" s="27" t="str">
        <f t="shared" si="15"/>
        <v>#2024#RC-Property</v>
      </c>
    </row>
    <row r="199" spans="1:12">
      <c r="A199" s="26">
        <f t="shared" si="13"/>
        <v>45930</v>
      </c>
      <c r="B199" s="26">
        <f t="shared" si="14"/>
        <v>54148</v>
      </c>
      <c r="C199" s="21">
        <f>IFERROR(HLOOKUP("Exp_Premium",CF_Gen_2[#All],MATCH($B199,CF_Gen_2[[#All],[Incurred]],0),0),0)</f>
        <v>1505.5316250170431</v>
      </c>
      <c r="D199" s="22">
        <f>IF(AND($J199&lt;YEAR($A199),$B199&lt;=$A199),IFERROR(HLOOKUP("Actual_Premium",CF_Gen_2[#All],MATCH($B199,CF_Gen_2[[#All],[Incurred]],0),0),0),0)</f>
        <v>0</v>
      </c>
      <c r="E199" s="21">
        <f>-IFERROR(HLOOKUP("Exp_Claim",CF_Gen_2[#All],MATCH($B199,CF_Gen_2[[#All],[Incurred]],0),0),0)-IFERROR(HLOOKUP("Exp_NPR",CF_Gen_2[#All],MATCH($B199,CF_Gen_2[[#All],[Incurred]],0),0),0)</f>
        <v>-8865.5543956312176</v>
      </c>
      <c r="F199" s="21">
        <f>-IFERROR(HLOOKUP("Exp_RA",CF_Gen_2[#All],MATCH($B199,CF_Gen_2[[#All],[Incurred]],0),0),0)</f>
        <v>-1185.7222957119941</v>
      </c>
      <c r="G199" s="21">
        <f>-IFERROR(HLOOKUP("Exp_Expense",CF_Gen_2[#All],MATCH($B199,CF_Gen_2[[#All],[Incurred]],0),0),0)</f>
        <v>0</v>
      </c>
      <c r="H199" s="21">
        <f>-IFERROR(HLOOKUP("Exp_Commission",CF_Gen_2[#All],MATCH($B199,CF_Gen_2[[#All],[Incurred]],0),0),0)-IFERROR(HLOOKUP("Exp_Acquisition",CF_Gen_2[#All],MATCH($B199,CF_Gen_2[[#All],[Incurred]],0),0),0)</f>
        <v>255.00005092632492</v>
      </c>
      <c r="I199" s="22">
        <f>IF(AND($J199&lt;YEAR($A199),$B199&lt;=$A199),-IFERROR(HLOOKUP("Actual_Commission",CF_Gen_2[#All],MATCH($B199,CF_Gen_2[[#All],[Incurred]],0),0),0)-IFERROR(HLOOKUP("Actual_Acquisition",CF_Gen_2[#All],MATCH($B199,CF_Gen_2[[#All],[Incurred]],0),0),0),0)</f>
        <v>0</v>
      </c>
      <c r="J199" s="27">
        <f>VLOOKUP(L199,ICG[#All],2,0)</f>
        <v>2024</v>
      </c>
      <c r="K199" s="27" t="str">
        <f>VLOOKUP(L199,ICG[#All],3,0)</f>
        <v>RC-Property</v>
      </c>
      <c r="L199" s="27" t="str">
        <f t="shared" si="15"/>
        <v>#2024#RC-Property</v>
      </c>
    </row>
    <row r="200" spans="1:12">
      <c r="A200" s="26">
        <f t="shared" si="13"/>
        <v>45930</v>
      </c>
      <c r="B200" s="26">
        <f t="shared" si="14"/>
        <v>54239</v>
      </c>
      <c r="C200" s="21">
        <f>IFERROR(HLOOKUP("Exp_Premium",CF_Gen_2[#All],MATCH($B200,CF_Gen_2[[#All],[Incurred]],0),0),0)</f>
        <v>560.05776450634005</v>
      </c>
      <c r="D200" s="22">
        <f>IF(AND($J200&lt;YEAR($A200),$B200&lt;=$A200),IFERROR(HLOOKUP("Actual_Premium",CF_Gen_2[#All],MATCH($B200,CF_Gen_2[[#All],[Incurred]],0),0),0),0)</f>
        <v>0</v>
      </c>
      <c r="E200" s="21">
        <f>-IFERROR(HLOOKUP("Exp_Claim",CF_Gen_2[#All],MATCH($B200,CF_Gen_2[[#All],[Incurred]],0),0),0)-IFERROR(HLOOKUP("Exp_NPR",CF_Gen_2[#All],MATCH($B200,CF_Gen_2[[#All],[Incurred]],0),0),0)</f>
        <v>-4122.4827939685156</v>
      </c>
      <c r="F200" s="21">
        <f>-IFERROR(HLOOKUP("Exp_RA",CF_Gen_2[#All],MATCH($B200,CF_Gen_2[[#All],[Incurred]],0),0),0)</f>
        <v>-551.36086750607717</v>
      </c>
      <c r="G200" s="21">
        <f>-IFERROR(HLOOKUP("Exp_Expense",CF_Gen_2[#All],MATCH($B200,CF_Gen_2[[#All],[Incurred]],0),0),0)</f>
        <v>0</v>
      </c>
      <c r="H200" s="21">
        <f>-IFERROR(HLOOKUP("Exp_Commission",CF_Gen_2[#All],MATCH($B200,CF_Gen_2[[#All],[Incurred]],0),0),0)-IFERROR(HLOOKUP("Exp_Acquisition",CF_Gen_2[#All],MATCH($B200,CF_Gen_2[[#All],[Incurred]],0),0),0)</f>
        <v>94.860018944592881</v>
      </c>
      <c r="I200" s="22">
        <f>IF(AND($J200&lt;YEAR($A200),$B200&lt;=$A200),-IFERROR(HLOOKUP("Actual_Commission",CF_Gen_2[#All],MATCH($B200,CF_Gen_2[[#All],[Incurred]],0),0),0)-IFERROR(HLOOKUP("Actual_Acquisition",CF_Gen_2[#All],MATCH($B200,CF_Gen_2[[#All],[Incurred]],0),0),0),0)</f>
        <v>0</v>
      </c>
      <c r="J200" s="27">
        <f>VLOOKUP(L200,ICG[#All],2,0)</f>
        <v>2024</v>
      </c>
      <c r="K200" s="27" t="str">
        <f>VLOOKUP(L200,ICG[#All],3,0)</f>
        <v>RC-Property</v>
      </c>
      <c r="L200" s="27" t="str">
        <f t="shared" si="15"/>
        <v>#2024#RC-Property</v>
      </c>
    </row>
    <row r="201" spans="1:12">
      <c r="A201" s="26">
        <f t="shared" si="13"/>
        <v>45930</v>
      </c>
      <c r="B201" s="26">
        <f t="shared" si="14"/>
        <v>54331</v>
      </c>
      <c r="C201" s="21">
        <f>IFERROR(HLOOKUP("Exp_Premium",CF_Gen_2[#All],MATCH($B201,CF_Gen_2[[#All],[Incurred]],0),0),0)</f>
        <v>130.21343024772401</v>
      </c>
      <c r="D201" s="22">
        <f>IF(AND($J201&lt;YEAR($A201),$B201&lt;=$A201),IFERROR(HLOOKUP("Actual_Premium",CF_Gen_2[#All],MATCH($B201,CF_Gen_2[[#All],[Incurred]],0),0),0),0)</f>
        <v>0</v>
      </c>
      <c r="E201" s="21">
        <f>-IFERROR(HLOOKUP("Exp_Claim",CF_Gen_2[#All],MATCH($B201,CF_Gen_2[[#All],[Incurred]],0),0),0)-IFERROR(HLOOKUP("Exp_NPR",CF_Gen_2[#All],MATCH($B201,CF_Gen_2[[#All],[Incurred]],0),0),0)</f>
        <v>-1277.9696661302394</v>
      </c>
      <c r="F201" s="21">
        <f>-IFERROR(HLOOKUP("Exp_RA",CF_Gen_2[#All],MATCH($B201,CF_Gen_2[[#All],[Incurred]],0),0),0)</f>
        <v>-170.92186892688389</v>
      </c>
      <c r="G201" s="21">
        <f>-IFERROR(HLOOKUP("Exp_Expense",CF_Gen_2[#All],MATCH($B201,CF_Gen_2[[#All],[Incurred]],0),0),0)</f>
        <v>0</v>
      </c>
      <c r="H201" s="21">
        <f>-IFERROR(HLOOKUP("Exp_Commission",CF_Gen_2[#All],MATCH($B201,CF_Gen_2[[#All],[Incurred]],0),0),0)-IFERROR(HLOOKUP("Exp_Acquisition",CF_Gen_2[#All],MATCH($B201,CF_Gen_2[[#All],[Incurred]],0),0),0)</f>
        <v>22.054954404617845</v>
      </c>
      <c r="I201" s="22">
        <f>IF(AND($J201&lt;YEAR($A201),$B201&lt;=$A201),-IFERROR(HLOOKUP("Actual_Commission",CF_Gen_2[#All],MATCH($B201,CF_Gen_2[[#All],[Incurred]],0),0),0)-IFERROR(HLOOKUP("Actual_Acquisition",CF_Gen_2[#All],MATCH($B201,CF_Gen_2[[#All],[Incurred]],0),0),0),0)</f>
        <v>0</v>
      </c>
      <c r="J201" s="27">
        <f>VLOOKUP(L201,ICG[#All],2,0)</f>
        <v>2024</v>
      </c>
      <c r="K201" s="27" t="str">
        <f>VLOOKUP(L201,ICG[#All],3,0)</f>
        <v>RC-Property</v>
      </c>
      <c r="L201" s="27" t="str">
        <f t="shared" si="15"/>
        <v>#2024#RC-Property</v>
      </c>
    </row>
    <row r="202" spans="1:12">
      <c r="A202" s="26">
        <f t="shared" si="13"/>
        <v>45930</v>
      </c>
      <c r="B202" s="26">
        <f t="shared" si="14"/>
        <v>54423</v>
      </c>
      <c r="C202" s="21">
        <f>IFERROR(HLOOKUP("Exp_Premium",CF_Gen_2[#All],MATCH($B202,CF_Gen_2[[#All],[Incurred]],0),0),0)</f>
        <v>0</v>
      </c>
      <c r="D202" s="22">
        <f>IF(AND($J202&lt;YEAR($A202),$B202&lt;=$A202),IFERROR(HLOOKUP("Actual_Premium",CF_Gen_2[#All],MATCH($B202,CF_Gen_2[[#All],[Incurred]],0),0),0),0)</f>
        <v>0</v>
      </c>
      <c r="E202" s="21">
        <f>-IFERROR(HLOOKUP("Exp_Claim",CF_Gen_2[#All],MATCH($B202,CF_Gen_2[[#All],[Incurred]],0),0),0)-IFERROR(HLOOKUP("Exp_NPR",CF_Gen_2[#All],MATCH($B202,CF_Gen_2[[#All],[Incurred]],0),0),0)</f>
        <v>0</v>
      </c>
      <c r="F202" s="21">
        <f>-IFERROR(HLOOKUP("Exp_RA",CF_Gen_2[#All],MATCH($B202,CF_Gen_2[[#All],[Incurred]],0),0),0)</f>
        <v>0</v>
      </c>
      <c r="G202" s="21">
        <f>-IFERROR(HLOOKUP("Exp_Expense",CF_Gen_2[#All],MATCH($B202,CF_Gen_2[[#All],[Incurred]],0),0),0)</f>
        <v>0</v>
      </c>
      <c r="H202" s="21">
        <f>-IFERROR(HLOOKUP("Exp_Commission",CF_Gen_2[#All],MATCH($B202,CF_Gen_2[[#All],[Incurred]],0),0),0)-IFERROR(HLOOKUP("Exp_Acquisition",CF_Gen_2[#All],MATCH($B202,CF_Gen_2[[#All],[Incurred]],0),0),0)</f>
        <v>0</v>
      </c>
      <c r="I202" s="22">
        <f>IF(AND($J202&lt;YEAR($A202),$B202&lt;=$A202),-IFERROR(HLOOKUP("Actual_Commission",CF_Gen_2[#All],MATCH($B202,CF_Gen_2[[#All],[Incurred]],0),0),0)-IFERROR(HLOOKUP("Actual_Acquisition",CF_Gen_2[#All],MATCH($B202,CF_Gen_2[[#All],[Incurred]],0),0),0),0)</f>
        <v>0</v>
      </c>
      <c r="J202" s="27">
        <f>VLOOKUP(L202,ICG[#All],2,0)</f>
        <v>2024</v>
      </c>
      <c r="K202" s="27" t="str">
        <f>VLOOKUP(L202,ICG[#All],3,0)</f>
        <v>RC-Property</v>
      </c>
      <c r="L202" s="27" t="str">
        <f t="shared" si="15"/>
        <v>#2024#RC-Property</v>
      </c>
    </row>
    <row r="203" spans="1:12">
      <c r="A203" s="26">
        <f t="shared" ref="A203:A210" si="16">ValuationDate</f>
        <v>45930</v>
      </c>
      <c r="B203" s="26">
        <f t="shared" si="14"/>
        <v>54513</v>
      </c>
      <c r="C203" s="21">
        <f>IFERROR(HLOOKUP("Exp_Premium",CF_Gen_2[#All],MATCH($B203,CF_Gen_2[[#All],[Incurred]],0),0),0)</f>
        <v>0</v>
      </c>
      <c r="D203" s="22">
        <f>IF(AND($J203&lt;YEAR($A203),$B203&lt;=$A203),IFERROR(HLOOKUP("Actual_Premium",CF_Gen_2[#All],MATCH($B203,CF_Gen_2[[#All],[Incurred]],0),0),0),0)</f>
        <v>0</v>
      </c>
      <c r="E203" s="21">
        <f>-IFERROR(HLOOKUP("Exp_Claim",CF_Gen_2[#All],MATCH($B203,CF_Gen_2[[#All],[Incurred]],0),0),0)-IFERROR(HLOOKUP("Exp_NPR",CF_Gen_2[#All],MATCH($B203,CF_Gen_2[[#All],[Incurred]],0),0),0)</f>
        <v>0</v>
      </c>
      <c r="F203" s="21">
        <f>-IFERROR(HLOOKUP("Exp_RA",CF_Gen_2[#All],MATCH($B203,CF_Gen_2[[#All],[Incurred]],0),0),0)</f>
        <v>0</v>
      </c>
      <c r="G203" s="21">
        <f>-IFERROR(HLOOKUP("Exp_Expense",CF_Gen_2[#All],MATCH($B203,CF_Gen_2[[#All],[Incurred]],0),0),0)</f>
        <v>0</v>
      </c>
      <c r="H203" s="21">
        <f>-IFERROR(HLOOKUP("Exp_Commission",CF_Gen_2[#All],MATCH($B203,CF_Gen_2[[#All],[Incurred]],0),0),0)-IFERROR(HLOOKUP("Exp_Acquisition",CF_Gen_2[#All],MATCH($B203,CF_Gen_2[[#All],[Incurred]],0),0),0)</f>
        <v>0</v>
      </c>
      <c r="I203" s="22">
        <f>IF(AND($J203&lt;YEAR($A203),$B203&lt;=$A203),-IFERROR(HLOOKUP("Actual_Commission",CF_Gen_2[#All],MATCH($B203,CF_Gen_2[[#All],[Incurred]],0),0),0)-IFERROR(HLOOKUP("Actual_Acquisition",CF_Gen_2[#All],MATCH($B203,CF_Gen_2[[#All],[Incurred]],0),0),0),0)</f>
        <v>0</v>
      </c>
      <c r="J203" s="27">
        <f>VLOOKUP(L203,ICG[#All],2,0)</f>
        <v>2024</v>
      </c>
      <c r="K203" s="27" t="str">
        <f>VLOOKUP(L203,ICG[#All],3,0)</f>
        <v>RC-Property</v>
      </c>
      <c r="L203" s="27" t="str">
        <f t="shared" si="15"/>
        <v>#2024#RC-Property</v>
      </c>
    </row>
    <row r="204" spans="1:12">
      <c r="A204" s="26">
        <f t="shared" si="16"/>
        <v>45930</v>
      </c>
      <c r="B204" s="26">
        <f t="shared" ref="B204:B210" si="17">EOMONTH(B203,3)</f>
        <v>54604</v>
      </c>
      <c r="C204" s="21">
        <f>IFERROR(HLOOKUP("Exp_Premium",CF_Gen_2[#All],MATCH($B204,CF_Gen_2[[#All],[Incurred]],0),0),0)</f>
        <v>0</v>
      </c>
      <c r="D204" s="22">
        <f>IF(AND($J204&lt;YEAR($A204),$B204&lt;=$A204),IFERROR(HLOOKUP("Actual_Premium",CF_Gen_2[#All],MATCH($B204,CF_Gen_2[[#All],[Incurred]],0),0),0),0)</f>
        <v>0</v>
      </c>
      <c r="E204" s="21">
        <f>-IFERROR(HLOOKUP("Exp_Claim",CF_Gen_2[#All],MATCH($B204,CF_Gen_2[[#All],[Incurred]],0),0),0)-IFERROR(HLOOKUP("Exp_NPR",CF_Gen_2[#All],MATCH($B204,CF_Gen_2[[#All],[Incurred]],0),0),0)</f>
        <v>0</v>
      </c>
      <c r="F204" s="21">
        <f>-IFERROR(HLOOKUP("Exp_RA",CF_Gen_2[#All],MATCH($B204,CF_Gen_2[[#All],[Incurred]],0),0),0)</f>
        <v>0</v>
      </c>
      <c r="G204" s="21">
        <f>-IFERROR(HLOOKUP("Exp_Expense",CF_Gen_2[#All],MATCH($B204,CF_Gen_2[[#All],[Incurred]],0),0),0)</f>
        <v>0</v>
      </c>
      <c r="H204" s="21">
        <f>-IFERROR(HLOOKUP("Exp_Commission",CF_Gen_2[#All],MATCH($B204,CF_Gen_2[[#All],[Incurred]],0),0),0)-IFERROR(HLOOKUP("Exp_Acquisition",CF_Gen_2[#All],MATCH($B204,CF_Gen_2[[#All],[Incurred]],0),0),0)</f>
        <v>0</v>
      </c>
      <c r="I204" s="22">
        <f>IF(AND($J204&lt;YEAR($A204),$B204&lt;=$A204),-IFERROR(HLOOKUP("Actual_Commission",CF_Gen_2[#All],MATCH($B204,CF_Gen_2[[#All],[Incurred]],0),0),0)-IFERROR(HLOOKUP("Actual_Acquisition",CF_Gen_2[#All],MATCH($B204,CF_Gen_2[[#All],[Incurred]],0),0),0),0)</f>
        <v>0</v>
      </c>
      <c r="J204" s="27">
        <f>VLOOKUP(L204,ICG[#All],2,0)</f>
        <v>2024</v>
      </c>
      <c r="K204" s="27" t="str">
        <f>VLOOKUP(L204,ICG[#All],3,0)</f>
        <v>RC-Property</v>
      </c>
      <c r="L204" s="27" t="str">
        <f t="shared" si="15"/>
        <v>#2024#RC-Property</v>
      </c>
    </row>
    <row r="205" spans="1:12">
      <c r="A205" s="26">
        <f t="shared" si="16"/>
        <v>45930</v>
      </c>
      <c r="B205" s="26">
        <f t="shared" si="17"/>
        <v>54696</v>
      </c>
      <c r="C205" s="21">
        <f>IFERROR(HLOOKUP("Exp_Premium",CF_Gen_2[#All],MATCH($B205,CF_Gen_2[[#All],[Incurred]],0),0),0)</f>
        <v>0</v>
      </c>
      <c r="D205" s="22">
        <f>IF(AND($J205&lt;YEAR($A205),$B205&lt;=$A205),IFERROR(HLOOKUP("Actual_Premium",CF_Gen_2[#All],MATCH($B205,CF_Gen_2[[#All],[Incurred]],0),0),0),0)</f>
        <v>0</v>
      </c>
      <c r="E205" s="21">
        <f>-IFERROR(HLOOKUP("Exp_Claim",CF_Gen_2[#All],MATCH($B205,CF_Gen_2[[#All],[Incurred]],0),0),0)-IFERROR(HLOOKUP("Exp_NPR",CF_Gen_2[#All],MATCH($B205,CF_Gen_2[[#All],[Incurred]],0),0),0)</f>
        <v>0</v>
      </c>
      <c r="F205" s="21">
        <f>-IFERROR(HLOOKUP("Exp_RA",CF_Gen_2[#All],MATCH($B205,CF_Gen_2[[#All],[Incurred]],0),0),0)</f>
        <v>0</v>
      </c>
      <c r="G205" s="21">
        <f>-IFERROR(HLOOKUP("Exp_Expense",CF_Gen_2[#All],MATCH($B205,CF_Gen_2[[#All],[Incurred]],0),0),0)</f>
        <v>0</v>
      </c>
      <c r="H205" s="21">
        <f>-IFERROR(HLOOKUP("Exp_Commission",CF_Gen_2[#All],MATCH($B205,CF_Gen_2[[#All],[Incurred]],0),0),0)-IFERROR(HLOOKUP("Exp_Acquisition",CF_Gen_2[#All],MATCH($B205,CF_Gen_2[[#All],[Incurred]],0),0),0)</f>
        <v>0</v>
      </c>
      <c r="I205" s="22">
        <f>IF(AND($J205&lt;YEAR($A205),$B205&lt;=$A205),-IFERROR(HLOOKUP("Actual_Commission",CF_Gen_2[#All],MATCH($B205,CF_Gen_2[[#All],[Incurred]],0),0),0)-IFERROR(HLOOKUP("Actual_Acquisition",CF_Gen_2[#All],MATCH($B205,CF_Gen_2[[#All],[Incurred]],0),0),0),0)</f>
        <v>0</v>
      </c>
      <c r="J205" s="27">
        <f>VLOOKUP(L205,ICG[#All],2,0)</f>
        <v>2024</v>
      </c>
      <c r="K205" s="27" t="str">
        <f>VLOOKUP(L205,ICG[#All],3,0)</f>
        <v>RC-Property</v>
      </c>
      <c r="L205" s="27" t="str">
        <f t="shared" si="15"/>
        <v>#2024#RC-Property</v>
      </c>
    </row>
    <row r="206" spans="1:12">
      <c r="A206" s="26">
        <f t="shared" si="16"/>
        <v>45930</v>
      </c>
      <c r="B206" s="26">
        <f t="shared" si="17"/>
        <v>54788</v>
      </c>
      <c r="C206" s="21">
        <f>IFERROR(HLOOKUP("Exp_Premium",CF_Gen_2[#All],MATCH($B206,CF_Gen_2[[#All],[Incurred]],0),0),0)</f>
        <v>0</v>
      </c>
      <c r="D206" s="22">
        <f>IF(AND($J206&lt;YEAR($A206),$B206&lt;=$A206),IFERROR(HLOOKUP("Actual_Premium",CF_Gen_2[#All],MATCH($B206,CF_Gen_2[[#All],[Incurred]],0),0),0),0)</f>
        <v>0</v>
      </c>
      <c r="E206" s="21">
        <f>-IFERROR(HLOOKUP("Exp_Claim",CF_Gen_2[#All],MATCH($B206,CF_Gen_2[[#All],[Incurred]],0),0),0)-IFERROR(HLOOKUP("Exp_NPR",CF_Gen_2[#All],MATCH($B206,CF_Gen_2[[#All],[Incurred]],0),0),0)</f>
        <v>0</v>
      </c>
      <c r="F206" s="21">
        <f>-IFERROR(HLOOKUP("Exp_RA",CF_Gen_2[#All],MATCH($B206,CF_Gen_2[[#All],[Incurred]],0),0),0)</f>
        <v>0</v>
      </c>
      <c r="G206" s="21">
        <f>-IFERROR(HLOOKUP("Exp_Expense",CF_Gen_2[#All],MATCH($B206,CF_Gen_2[[#All],[Incurred]],0),0),0)</f>
        <v>0</v>
      </c>
      <c r="H206" s="21">
        <f>-IFERROR(HLOOKUP("Exp_Commission",CF_Gen_2[#All],MATCH($B206,CF_Gen_2[[#All],[Incurred]],0),0),0)-IFERROR(HLOOKUP("Exp_Acquisition",CF_Gen_2[#All],MATCH($B206,CF_Gen_2[[#All],[Incurred]],0),0),0)</f>
        <v>0</v>
      </c>
      <c r="I206" s="22">
        <f>IF(AND($J206&lt;YEAR($A206),$B206&lt;=$A206),-IFERROR(HLOOKUP("Actual_Commission",CF_Gen_2[#All],MATCH($B206,CF_Gen_2[[#All],[Incurred]],0),0),0)-IFERROR(HLOOKUP("Actual_Acquisition",CF_Gen_2[#All],MATCH($B206,CF_Gen_2[[#All],[Incurred]],0),0),0),0)</f>
        <v>0</v>
      </c>
      <c r="J206" s="27">
        <f>VLOOKUP(L206,ICG[#All],2,0)</f>
        <v>2024</v>
      </c>
      <c r="K206" s="27" t="str">
        <f>VLOOKUP(L206,ICG[#All],3,0)</f>
        <v>RC-Property</v>
      </c>
      <c r="L206" s="27" t="str">
        <f t="shared" si="15"/>
        <v>#2024#RC-Property</v>
      </c>
    </row>
    <row r="207" spans="1:12">
      <c r="A207" s="26">
        <f t="shared" si="16"/>
        <v>45930</v>
      </c>
      <c r="B207" s="26">
        <f t="shared" si="17"/>
        <v>54878</v>
      </c>
      <c r="C207" s="21">
        <f>IFERROR(HLOOKUP("Exp_Premium",CF_Gen_2[#All],MATCH($B207,CF_Gen_2[[#All],[Incurred]],0),0),0)</f>
        <v>0</v>
      </c>
      <c r="D207" s="22">
        <f>IF(AND($J207&lt;YEAR($A207),$B207&lt;=$A207),IFERROR(HLOOKUP("Actual_Premium",CF_Gen_2[#All],MATCH($B207,CF_Gen_2[[#All],[Incurred]],0),0),0),0)</f>
        <v>0</v>
      </c>
      <c r="E207" s="21">
        <f>-IFERROR(HLOOKUP("Exp_Claim",CF_Gen_2[#All],MATCH($B207,CF_Gen_2[[#All],[Incurred]],0),0),0)-IFERROR(HLOOKUP("Exp_NPR",CF_Gen_2[#All],MATCH($B207,CF_Gen_2[[#All],[Incurred]],0),0),0)</f>
        <v>0</v>
      </c>
      <c r="F207" s="21">
        <f>-IFERROR(HLOOKUP("Exp_RA",CF_Gen_2[#All],MATCH($B207,CF_Gen_2[[#All],[Incurred]],0),0),0)</f>
        <v>0</v>
      </c>
      <c r="G207" s="21">
        <f>-IFERROR(HLOOKUP("Exp_Expense",CF_Gen_2[#All],MATCH($B207,CF_Gen_2[[#All],[Incurred]],0),0),0)</f>
        <v>0</v>
      </c>
      <c r="H207" s="21">
        <f>-IFERROR(HLOOKUP("Exp_Commission",CF_Gen_2[#All],MATCH($B207,CF_Gen_2[[#All],[Incurred]],0),0),0)-IFERROR(HLOOKUP("Exp_Acquisition",CF_Gen_2[#All],MATCH($B207,CF_Gen_2[[#All],[Incurred]],0),0),0)</f>
        <v>0</v>
      </c>
      <c r="I207" s="22">
        <f>IF(AND($J207&lt;YEAR($A207),$B207&lt;=$A207),-IFERROR(HLOOKUP("Actual_Commission",CF_Gen_2[#All],MATCH($B207,CF_Gen_2[[#All],[Incurred]],0),0),0)-IFERROR(HLOOKUP("Actual_Acquisition",CF_Gen_2[#All],MATCH($B207,CF_Gen_2[[#All],[Incurred]],0),0),0),0)</f>
        <v>0</v>
      </c>
      <c r="J207" s="27">
        <f>VLOOKUP(L207,ICG[#All],2,0)</f>
        <v>2024</v>
      </c>
      <c r="K207" s="27" t="str">
        <f>VLOOKUP(L207,ICG[#All],3,0)</f>
        <v>RC-Property</v>
      </c>
      <c r="L207" s="27" t="str">
        <f t="shared" si="15"/>
        <v>#2024#RC-Property</v>
      </c>
    </row>
    <row r="208" spans="1:12">
      <c r="A208" s="26">
        <f t="shared" si="16"/>
        <v>45930</v>
      </c>
      <c r="B208" s="26">
        <f t="shared" si="17"/>
        <v>54969</v>
      </c>
      <c r="C208" s="21">
        <f>IFERROR(HLOOKUP("Exp_Premium",CF_Gen_2[#All],MATCH($B208,CF_Gen_2[[#All],[Incurred]],0),0),0)</f>
        <v>0</v>
      </c>
      <c r="D208" s="22">
        <f>IF(AND($J208&lt;YEAR($A208),$B208&lt;=$A208),IFERROR(HLOOKUP("Actual_Premium",CF_Gen_2[#All],MATCH($B208,CF_Gen_2[[#All],[Incurred]],0),0),0),0)</f>
        <v>0</v>
      </c>
      <c r="E208" s="21">
        <f>-IFERROR(HLOOKUP("Exp_Claim",CF_Gen_2[#All],MATCH($B208,CF_Gen_2[[#All],[Incurred]],0),0),0)-IFERROR(HLOOKUP("Exp_NPR",CF_Gen_2[#All],MATCH($B208,CF_Gen_2[[#All],[Incurred]],0),0),0)</f>
        <v>0</v>
      </c>
      <c r="F208" s="21">
        <f>-IFERROR(HLOOKUP("Exp_RA",CF_Gen_2[#All],MATCH($B208,CF_Gen_2[[#All],[Incurred]],0),0),0)</f>
        <v>0</v>
      </c>
      <c r="G208" s="21">
        <f>-IFERROR(HLOOKUP("Exp_Expense",CF_Gen_2[#All],MATCH($B208,CF_Gen_2[[#All],[Incurred]],0),0),0)</f>
        <v>0</v>
      </c>
      <c r="H208" s="21">
        <f>-IFERROR(HLOOKUP("Exp_Commission",CF_Gen_2[#All],MATCH($B208,CF_Gen_2[[#All],[Incurred]],0),0),0)-IFERROR(HLOOKUP("Exp_Acquisition",CF_Gen_2[#All],MATCH($B208,CF_Gen_2[[#All],[Incurred]],0),0),0)</f>
        <v>0</v>
      </c>
      <c r="I208" s="22">
        <f>IF(AND($J208&lt;YEAR($A208),$B208&lt;=$A208),-IFERROR(HLOOKUP("Actual_Commission",CF_Gen_2[#All],MATCH($B208,CF_Gen_2[[#All],[Incurred]],0),0),0)-IFERROR(HLOOKUP("Actual_Acquisition",CF_Gen_2[#All],MATCH($B208,CF_Gen_2[[#All],[Incurred]],0),0),0),0)</f>
        <v>0</v>
      </c>
      <c r="J208" s="27">
        <f>VLOOKUP(L208,ICG[#All],2,0)</f>
        <v>2024</v>
      </c>
      <c r="K208" s="27" t="str">
        <f>VLOOKUP(L208,ICG[#All],3,0)</f>
        <v>RC-Property</v>
      </c>
      <c r="L208" s="27" t="str">
        <f t="shared" si="15"/>
        <v>#2024#RC-Property</v>
      </c>
    </row>
    <row r="209" spans="1:12">
      <c r="A209" s="26">
        <f t="shared" si="16"/>
        <v>45930</v>
      </c>
      <c r="B209" s="26">
        <f t="shared" si="17"/>
        <v>55061</v>
      </c>
      <c r="C209" s="21">
        <f>IFERROR(HLOOKUP("Exp_Premium",CF_Gen_2[#All],MATCH($B209,CF_Gen_2[[#All],[Incurred]],0),0),0)</f>
        <v>0</v>
      </c>
      <c r="D209" s="22">
        <f>IF(AND($J209&lt;YEAR($A209),$B209&lt;=$A209),IFERROR(HLOOKUP("Actual_Premium",CF_Gen_2[#All],MATCH($B209,CF_Gen_2[[#All],[Incurred]],0),0),0),0)</f>
        <v>0</v>
      </c>
      <c r="E209" s="21">
        <f>-IFERROR(HLOOKUP("Exp_Claim",CF_Gen_2[#All],MATCH($B209,CF_Gen_2[[#All],[Incurred]],0),0),0)-IFERROR(HLOOKUP("Exp_NPR",CF_Gen_2[#All],MATCH($B209,CF_Gen_2[[#All],[Incurred]],0),0),0)</f>
        <v>0</v>
      </c>
      <c r="F209" s="21">
        <f>-IFERROR(HLOOKUP("Exp_RA",CF_Gen_2[#All],MATCH($B209,CF_Gen_2[[#All],[Incurred]],0),0),0)</f>
        <v>0</v>
      </c>
      <c r="G209" s="21">
        <f>-IFERROR(HLOOKUP("Exp_Expense",CF_Gen_2[#All],MATCH($B209,CF_Gen_2[[#All],[Incurred]],0),0),0)</f>
        <v>0</v>
      </c>
      <c r="H209" s="21">
        <f>-IFERROR(HLOOKUP("Exp_Commission",CF_Gen_2[#All],MATCH($B209,CF_Gen_2[[#All],[Incurred]],0),0),0)-IFERROR(HLOOKUP("Exp_Acquisition",CF_Gen_2[#All],MATCH($B209,CF_Gen_2[[#All],[Incurred]],0),0),0)</f>
        <v>0</v>
      </c>
      <c r="I209" s="22">
        <f>IF(AND($J209&lt;YEAR($A209),$B209&lt;=$A209),-IFERROR(HLOOKUP("Actual_Commission",CF_Gen_2[#All],MATCH($B209,CF_Gen_2[[#All],[Incurred]],0),0),0)-IFERROR(HLOOKUP("Actual_Acquisition",CF_Gen_2[#All],MATCH($B209,CF_Gen_2[[#All],[Incurred]],0),0),0),0)</f>
        <v>0</v>
      </c>
      <c r="J209" s="27">
        <f>VLOOKUP(L209,ICG[#All],2,0)</f>
        <v>2024</v>
      </c>
      <c r="K209" s="27" t="str">
        <f>VLOOKUP(L209,ICG[#All],3,0)</f>
        <v>RC-Property</v>
      </c>
      <c r="L209" s="27" t="str">
        <f t="shared" si="15"/>
        <v>#2024#RC-Property</v>
      </c>
    </row>
    <row r="210" spans="1:12">
      <c r="A210" s="26">
        <f t="shared" si="16"/>
        <v>45930</v>
      </c>
      <c r="B210" s="26">
        <f t="shared" si="17"/>
        <v>55153</v>
      </c>
      <c r="C210" s="21">
        <f>IFERROR(HLOOKUP("Exp_Premium",CF_Gen_2[#All],MATCH($B210,CF_Gen_2[[#All],[Incurred]],0),0),0)</f>
        <v>0</v>
      </c>
      <c r="D210" s="22">
        <f>IF(AND($J210&lt;YEAR($A210),$B210&lt;=$A210),IFERROR(HLOOKUP("Actual_Premium",CF_Gen_2[#All],MATCH($B210,CF_Gen_2[[#All],[Incurred]],0),0),0),0)</f>
        <v>0</v>
      </c>
      <c r="E210" s="21">
        <f>-IFERROR(HLOOKUP("Exp_Claim",CF_Gen_2[#All],MATCH($B210,CF_Gen_2[[#All],[Incurred]],0),0),0)-IFERROR(HLOOKUP("Exp_NPR",CF_Gen_2[#All],MATCH($B210,CF_Gen_2[[#All],[Incurred]],0),0),0)</f>
        <v>0</v>
      </c>
      <c r="F210" s="21">
        <f>-IFERROR(HLOOKUP("Exp_RA",CF_Gen_2[#All],MATCH($B210,CF_Gen_2[[#All],[Incurred]],0),0),0)</f>
        <v>0</v>
      </c>
      <c r="G210" s="21">
        <f>-IFERROR(HLOOKUP("Exp_Expense",CF_Gen_2[#All],MATCH($B210,CF_Gen_2[[#All],[Incurred]],0),0),0)</f>
        <v>0</v>
      </c>
      <c r="H210" s="21">
        <f>-IFERROR(HLOOKUP("Exp_Commission",CF_Gen_2[#All],MATCH($B210,CF_Gen_2[[#All],[Incurred]],0),0),0)-IFERROR(HLOOKUP("Exp_Acquisition",CF_Gen_2[#All],MATCH($B210,CF_Gen_2[[#All],[Incurred]],0),0),0)</f>
        <v>0</v>
      </c>
      <c r="I210" s="22">
        <f>IF(AND($J210&lt;YEAR($A210),$B210&lt;=$A210),-IFERROR(HLOOKUP("Actual_Commission",CF_Gen_2[#All],MATCH($B210,CF_Gen_2[[#All],[Incurred]],0),0),0)-IFERROR(HLOOKUP("Actual_Acquisition",CF_Gen_2[#All],MATCH($B210,CF_Gen_2[[#All],[Incurred]],0),0),0),0)</f>
        <v>0</v>
      </c>
      <c r="J210" s="27">
        <f>VLOOKUP(L210,ICG[#All],2,0)</f>
        <v>2024</v>
      </c>
      <c r="K210" s="27" t="str">
        <f>VLOOKUP(L210,ICG[#All],3,0)</f>
        <v>RC-Property</v>
      </c>
      <c r="L210" s="27" t="str">
        <f t="shared" si="15"/>
        <v>#2024#RC-Property</v>
      </c>
    </row>
    <row r="211" spans="1:12" s="31" customFormat="1">
      <c r="C211" s="32"/>
      <c r="D211" s="32"/>
      <c r="E211" s="32"/>
      <c r="F211" s="32"/>
      <c r="G211" s="32"/>
      <c r="H211" s="32"/>
      <c r="I211" s="32"/>
    </row>
    <row r="212" spans="1:12">
      <c r="A212" s="26">
        <f t="shared" ref="A212:A243" si="18">ValuationDate</f>
        <v>45930</v>
      </c>
      <c r="B212" s="26">
        <f>DATE(YEAR(A212),3,31)</f>
        <v>45747</v>
      </c>
      <c r="C212" s="21">
        <f>IFERROR(HLOOKUP("Exp_Premium",CF_Gen_3[#All],MATCH($B212,CF_Gen_3[[#All],[Incurred]],0),0),0)</f>
        <v>25082464610.223362</v>
      </c>
      <c r="D212" s="22">
        <f>IF(AND($J212&lt;YEAR($A212),$B212&lt;=$A212),IFERROR(HLOOKUP("Actual_Premium",CF_Gen_3[#All],MATCH($B212,CF_Gen_3[[#All],[Incurred]],0),0),0),0)</f>
        <v>0</v>
      </c>
      <c r="E212" s="21">
        <f>-IFERROR(HLOOKUP("Exp_Claim",CF_Gen_3[#All],MATCH($B212,CF_Gen_3[[#All],[Incurred]],0),0),0)-IFERROR(HLOOKUP("Exp_NPR",CF_Gen_3[#All],MATCH($B212,CF_Gen_3[[#All],[Incurred]],0),0),0)</f>
        <v>290052748.27437788</v>
      </c>
      <c r="F212" s="21">
        <f>-IFERROR(HLOOKUP("Exp_RA",CF_Gen_3[#All],MATCH($B212,CF_Gen_3[[#All],[Incurred]],0),0),0)</f>
        <v>40607384.758412905</v>
      </c>
      <c r="G212" s="21">
        <f>-IFERROR(HLOOKUP("Exp_Expense",CF_Gen_3[#All],MATCH($B212,CF_Gen_3[[#All],[Incurred]],0),0),0)</f>
        <v>64536736.491049074</v>
      </c>
      <c r="H212" s="21">
        <f>-IFERROR(HLOOKUP("Exp_Commission",CF_Gen_3[#All],MATCH($B212,CF_Gen_3[[#All],[Incurred]],0),0),0)-IFERROR(HLOOKUP("Exp_Acquisition",CF_Gen_3[#All],MATCH($B212,CF_Gen_3[[#All],[Incurred]],0),0),0)</f>
        <v>5016492922.044673</v>
      </c>
      <c r="I212" s="22">
        <f>IF(AND($J212&lt;YEAR($A212),$B212&lt;=$A212),-IFERROR(HLOOKUP("Actual_Commission",CF_Gen_3[#All],MATCH($B212,CF_Gen_3[[#All],[Incurred]],0),0),0)-IFERROR(HLOOKUP("Actual_Acquisition",CF_Gen_3[#All],MATCH($B212,CF_Gen_3[[#All],[Incurred]],0),0),0),0)</f>
        <v>0</v>
      </c>
      <c r="J212" s="27">
        <f>VLOOKUP(L212,ICG[#All],2,0)</f>
        <v>2025</v>
      </c>
      <c r="K212" s="27" t="str">
        <f>VLOOKUP(L212,ICG[#All],3,0)</f>
        <v>IC-Property</v>
      </c>
      <c r="L212" s="27" t="str">
        <f>'CF_Gen_3'!$A$2</f>
        <v>#2025#IC-Property</v>
      </c>
    </row>
    <row r="213" spans="1:12">
      <c r="A213" s="26">
        <f t="shared" si="18"/>
        <v>45930</v>
      </c>
      <c r="B213" s="26">
        <f t="shared" ref="B213:B276" si="19">EOMONTH(B212,3)</f>
        <v>45838</v>
      </c>
      <c r="C213" s="21">
        <f>IFERROR(HLOOKUP("Exp_Premium",CF_Gen_3[#All],MATCH($B213,CF_Gen_3[[#All],[Incurred]],0),0),0)</f>
        <v>35441376240.230103</v>
      </c>
      <c r="D213" s="22">
        <f>IF(AND($J213&lt;YEAR($A213),$B213&lt;=$A213),IFERROR(HLOOKUP("Actual_Premium",CF_Gen_3[#All],MATCH($B213,CF_Gen_3[[#All],[Incurred]],0),0),0),0)</f>
        <v>0</v>
      </c>
      <c r="E213" s="21">
        <f>-IFERROR(HLOOKUP("Exp_Claim",CF_Gen_3[#All],MATCH($B213,CF_Gen_3[[#All],[Incurred]],0),0),0)-IFERROR(HLOOKUP("Exp_NPR",CF_Gen_3[#All],MATCH($B213,CF_Gen_3[[#All],[Incurred]],0),0),0)</f>
        <v>539498111.79034281</v>
      </c>
      <c r="F213" s="21">
        <f>-IFERROR(HLOOKUP("Exp_RA",CF_Gen_3[#All],MATCH($B213,CF_Gen_3[[#All],[Incurred]],0),0),0)</f>
        <v>75529735.650647998</v>
      </c>
      <c r="G213" s="21">
        <f>-IFERROR(HLOOKUP("Exp_Expense",CF_Gen_3[#All],MATCH($B213,CF_Gen_3[[#All],[Incurred]],0),0),0)</f>
        <v>120038329.87335128</v>
      </c>
      <c r="H213" s="21">
        <f>-IFERROR(HLOOKUP("Exp_Commission",CF_Gen_3[#All],MATCH($B213,CF_Gen_3[[#All],[Incurred]],0),0),0)-IFERROR(HLOOKUP("Exp_Acquisition",CF_Gen_3[#All],MATCH($B213,CF_Gen_3[[#All],[Incurred]],0),0),0)</f>
        <v>6556654604.4425688</v>
      </c>
      <c r="I213" s="22">
        <f>IF(AND($J213&lt;YEAR($A213),$B213&lt;=$A213),-IFERROR(HLOOKUP("Actual_Commission",CF_Gen_3[#All],MATCH($B213,CF_Gen_3[[#All],[Incurred]],0),0),0)-IFERROR(HLOOKUP("Actual_Acquisition",CF_Gen_3[#All],MATCH($B213,CF_Gen_3[[#All],[Incurred]],0),0),0),0)</f>
        <v>0</v>
      </c>
      <c r="J213" s="27">
        <f>VLOOKUP(L213,ICG[#All],2,0)</f>
        <v>2025</v>
      </c>
      <c r="K213" s="27" t="str">
        <f>VLOOKUP(L213,ICG[#All],3,0)</f>
        <v>IC-Property</v>
      </c>
      <c r="L213" s="27" t="str">
        <f>L212</f>
        <v>#2025#IC-Property</v>
      </c>
    </row>
    <row r="214" spans="1:12">
      <c r="A214" s="26">
        <f t="shared" si="18"/>
        <v>45930</v>
      </c>
      <c r="B214" s="26">
        <f t="shared" si="19"/>
        <v>45930</v>
      </c>
      <c r="C214" s="21">
        <f>IFERROR(HLOOKUP("Exp_Premium",CF_Gen_3[#All],MATCH($B214,CF_Gen_3[[#All],[Incurred]],0),0),0)</f>
        <v>51754642352.531876</v>
      </c>
      <c r="D214" s="22">
        <f>IF(AND($J214&lt;YEAR($A214),$B214&lt;=$A214),IFERROR(HLOOKUP("Actual_Premium",CF_Gen_3[#All],MATCH($B214,CF_Gen_3[[#All],[Incurred]],0),0),0),0)</f>
        <v>0</v>
      </c>
      <c r="E214" s="21">
        <f>-IFERROR(HLOOKUP("Exp_Claim",CF_Gen_3[#All],MATCH($B214,CF_Gen_3[[#All],[Incurred]],0),0),0)-IFERROR(HLOOKUP("Exp_NPR",CF_Gen_3[#All],MATCH($B214,CF_Gen_3[[#All],[Incurred]],0),0),0)</f>
        <v>752599865.94752824</v>
      </c>
      <c r="F214" s="21">
        <f>-IFERROR(HLOOKUP("Exp_RA",CF_Gen_3[#All],MATCH($B214,CF_Gen_3[[#All],[Incurred]],0),0),0)</f>
        <v>105363981.23265396</v>
      </c>
      <c r="G214" s="21">
        <f>-IFERROR(HLOOKUP("Exp_Expense",CF_Gen_3[#All],MATCH($B214,CF_Gen_3[[#All],[Incurred]],0),0),0)</f>
        <v>167453470.173325</v>
      </c>
      <c r="H214" s="21">
        <f>-IFERROR(HLOOKUP("Exp_Commission",CF_Gen_3[#All],MATCH($B214,CF_Gen_3[[#All],[Incurred]],0),0),0)-IFERROR(HLOOKUP("Exp_Acquisition",CF_Gen_3[#All],MATCH($B214,CF_Gen_3[[#All],[Incurred]],0),0),0)</f>
        <v>9574608835.2183971</v>
      </c>
      <c r="I214" s="22">
        <f>IF(AND($J214&lt;YEAR($A214),$B214&lt;=$A214),-IFERROR(HLOOKUP("Actual_Commission",CF_Gen_3[#All],MATCH($B214,CF_Gen_3[[#All],[Incurred]],0),0),0)-IFERROR(HLOOKUP("Actual_Acquisition",CF_Gen_3[#All],MATCH($B214,CF_Gen_3[[#All],[Incurred]],0),0),0),0)</f>
        <v>0</v>
      </c>
      <c r="J214" s="27">
        <f>VLOOKUP(L214,ICG[#All],2,0)</f>
        <v>2025</v>
      </c>
      <c r="K214" s="27" t="str">
        <f>VLOOKUP(L214,ICG[#All],3,0)</f>
        <v>IC-Property</v>
      </c>
      <c r="L214" s="27" t="str">
        <f t="shared" ref="L214:L277" si="20">L213</f>
        <v>#2025#IC-Property</v>
      </c>
    </row>
    <row r="215" spans="1:12">
      <c r="A215" s="26">
        <f t="shared" si="18"/>
        <v>45930</v>
      </c>
      <c r="B215" s="26">
        <f t="shared" si="19"/>
        <v>46022</v>
      </c>
      <c r="C215" s="21">
        <f>IFERROR(HLOOKUP("Exp_Premium",CF_Gen_3[#All],MATCH($B215,CF_Gen_3[[#All],[Incurred]],0),0),0)</f>
        <v>-3029214460.4388013</v>
      </c>
      <c r="D215" s="22">
        <f>IF(AND($J215&lt;YEAR($A215),$B215&lt;=$A215),IFERROR(HLOOKUP("Actual_Premium",CF_Gen_3[#All],MATCH($B215,CF_Gen_3[[#All],[Incurred]],0),0),0),0)</f>
        <v>0</v>
      </c>
      <c r="E215" s="21">
        <f>-IFERROR(HLOOKUP("Exp_Claim",CF_Gen_3[#All],MATCH($B215,CF_Gen_3[[#All],[Incurred]],0),0),0)-IFERROR(HLOOKUP("Exp_NPR",CF_Gen_3[#All],MATCH($B215,CF_Gen_3[[#All],[Incurred]],0),0),0)</f>
        <v>699917875.33120131</v>
      </c>
      <c r="F215" s="21">
        <f>-IFERROR(HLOOKUP("Exp_RA",CF_Gen_3[#All],MATCH($B215,CF_Gen_3[[#All],[Incurred]],0),0),0)</f>
        <v>97988502.546368197</v>
      </c>
      <c r="G215" s="21">
        <f>-IFERROR(HLOOKUP("Exp_Expense",CF_Gen_3[#All],MATCH($B215,CF_Gen_3[[#All],[Incurred]],0),0),0)</f>
        <v>155731727.26119229</v>
      </c>
      <c r="H215" s="21">
        <f>-IFERROR(HLOOKUP("Exp_Commission",CF_Gen_3[#All],MATCH($B215,CF_Gen_3[[#All],[Incurred]],0),0),0)-IFERROR(HLOOKUP("Exp_Acquisition",CF_Gen_3[#All],MATCH($B215,CF_Gen_3[[#All],[Incurred]],0),0),0)</f>
        <v>-437838706.80925292</v>
      </c>
      <c r="I215" s="22">
        <f>IF(AND($J215&lt;YEAR($A215),$B215&lt;=$A215),-IFERROR(HLOOKUP("Actual_Commission",CF_Gen_3[#All],MATCH($B215,CF_Gen_3[[#All],[Incurred]],0),0),0)-IFERROR(HLOOKUP("Actual_Acquisition",CF_Gen_3[#All],MATCH($B215,CF_Gen_3[[#All],[Incurred]],0),0),0),0)</f>
        <v>0</v>
      </c>
      <c r="J215" s="27">
        <f>VLOOKUP(L215,ICG[#All],2,0)</f>
        <v>2025</v>
      </c>
      <c r="K215" s="27" t="str">
        <f>VLOOKUP(L215,ICG[#All],3,0)</f>
        <v>IC-Property</v>
      </c>
      <c r="L215" s="27" t="str">
        <f t="shared" si="20"/>
        <v>#2025#IC-Property</v>
      </c>
    </row>
    <row r="216" spans="1:12">
      <c r="A216" s="26">
        <f t="shared" si="18"/>
        <v>45930</v>
      </c>
      <c r="B216" s="26">
        <f t="shared" si="19"/>
        <v>46112</v>
      </c>
      <c r="C216" s="21">
        <f>IFERROR(HLOOKUP("Exp_Premium",CF_Gen_3[#All],MATCH($B216,CF_Gen_3[[#All],[Incurred]],0),0),0)</f>
        <v>-2755926634.1166053</v>
      </c>
      <c r="D216" s="22">
        <f>IF(AND($J216&lt;YEAR($A216),$B216&lt;=$A216),IFERROR(HLOOKUP("Actual_Premium",CF_Gen_3[#All],MATCH($B216,CF_Gen_3[[#All],[Incurred]],0),0),0),0)</f>
        <v>0</v>
      </c>
      <c r="E216" s="21">
        <f>-IFERROR(HLOOKUP("Exp_Claim",CF_Gen_3[#All],MATCH($B216,CF_Gen_3[[#All],[Incurred]],0),0),0)-IFERROR(HLOOKUP("Exp_NPR",CF_Gen_3[#All],MATCH($B216,CF_Gen_3[[#All],[Incurred]],0),0),0)</f>
        <v>641489948.34703135</v>
      </c>
      <c r="F216" s="21">
        <f>-IFERROR(HLOOKUP("Exp_RA",CF_Gen_3[#All],MATCH($B216,CF_Gen_3[[#All],[Incurred]],0),0),0)</f>
        <v>89808592.7685844</v>
      </c>
      <c r="G216" s="21">
        <f>-IFERROR(HLOOKUP("Exp_Expense",CF_Gen_3[#All],MATCH($B216,CF_Gen_3[[#All],[Incurred]],0),0),0)</f>
        <v>142731513.50721449</v>
      </c>
      <c r="H216" s="21">
        <f>-IFERROR(HLOOKUP("Exp_Commission",CF_Gen_3[#All],MATCH($B216,CF_Gen_3[[#All],[Incurred]],0),0),0)-IFERROR(HLOOKUP("Exp_Acquisition",CF_Gen_3[#All],MATCH($B216,CF_Gen_3[[#All],[Incurred]],0),0),0)</f>
        <v>-398338040.86885297</v>
      </c>
      <c r="I216" s="22">
        <f>IF(AND($J216&lt;YEAR($A216),$B216&lt;=$A216),-IFERROR(HLOOKUP("Actual_Commission",CF_Gen_3[#All],MATCH($B216,CF_Gen_3[[#All],[Incurred]],0),0),0)-IFERROR(HLOOKUP("Actual_Acquisition",CF_Gen_3[#All],MATCH($B216,CF_Gen_3[[#All],[Incurred]],0),0),0),0)</f>
        <v>0</v>
      </c>
      <c r="J216" s="27">
        <f>VLOOKUP(L216,ICG[#All],2,0)</f>
        <v>2025</v>
      </c>
      <c r="K216" s="27" t="str">
        <f>VLOOKUP(L216,ICG[#All],3,0)</f>
        <v>IC-Property</v>
      </c>
      <c r="L216" s="27" t="str">
        <f t="shared" si="20"/>
        <v>#2025#IC-Property</v>
      </c>
    </row>
    <row r="217" spans="1:12">
      <c r="A217" s="26">
        <f t="shared" si="18"/>
        <v>45930</v>
      </c>
      <c r="B217" s="26">
        <f t="shared" si="19"/>
        <v>46203</v>
      </c>
      <c r="C217" s="21">
        <f>IFERROR(HLOOKUP("Exp_Premium",CF_Gen_3[#All],MATCH($B217,CF_Gen_3[[#All],[Incurred]],0),0),0)</f>
        <v>-2506881399.2480779</v>
      </c>
      <c r="D217" s="22">
        <f>IF(AND($J217&lt;YEAR($A217),$B217&lt;=$A217),IFERROR(HLOOKUP("Actual_Premium",CF_Gen_3[#All],MATCH($B217,CF_Gen_3[[#All],[Incurred]],0),0),0),0)</f>
        <v>0</v>
      </c>
      <c r="E217" s="21">
        <f>-IFERROR(HLOOKUP("Exp_Claim",CF_Gen_3[#All],MATCH($B217,CF_Gen_3[[#All],[Incurred]],0),0),0)-IFERROR(HLOOKUP("Exp_NPR",CF_Gen_3[#All],MATCH($B217,CF_Gen_3[[#All],[Incurred]],0),0),0)</f>
        <v>587812333.55152237</v>
      </c>
      <c r="F217" s="21">
        <f>-IFERROR(HLOOKUP("Exp_RA",CF_Gen_3[#All],MATCH($B217,CF_Gen_3[[#All],[Incurred]],0),0),0)</f>
        <v>82293726.697213143</v>
      </c>
      <c r="G217" s="21">
        <f>-IFERROR(HLOOKUP("Exp_Expense",CF_Gen_3[#All],MATCH($B217,CF_Gen_3[[#All],[Incurred]],0),0),0)</f>
        <v>130788244.21521372</v>
      </c>
      <c r="H217" s="21">
        <f>-IFERROR(HLOOKUP("Exp_Commission",CF_Gen_3[#All],MATCH($B217,CF_Gen_3[[#All],[Incurred]],0),0),0)-IFERROR(HLOOKUP("Exp_Acquisition",CF_Gen_3[#All],MATCH($B217,CF_Gen_3[[#All],[Incurred]],0),0),0)</f>
        <v>-362341367.47516817</v>
      </c>
      <c r="I217" s="22">
        <f>IF(AND($J217&lt;YEAR($A217),$B217&lt;=$A217),-IFERROR(HLOOKUP("Actual_Commission",CF_Gen_3[#All],MATCH($B217,CF_Gen_3[[#All],[Incurred]],0),0),0)-IFERROR(HLOOKUP("Actual_Acquisition",CF_Gen_3[#All],MATCH($B217,CF_Gen_3[[#All],[Incurred]],0),0),0),0)</f>
        <v>0</v>
      </c>
      <c r="J217" s="27">
        <f>VLOOKUP(L217,ICG[#All],2,0)</f>
        <v>2025</v>
      </c>
      <c r="K217" s="27" t="str">
        <f>VLOOKUP(L217,ICG[#All],3,0)</f>
        <v>IC-Property</v>
      </c>
      <c r="L217" s="27" t="str">
        <f t="shared" si="20"/>
        <v>#2025#IC-Property</v>
      </c>
    </row>
    <row r="218" spans="1:12">
      <c r="A218" s="26">
        <f t="shared" si="18"/>
        <v>45930</v>
      </c>
      <c r="B218" s="26">
        <f t="shared" si="19"/>
        <v>46295</v>
      </c>
      <c r="C218" s="21">
        <f>IFERROR(HLOOKUP("Exp_Premium",CF_Gen_3[#All],MATCH($B218,CF_Gen_3[[#All],[Incurred]],0),0),0)</f>
        <v>-2279966122.1149545</v>
      </c>
      <c r="D218" s="22">
        <f>IF(AND($J218&lt;YEAR($A218),$B218&lt;=$A218),IFERROR(HLOOKUP("Actual_Premium",CF_Gen_3[#All],MATCH($B218,CF_Gen_3[[#All],[Incurred]],0),0),0),0)</f>
        <v>0</v>
      </c>
      <c r="E218" s="21">
        <f>-IFERROR(HLOOKUP("Exp_Claim",CF_Gen_3[#All],MATCH($B218,CF_Gen_3[[#All],[Incurred]],0),0),0)-IFERROR(HLOOKUP("Exp_NPR",CF_Gen_3[#All],MATCH($B218,CF_Gen_3[[#All],[Incurred]],0),0),0)</f>
        <v>538506284.08048427</v>
      </c>
      <c r="F218" s="21">
        <f>-IFERROR(HLOOKUP("Exp_RA",CF_Gen_3[#All],MATCH($B218,CF_Gen_3[[#All],[Incurred]],0),0),0)</f>
        <v>75390879.771267802</v>
      </c>
      <c r="G218" s="21">
        <f>-IFERROR(HLOOKUP("Exp_Expense",CF_Gen_3[#All],MATCH($B218,CF_Gen_3[[#All],[Incurred]],0),0),0)</f>
        <v>119817648.20790774</v>
      </c>
      <c r="H218" s="21">
        <f>-IFERROR(HLOOKUP("Exp_Commission",CF_Gen_3[#All],MATCH($B218,CF_Gen_3[[#All],[Incurred]],0),0),0)-IFERROR(HLOOKUP("Exp_Acquisition",CF_Gen_3[#All],MATCH($B218,CF_Gen_3[[#All],[Incurred]],0),0),0)</f>
        <v>-329543329.3062765</v>
      </c>
      <c r="I218" s="22">
        <f>IF(AND($J218&lt;YEAR($A218),$B218&lt;=$A218),-IFERROR(HLOOKUP("Actual_Commission",CF_Gen_3[#All],MATCH($B218,CF_Gen_3[[#All],[Incurred]],0),0),0)-IFERROR(HLOOKUP("Actual_Acquisition",CF_Gen_3[#All],MATCH($B218,CF_Gen_3[[#All],[Incurred]],0),0),0),0)</f>
        <v>0</v>
      </c>
      <c r="J218" s="27">
        <f>VLOOKUP(L218,ICG[#All],2,0)</f>
        <v>2025</v>
      </c>
      <c r="K218" s="27" t="str">
        <f>VLOOKUP(L218,ICG[#All],3,0)</f>
        <v>IC-Property</v>
      </c>
      <c r="L218" s="27" t="str">
        <f t="shared" si="20"/>
        <v>#2025#IC-Property</v>
      </c>
    </row>
    <row r="219" spans="1:12">
      <c r="A219" s="26">
        <f t="shared" si="18"/>
        <v>45930</v>
      </c>
      <c r="B219" s="26">
        <f t="shared" si="19"/>
        <v>46387</v>
      </c>
      <c r="C219" s="21">
        <f>IFERROR(HLOOKUP("Exp_Premium",CF_Gen_3[#All],MATCH($B219,CF_Gen_3[[#All],[Incurred]],0),0),0)</f>
        <v>-2073249193.7098646</v>
      </c>
      <c r="D219" s="22">
        <f>IF(AND($J219&lt;YEAR($A219),$B219&lt;=$A219),IFERROR(HLOOKUP("Actual_Premium",CF_Gen_3[#All],MATCH($B219,CF_Gen_3[[#All],[Incurred]],0),0),0),0)</f>
        <v>0</v>
      </c>
      <c r="E219" s="21">
        <f>-IFERROR(HLOOKUP("Exp_Claim",CF_Gen_3[#All],MATCH($B219,CF_Gen_3[[#All],[Incurred]],0),0),0)-IFERROR(HLOOKUP("Exp_NPR",CF_Gen_3[#All],MATCH($B219,CF_Gen_3[[#All],[Incurred]],0),0),0)</f>
        <v>500810844.19485027</v>
      </c>
      <c r="F219" s="21">
        <f>-IFERROR(HLOOKUP("Exp_RA",CF_Gen_3[#All],MATCH($B219,CF_Gen_3[[#All],[Incurred]],0),0),0)</f>
        <v>70113518.187279046</v>
      </c>
      <c r="G219" s="21">
        <f>-IFERROR(HLOOKUP("Exp_Expense",CF_Gen_3[#All],MATCH($B219,CF_Gen_3[[#All],[Incurred]],0),0),0)</f>
        <v>111430412.83335418</v>
      </c>
      <c r="H219" s="21">
        <f>-IFERROR(HLOOKUP("Exp_Commission",CF_Gen_3[#All],MATCH($B219,CF_Gen_3[[#All],[Incurred]],0),0),0)-IFERROR(HLOOKUP("Exp_Acquisition",CF_Gen_3[#All],MATCH($B219,CF_Gen_3[[#All],[Incurred]],0),0),0)</f>
        <v>-299664734.11584073</v>
      </c>
      <c r="I219" s="22">
        <f>IF(AND($J219&lt;YEAR($A219),$B219&lt;=$A219),-IFERROR(HLOOKUP("Actual_Commission",CF_Gen_3[#All],MATCH($B219,CF_Gen_3[[#All],[Incurred]],0),0),0)-IFERROR(HLOOKUP("Actual_Acquisition",CF_Gen_3[#All],MATCH($B219,CF_Gen_3[[#All],[Incurred]],0),0),0),0)</f>
        <v>0</v>
      </c>
      <c r="J219" s="27">
        <f>VLOOKUP(L219,ICG[#All],2,0)</f>
        <v>2025</v>
      </c>
      <c r="K219" s="27" t="str">
        <f>VLOOKUP(L219,ICG[#All],3,0)</f>
        <v>IC-Property</v>
      </c>
      <c r="L219" s="27" t="str">
        <f t="shared" si="20"/>
        <v>#2025#IC-Property</v>
      </c>
    </row>
    <row r="220" spans="1:12">
      <c r="A220" s="26">
        <f t="shared" si="18"/>
        <v>45930</v>
      </c>
      <c r="B220" s="26">
        <f t="shared" si="19"/>
        <v>46477</v>
      </c>
      <c r="C220" s="21">
        <f>IFERROR(HLOOKUP("Exp_Premium",CF_Gen_3[#All],MATCH($B220,CF_Gen_3[[#All],[Incurred]],0),0),0)</f>
        <v>-1884300801.2831244</v>
      </c>
      <c r="D220" s="22">
        <f>IF(AND($J220&lt;YEAR($A220),$B220&lt;=$A220),IFERROR(HLOOKUP("Actual_Premium",CF_Gen_3[#All],MATCH($B220,CF_Gen_3[[#All],[Incurred]],0),0),0),0)</f>
        <v>0</v>
      </c>
      <c r="E220" s="21">
        <f>-IFERROR(HLOOKUP("Exp_Claim",CF_Gen_3[#All],MATCH($B220,CF_Gen_3[[#All],[Incurred]],0),0),0)-IFERROR(HLOOKUP("Exp_NPR",CF_Gen_3[#All],MATCH($B220,CF_Gen_3[[#All],[Incurred]],0),0),0)</f>
        <v>458697205.02391958</v>
      </c>
      <c r="F220" s="21">
        <f>-IFERROR(HLOOKUP("Exp_RA",CF_Gen_3[#All],MATCH($B220,CF_Gen_3[[#All],[Incurred]],0),0),0)</f>
        <v>64217608.703348748</v>
      </c>
      <c r="G220" s="21">
        <f>-IFERROR(HLOOKUP("Exp_Expense",CF_Gen_3[#All],MATCH($B220,CF_Gen_3[[#All],[Incurred]],0),0),0)</f>
        <v>102060128.11782211</v>
      </c>
      <c r="H220" s="21">
        <f>-IFERROR(HLOOKUP("Exp_Commission",CF_Gen_3[#All],MATCH($B220,CF_Gen_3[[#All],[Incurred]],0),0),0)-IFERROR(HLOOKUP("Exp_Acquisition",CF_Gen_3[#All],MATCH($B220,CF_Gen_3[[#All],[Incurred]],0),0),0)</f>
        <v>-272354379.93846524</v>
      </c>
      <c r="I220" s="22">
        <f>IF(AND($J220&lt;YEAR($A220),$B220&lt;=$A220),-IFERROR(HLOOKUP("Actual_Commission",CF_Gen_3[#All],MATCH($B220,CF_Gen_3[[#All],[Incurred]],0),0),0)-IFERROR(HLOOKUP("Actual_Acquisition",CF_Gen_3[#All],MATCH($B220,CF_Gen_3[[#All],[Incurred]],0),0),0),0)</f>
        <v>0</v>
      </c>
      <c r="J220" s="27">
        <f>VLOOKUP(L220,ICG[#All],2,0)</f>
        <v>2025</v>
      </c>
      <c r="K220" s="27" t="str">
        <f>VLOOKUP(L220,ICG[#All],3,0)</f>
        <v>IC-Property</v>
      </c>
      <c r="L220" s="27" t="str">
        <f t="shared" si="20"/>
        <v>#2025#IC-Property</v>
      </c>
    </row>
    <row r="221" spans="1:12">
      <c r="A221" s="26">
        <f t="shared" si="18"/>
        <v>45930</v>
      </c>
      <c r="B221" s="26">
        <f t="shared" si="19"/>
        <v>46568</v>
      </c>
      <c r="C221" s="21">
        <f>IFERROR(HLOOKUP("Exp_Premium",CF_Gen_3[#All],MATCH($B221,CF_Gen_3[[#All],[Incurred]],0),0),0)</f>
        <v>-1712263739.7537127</v>
      </c>
      <c r="D221" s="22">
        <f>IF(AND($J221&lt;YEAR($A221),$B221&lt;=$A221),IFERROR(HLOOKUP("Actual_Premium",CF_Gen_3[#All],MATCH($B221,CF_Gen_3[[#All],[Incurred]],0),0),0),0)</f>
        <v>0</v>
      </c>
      <c r="E221" s="21">
        <f>-IFERROR(HLOOKUP("Exp_Claim",CF_Gen_3[#All],MATCH($B221,CF_Gen_3[[#All],[Incurred]],0),0),0)-IFERROR(HLOOKUP("Exp_NPR",CF_Gen_3[#All],MATCH($B221,CF_Gen_3[[#All],[Incurred]],0),0),0)</f>
        <v>420025502.20036465</v>
      </c>
      <c r="F221" s="21">
        <f>-IFERROR(HLOOKUP("Exp_RA",CF_Gen_3[#All],MATCH($B221,CF_Gen_3[[#All],[Incurred]],0),0),0)</f>
        <v>58803570.308051057</v>
      </c>
      <c r="G221" s="21">
        <f>-IFERROR(HLOOKUP("Exp_Expense",CF_Gen_3[#All],MATCH($B221,CF_Gen_3[[#All],[Incurred]],0),0),0)</f>
        <v>93455674.239581138</v>
      </c>
      <c r="H221" s="21">
        <f>-IFERROR(HLOOKUP("Exp_Commission",CF_Gen_3[#All],MATCH($B221,CF_Gen_3[[#All],[Incurred]],0),0),0)-IFERROR(HLOOKUP("Exp_Acquisition",CF_Gen_3[#All],MATCH($B221,CF_Gen_3[[#All],[Incurred]],0),0),0)</f>
        <v>-247488367.4698762</v>
      </c>
      <c r="I221" s="22">
        <f>IF(AND($J221&lt;YEAR($A221),$B221&lt;=$A221),-IFERROR(HLOOKUP("Actual_Commission",CF_Gen_3[#All],MATCH($B221,CF_Gen_3[[#All],[Incurred]],0),0),0)-IFERROR(HLOOKUP("Actual_Acquisition",CF_Gen_3[#All],MATCH($B221,CF_Gen_3[[#All],[Incurred]],0),0),0),0)</f>
        <v>0</v>
      </c>
      <c r="J221" s="27">
        <f>VLOOKUP(L221,ICG[#All],2,0)</f>
        <v>2025</v>
      </c>
      <c r="K221" s="27" t="str">
        <f>VLOOKUP(L221,ICG[#All],3,0)</f>
        <v>IC-Property</v>
      </c>
      <c r="L221" s="27" t="str">
        <f t="shared" si="20"/>
        <v>#2025#IC-Property</v>
      </c>
    </row>
    <row r="222" spans="1:12">
      <c r="A222" s="26">
        <f t="shared" si="18"/>
        <v>45930</v>
      </c>
      <c r="B222" s="26">
        <f t="shared" si="19"/>
        <v>46660</v>
      </c>
      <c r="C222" s="21">
        <f>IFERROR(HLOOKUP("Exp_Premium",CF_Gen_3[#All],MATCH($B222,CF_Gen_3[[#All],[Incurred]],0),0),0)</f>
        <v>-1555653046.5284207</v>
      </c>
      <c r="D222" s="22">
        <f>IF(AND($J222&lt;YEAR($A222),$B222&lt;=$A222),IFERROR(HLOOKUP("Actual_Premium",CF_Gen_3[#All],MATCH($B222,CF_Gen_3[[#All],[Incurred]],0),0),0),0)</f>
        <v>0</v>
      </c>
      <c r="E222" s="21">
        <f>-IFERROR(HLOOKUP("Exp_Claim",CF_Gen_3[#All],MATCH($B222,CF_Gen_3[[#All],[Incurred]],0),0),0)-IFERROR(HLOOKUP("Exp_NPR",CF_Gen_3[#All],MATCH($B222,CF_Gen_3[[#All],[Incurred]],0),0),0)</f>
        <v>384520221.46748996</v>
      </c>
      <c r="F222" s="21">
        <f>-IFERROR(HLOOKUP("Exp_RA",CF_Gen_3[#All],MATCH($B222,CF_Gen_3[[#All],[Incurred]],0),0),0)</f>
        <v>53832831.005448602</v>
      </c>
      <c r="G222" s="21">
        <f>-IFERROR(HLOOKUP("Exp_Expense",CF_Gen_3[#All],MATCH($B222,CF_Gen_3[[#All],[Incurred]],0),0),0)</f>
        <v>85555749.276516512</v>
      </c>
      <c r="H222" s="21">
        <f>-IFERROR(HLOOKUP("Exp_Commission",CF_Gen_3[#All],MATCH($B222,CF_Gen_3[[#All],[Incurred]],0),0),0)-IFERROR(HLOOKUP("Exp_Acquisition",CF_Gen_3[#All],MATCH($B222,CF_Gen_3[[#All],[Incurred]],0),0),0)</f>
        <v>-224852062.1538341</v>
      </c>
      <c r="I222" s="22">
        <f>IF(AND($J222&lt;YEAR($A222),$B222&lt;=$A222),-IFERROR(HLOOKUP("Actual_Commission",CF_Gen_3[#All],MATCH($B222,CF_Gen_3[[#All],[Incurred]],0),0),0)-IFERROR(HLOOKUP("Actual_Acquisition",CF_Gen_3[#All],MATCH($B222,CF_Gen_3[[#All],[Incurred]],0),0),0),0)</f>
        <v>0</v>
      </c>
      <c r="J222" s="27">
        <f>VLOOKUP(L222,ICG[#All],2,0)</f>
        <v>2025</v>
      </c>
      <c r="K222" s="27" t="str">
        <f>VLOOKUP(L222,ICG[#All],3,0)</f>
        <v>IC-Property</v>
      </c>
      <c r="L222" s="27" t="str">
        <f t="shared" si="20"/>
        <v>#2025#IC-Property</v>
      </c>
    </row>
    <row r="223" spans="1:12">
      <c r="A223" s="26">
        <f t="shared" si="18"/>
        <v>45930</v>
      </c>
      <c r="B223" s="26">
        <f t="shared" si="19"/>
        <v>46752</v>
      </c>
      <c r="C223" s="21">
        <f>IFERROR(HLOOKUP("Exp_Premium",CF_Gen_3[#All],MATCH($B223,CF_Gen_3[[#All],[Incurred]],0),0),0)</f>
        <v>-1413111813.8930259</v>
      </c>
      <c r="D223" s="22">
        <f>IF(AND($J223&lt;YEAR($A223),$B223&lt;=$A223),IFERROR(HLOOKUP("Actual_Premium",CF_Gen_3[#All],MATCH($B223,CF_Gen_3[[#All],[Incurred]],0),0),0),0)</f>
        <v>0</v>
      </c>
      <c r="E223" s="21">
        <f>-IFERROR(HLOOKUP("Exp_Claim",CF_Gen_3[#All],MATCH($B223,CF_Gen_3[[#All],[Incurred]],0),0),0)-IFERROR(HLOOKUP("Exp_NPR",CF_Gen_3[#All],MATCH($B223,CF_Gen_3[[#All],[Incurred]],0),0),0)</f>
        <v>357603805.96476567</v>
      </c>
      <c r="F223" s="21">
        <f>-IFERROR(HLOOKUP("Exp_RA",CF_Gen_3[#All],MATCH($B223,CF_Gen_3[[#All],[Incurred]],0),0),0)</f>
        <v>50064532.835067198</v>
      </c>
      <c r="G223" s="21">
        <f>-IFERROR(HLOOKUP("Exp_Expense",CF_Gen_3[#All],MATCH($B223,CF_Gen_3[[#All],[Incurred]],0),0),0)</f>
        <v>79566846.827160358</v>
      </c>
      <c r="H223" s="21">
        <f>-IFERROR(HLOOKUP("Exp_Commission",CF_Gen_3[#All],MATCH($B223,CF_Gen_3[[#All],[Incurred]],0),0),0)-IFERROR(HLOOKUP("Exp_Acquisition",CF_Gen_3[#All],MATCH($B223,CF_Gen_3[[#All],[Incurred]],0),0),0)</f>
        <v>-204249338.31927344</v>
      </c>
      <c r="I223" s="22">
        <f>IF(AND($J223&lt;YEAR($A223),$B223&lt;=$A223),-IFERROR(HLOOKUP("Actual_Commission",CF_Gen_3[#All],MATCH($B223,CF_Gen_3[[#All],[Incurred]],0),0),0)-IFERROR(HLOOKUP("Actual_Acquisition",CF_Gen_3[#All],MATCH($B223,CF_Gen_3[[#All],[Incurred]],0),0),0),0)</f>
        <v>0</v>
      </c>
      <c r="J223" s="27">
        <f>VLOOKUP(L223,ICG[#All],2,0)</f>
        <v>2025</v>
      </c>
      <c r="K223" s="27" t="str">
        <f>VLOOKUP(L223,ICG[#All],3,0)</f>
        <v>IC-Property</v>
      </c>
      <c r="L223" s="27" t="str">
        <f t="shared" si="20"/>
        <v>#2025#IC-Property</v>
      </c>
    </row>
    <row r="224" spans="1:12">
      <c r="A224" s="26">
        <f t="shared" si="18"/>
        <v>45930</v>
      </c>
      <c r="B224" s="26">
        <f t="shared" si="19"/>
        <v>46843</v>
      </c>
      <c r="C224" s="21">
        <f>IFERROR(HLOOKUP("Exp_Premium",CF_Gen_3[#All],MATCH($B224,CF_Gen_3[[#All],[Incurred]],0),0),0)</f>
        <v>-1282903653.8985968</v>
      </c>
      <c r="D224" s="22">
        <f>IF(AND($J224&lt;YEAR($A224),$B224&lt;=$A224),IFERROR(HLOOKUP("Actual_Premium",CF_Gen_3[#All],MATCH($B224,CF_Gen_3[[#All],[Incurred]],0),0),0),0)</f>
        <v>0</v>
      </c>
      <c r="E224" s="21">
        <f>-IFERROR(HLOOKUP("Exp_Claim",CF_Gen_3[#All],MATCH($B224,CF_Gen_3[[#All],[Incurred]],0),0),0)-IFERROR(HLOOKUP("Exp_NPR",CF_Gen_3[#All],MATCH($B224,CF_Gen_3[[#All],[Incurred]],0),0),0)</f>
        <v>327292626.22108555</v>
      </c>
      <c r="F224" s="21">
        <f>-IFERROR(HLOOKUP("Exp_RA",CF_Gen_3[#All],MATCH($B224,CF_Gen_3[[#All],[Incurred]],0),0),0)</f>
        <v>45820967.670951985</v>
      </c>
      <c r="G224" s="21">
        <f>-IFERROR(HLOOKUP("Exp_Expense",CF_Gen_3[#All],MATCH($B224,CF_Gen_3[[#All],[Incurred]],0),0),0)</f>
        <v>72822609.334191531</v>
      </c>
      <c r="H224" s="21">
        <f>-IFERROR(HLOOKUP("Exp_Commission",CF_Gen_3[#All],MATCH($B224,CF_Gen_3[[#All],[Incurred]],0),0),0)-IFERROR(HLOOKUP("Exp_Acquisition",CF_Gen_3[#All],MATCH($B224,CF_Gen_3[[#All],[Incurred]],0),0),0)</f>
        <v>-185429220.71699753</v>
      </c>
      <c r="I224" s="22">
        <f>IF(AND($J224&lt;YEAR($A224),$B224&lt;=$A224),-IFERROR(HLOOKUP("Actual_Commission",CF_Gen_3[#All],MATCH($B224,CF_Gen_3[[#All],[Incurred]],0),0),0)-IFERROR(HLOOKUP("Actual_Acquisition",CF_Gen_3[#All],MATCH($B224,CF_Gen_3[[#All],[Incurred]],0),0),0),0)</f>
        <v>0</v>
      </c>
      <c r="J224" s="27">
        <f>VLOOKUP(L224,ICG[#All],2,0)</f>
        <v>2025</v>
      </c>
      <c r="K224" s="27" t="str">
        <f>VLOOKUP(L224,ICG[#All],3,0)</f>
        <v>IC-Property</v>
      </c>
      <c r="L224" s="27" t="str">
        <f t="shared" si="20"/>
        <v>#2025#IC-Property</v>
      </c>
    </row>
    <row r="225" spans="1:12">
      <c r="A225" s="26">
        <f t="shared" si="18"/>
        <v>45930</v>
      </c>
      <c r="B225" s="26">
        <f t="shared" si="19"/>
        <v>46934</v>
      </c>
      <c r="C225" s="21">
        <f>IFERROR(HLOOKUP("Exp_Premium",CF_Gen_3[#All],MATCH($B225,CF_Gen_3[[#All],[Incurred]],0),0),0)</f>
        <v>-1164462293.3313501</v>
      </c>
      <c r="D225" s="22">
        <f>IF(AND($J225&lt;YEAR($A225),$B225&lt;=$A225),IFERROR(HLOOKUP("Actual_Premium",CF_Gen_3[#All],MATCH($B225,CF_Gen_3[[#All],[Incurred]],0),0),0),0)</f>
        <v>0</v>
      </c>
      <c r="E225" s="21">
        <f>-IFERROR(HLOOKUP("Exp_Claim",CF_Gen_3[#All],MATCH($B225,CF_Gen_3[[#All],[Incurred]],0),0),0)-IFERROR(HLOOKUP("Exp_NPR",CF_Gen_3[#All],MATCH($B225,CF_Gen_3[[#All],[Incurred]],0),0),0)</f>
        <v>299472752.99229324</v>
      </c>
      <c r="F225" s="21">
        <f>-IFERROR(HLOOKUP("Exp_RA",CF_Gen_3[#All],MATCH($B225,CF_Gen_3[[#All],[Incurred]],0),0),0)</f>
        <v>41926185.418921061</v>
      </c>
      <c r="G225" s="21">
        <f>-IFERROR(HLOOKUP("Exp_Expense",CF_Gen_3[#All],MATCH($B225,CF_Gen_3[[#All],[Incurred]],0),0),0)</f>
        <v>66632687.540785238</v>
      </c>
      <c r="H225" s="21">
        <f>-IFERROR(HLOOKUP("Exp_Commission",CF_Gen_3[#All],MATCH($B225,CF_Gen_3[[#All],[Incurred]],0),0),0)-IFERROR(HLOOKUP("Exp_Acquisition",CF_Gen_3[#All],MATCH($B225,CF_Gen_3[[#All],[Incurred]],0),0),0)</f>
        <v>-168309860.95533183</v>
      </c>
      <c r="I225" s="22">
        <f>IF(AND($J225&lt;YEAR($A225),$B225&lt;=$A225),-IFERROR(HLOOKUP("Actual_Commission",CF_Gen_3[#All],MATCH($B225,CF_Gen_3[[#All],[Incurred]],0),0),0)-IFERROR(HLOOKUP("Actual_Acquisition",CF_Gen_3[#All],MATCH($B225,CF_Gen_3[[#All],[Incurred]],0),0),0),0)</f>
        <v>0</v>
      </c>
      <c r="J225" s="27">
        <f>VLOOKUP(L225,ICG[#All],2,0)</f>
        <v>2025</v>
      </c>
      <c r="K225" s="27" t="str">
        <f>VLOOKUP(L225,ICG[#All],3,0)</f>
        <v>IC-Property</v>
      </c>
      <c r="L225" s="27" t="str">
        <f t="shared" si="20"/>
        <v>#2025#IC-Property</v>
      </c>
    </row>
    <row r="226" spans="1:12">
      <c r="A226" s="26">
        <f t="shared" si="18"/>
        <v>45930</v>
      </c>
      <c r="B226" s="26">
        <f t="shared" si="19"/>
        <v>47026</v>
      </c>
      <c r="C226" s="21">
        <f>IFERROR(HLOOKUP("Exp_Premium",CF_Gen_3[#All],MATCH($B226,CF_Gen_3[[#All],[Incurred]],0),0),0)</f>
        <v>-1056746066.9113299</v>
      </c>
      <c r="D226" s="22">
        <f>IF(AND($J226&lt;YEAR($A226),$B226&lt;=$A226),IFERROR(HLOOKUP("Actual_Premium",CF_Gen_3[#All],MATCH($B226,CF_Gen_3[[#All],[Incurred]],0),0),0),0)</f>
        <v>0</v>
      </c>
      <c r="E226" s="21">
        <f>-IFERROR(HLOOKUP("Exp_Claim",CF_Gen_3[#All],MATCH($B226,CF_Gen_3[[#All],[Incurred]],0),0),0)-IFERROR(HLOOKUP("Exp_NPR",CF_Gen_3[#All],MATCH($B226,CF_Gen_3[[#All],[Incurred]],0),0),0)</f>
        <v>273943928.14704847</v>
      </c>
      <c r="F226" s="21">
        <f>-IFERROR(HLOOKUP("Exp_RA",CF_Gen_3[#All],MATCH($B226,CF_Gen_3[[#All],[Incurred]],0),0),0)</f>
        <v>38352149.94058679</v>
      </c>
      <c r="G226" s="21">
        <f>-IFERROR(HLOOKUP("Exp_Expense",CF_Gen_3[#All],MATCH($B226,CF_Gen_3[[#All],[Incurred]],0),0),0)</f>
        <v>60952524.012718283</v>
      </c>
      <c r="H226" s="21">
        <f>-IFERROR(HLOOKUP("Exp_Commission",CF_Gen_3[#All],MATCH($B226,CF_Gen_3[[#All],[Incurred]],0),0),0)-IFERROR(HLOOKUP("Exp_Acquisition",CF_Gen_3[#All],MATCH($B226,CF_Gen_3[[#All],[Incurred]],0),0),0)</f>
        <v>-152740698.09345821</v>
      </c>
      <c r="I226" s="22">
        <f>IF(AND($J226&lt;YEAR($A226),$B226&lt;=$A226),-IFERROR(HLOOKUP("Actual_Commission",CF_Gen_3[#All],MATCH($B226,CF_Gen_3[[#All],[Incurred]],0),0),0)-IFERROR(HLOOKUP("Actual_Acquisition",CF_Gen_3[#All],MATCH($B226,CF_Gen_3[[#All],[Incurred]],0),0),0),0)</f>
        <v>0</v>
      </c>
      <c r="J226" s="27">
        <f>VLOOKUP(L226,ICG[#All],2,0)</f>
        <v>2025</v>
      </c>
      <c r="K226" s="27" t="str">
        <f>VLOOKUP(L226,ICG[#All],3,0)</f>
        <v>IC-Property</v>
      </c>
      <c r="L226" s="27" t="str">
        <f t="shared" si="20"/>
        <v>#2025#IC-Property</v>
      </c>
    </row>
    <row r="227" spans="1:12">
      <c r="A227" s="26">
        <f t="shared" si="18"/>
        <v>45930</v>
      </c>
      <c r="B227" s="26">
        <f t="shared" si="19"/>
        <v>47118</v>
      </c>
      <c r="C227" s="21">
        <f>IFERROR(HLOOKUP("Exp_Premium",CF_Gen_3[#All],MATCH($B227,CF_Gen_3[[#All],[Incurred]],0),0),0)</f>
        <v>-958803748.51467001</v>
      </c>
      <c r="D227" s="22">
        <f>IF(AND($J227&lt;YEAR($A227),$B227&lt;=$A227),IFERROR(HLOOKUP("Actual_Premium",CF_Gen_3[#All],MATCH($B227,CF_Gen_3[[#All],[Incurred]],0),0),0),0)</f>
        <v>0</v>
      </c>
      <c r="E227" s="21">
        <f>-IFERROR(HLOOKUP("Exp_Claim",CF_Gen_3[#All],MATCH($B227,CF_Gen_3[[#All],[Incurred]],0),0),0)-IFERROR(HLOOKUP("Exp_NPR",CF_Gen_3[#All],MATCH($B227,CF_Gen_3[[#All],[Incurred]],0),0),0)</f>
        <v>254767853.1767551</v>
      </c>
      <c r="F227" s="21">
        <f>-IFERROR(HLOOKUP("Exp_RA",CF_Gen_3[#All],MATCH($B227,CF_Gen_3[[#All],[Incurred]],0),0),0)</f>
        <v>35667499.444745719</v>
      </c>
      <c r="G227" s="21">
        <f>-IFERROR(HLOOKUP("Exp_Expense",CF_Gen_3[#All],MATCH($B227,CF_Gen_3[[#All],[Incurred]],0),0),0)</f>
        <v>56685847.331828006</v>
      </c>
      <c r="H227" s="21">
        <f>-IFERROR(HLOOKUP("Exp_Commission",CF_Gen_3[#All],MATCH($B227,CF_Gen_3[[#All],[Incurred]],0),0),0)-IFERROR(HLOOKUP("Exp_Acquisition",CF_Gen_3[#All],MATCH($B227,CF_Gen_3[[#All],[Incurred]],0),0),0)</f>
        <v>-138584243.14821085</v>
      </c>
      <c r="I227" s="22">
        <f>IF(AND($J227&lt;YEAR($A227),$B227&lt;=$A227),-IFERROR(HLOOKUP("Actual_Commission",CF_Gen_3[#All],MATCH($B227,CF_Gen_3[[#All],[Incurred]],0),0),0)-IFERROR(HLOOKUP("Actual_Acquisition",CF_Gen_3[#All],MATCH($B227,CF_Gen_3[[#All],[Incurred]],0),0),0),0)</f>
        <v>0</v>
      </c>
      <c r="J227" s="27">
        <f>VLOOKUP(L227,ICG[#All],2,0)</f>
        <v>2025</v>
      </c>
      <c r="K227" s="27" t="str">
        <f>VLOOKUP(L227,ICG[#All],3,0)</f>
        <v>IC-Property</v>
      </c>
      <c r="L227" s="27" t="str">
        <f t="shared" si="20"/>
        <v>#2025#IC-Property</v>
      </c>
    </row>
    <row r="228" spans="1:12">
      <c r="A228" s="26">
        <f t="shared" si="18"/>
        <v>45930</v>
      </c>
      <c r="B228" s="26">
        <f t="shared" si="19"/>
        <v>47208</v>
      </c>
      <c r="C228" s="21">
        <f>IFERROR(HLOOKUP("Exp_Premium",CF_Gen_3[#All],MATCH($B228,CF_Gen_3[[#All],[Incurred]],0),0),0)</f>
        <v>-869395298.9656769</v>
      </c>
      <c r="D228" s="22">
        <f>IF(AND($J228&lt;YEAR($A228),$B228&lt;=$A228),IFERROR(HLOOKUP("Actual_Premium",CF_Gen_3[#All],MATCH($B228,CF_Gen_3[[#All],[Incurred]],0),0),0),0)</f>
        <v>0</v>
      </c>
      <c r="E228" s="21">
        <f>-IFERROR(HLOOKUP("Exp_Claim",CF_Gen_3[#All],MATCH($B228,CF_Gen_3[[#All],[Incurred]],0),0),0)-IFERROR(HLOOKUP("Exp_NPR",CF_Gen_3[#All],MATCH($B228,CF_Gen_3[[#All],[Incurred]],0),0),0)</f>
        <v>232985201.7301425</v>
      </c>
      <c r="F228" s="21">
        <f>-IFERROR(HLOOKUP("Exp_RA",CF_Gen_3[#All],MATCH($B228,CF_Gen_3[[#All],[Incurred]],0),0),0)</f>
        <v>32617928.242219955</v>
      </c>
      <c r="G228" s="21">
        <f>-IFERROR(HLOOKUP("Exp_Expense",CF_Gen_3[#All],MATCH($B228,CF_Gen_3[[#All],[Incurred]],0),0),0)</f>
        <v>51839207.384956703</v>
      </c>
      <c r="H228" s="21">
        <f>-IFERROR(HLOOKUP("Exp_Commission",CF_Gen_3[#All],MATCH($B228,CF_Gen_3[[#All],[Incurred]],0),0),0)-IFERROR(HLOOKUP("Exp_Acquisition",CF_Gen_3[#All],MATCH($B228,CF_Gen_3[[#All],[Incurred]],0),0),0)</f>
        <v>-125661262.47464018</v>
      </c>
      <c r="I228" s="22">
        <f>IF(AND($J228&lt;YEAR($A228),$B228&lt;=$A228),-IFERROR(HLOOKUP("Actual_Commission",CF_Gen_3[#All],MATCH($B228,CF_Gen_3[[#All],[Incurred]],0),0),0)-IFERROR(HLOOKUP("Actual_Acquisition",CF_Gen_3[#All],MATCH($B228,CF_Gen_3[[#All],[Incurred]],0),0),0),0)</f>
        <v>0</v>
      </c>
      <c r="J228" s="27">
        <f>VLOOKUP(L228,ICG[#All],2,0)</f>
        <v>2025</v>
      </c>
      <c r="K228" s="27" t="str">
        <f>VLOOKUP(L228,ICG[#All],3,0)</f>
        <v>IC-Property</v>
      </c>
      <c r="L228" s="27" t="str">
        <f t="shared" si="20"/>
        <v>#2025#IC-Property</v>
      </c>
    </row>
    <row r="229" spans="1:12">
      <c r="A229" s="26">
        <f t="shared" si="18"/>
        <v>45930</v>
      </c>
      <c r="B229" s="26">
        <f t="shared" si="19"/>
        <v>47299</v>
      </c>
      <c r="C229" s="21">
        <f>IFERROR(HLOOKUP("Exp_Premium",CF_Gen_3[#All],MATCH($B229,CF_Gen_3[[#All],[Incurred]],0),0),0)</f>
        <v>-788151422.88669205</v>
      </c>
      <c r="D229" s="22">
        <f>IF(AND($J229&lt;YEAR($A229),$B229&lt;=$A229),IFERROR(HLOOKUP("Actual_Premium",CF_Gen_3[#All],MATCH($B229,CF_Gen_3[[#All],[Incurred]],0),0),0),0)</f>
        <v>0</v>
      </c>
      <c r="E229" s="21">
        <f>-IFERROR(HLOOKUP("Exp_Claim",CF_Gen_3[#All],MATCH($B229,CF_Gen_3[[#All],[Incurred]],0),0),0)-IFERROR(HLOOKUP("Exp_NPR",CF_Gen_3[#All],MATCH($B229,CF_Gen_3[[#All],[Incurred]],0),0),0)</f>
        <v>213003759.00548962</v>
      </c>
      <c r="F229" s="21">
        <f>-IFERROR(HLOOKUP("Exp_RA",CF_Gen_3[#All],MATCH($B229,CF_Gen_3[[#All],[Incurred]],0),0),0)</f>
        <v>29820526.260768548</v>
      </c>
      <c r="G229" s="21">
        <f>-IFERROR(HLOOKUP("Exp_Expense",CF_Gen_3[#All],MATCH($B229,CF_Gen_3[[#All],[Incurred]],0),0),0)</f>
        <v>47393336.378721438</v>
      </c>
      <c r="H229" s="21">
        <f>-IFERROR(HLOOKUP("Exp_Commission",CF_Gen_3[#All],MATCH($B229,CF_Gen_3[[#All],[Incurred]],0),0),0)-IFERROR(HLOOKUP("Exp_Acquisition",CF_Gen_3[#All],MATCH($B229,CF_Gen_3[[#All],[Incurred]],0),0),0)</f>
        <v>-113918378.60056771</v>
      </c>
      <c r="I229" s="22">
        <f>IF(AND($J229&lt;YEAR($A229),$B229&lt;=$A229),-IFERROR(HLOOKUP("Actual_Commission",CF_Gen_3[#All],MATCH($B229,CF_Gen_3[[#All],[Incurred]],0),0),0)-IFERROR(HLOOKUP("Actual_Acquisition",CF_Gen_3[#All],MATCH($B229,CF_Gen_3[[#All],[Incurred]],0),0),0),0)</f>
        <v>0</v>
      </c>
      <c r="J229" s="27">
        <f>VLOOKUP(L229,ICG[#All],2,0)</f>
        <v>2025</v>
      </c>
      <c r="K229" s="27" t="str">
        <f>VLOOKUP(L229,ICG[#All],3,0)</f>
        <v>IC-Property</v>
      </c>
      <c r="L229" s="27" t="str">
        <f t="shared" si="20"/>
        <v>#2025#IC-Property</v>
      </c>
    </row>
    <row r="230" spans="1:12">
      <c r="A230" s="26">
        <f t="shared" si="18"/>
        <v>45930</v>
      </c>
      <c r="B230" s="26">
        <f t="shared" si="19"/>
        <v>47391</v>
      </c>
      <c r="C230" s="21">
        <f>IFERROR(HLOOKUP("Exp_Premium",CF_Gen_3[#All],MATCH($B230,CF_Gen_3[[#All],[Incurred]],0),0),0)</f>
        <v>-714342994.37164307</v>
      </c>
      <c r="D230" s="22">
        <f>IF(AND($J230&lt;YEAR($A230),$B230&lt;=$A230),IFERROR(HLOOKUP("Actual_Premium",CF_Gen_3[#All],MATCH($B230,CF_Gen_3[[#All],[Incurred]],0),0),0),0)</f>
        <v>0</v>
      </c>
      <c r="E230" s="21">
        <f>-IFERROR(HLOOKUP("Exp_Claim",CF_Gen_3[#All],MATCH($B230,CF_Gen_3[[#All],[Incurred]],0),0),0)-IFERROR(HLOOKUP("Exp_NPR",CF_Gen_3[#All],MATCH($B230,CF_Gen_3[[#All],[Incurred]],0),0),0)</f>
        <v>194678090.77381039</v>
      </c>
      <c r="F230" s="21">
        <f>-IFERROR(HLOOKUP("Exp_RA",CF_Gen_3[#All],MATCH($B230,CF_Gen_3[[#All],[Incurred]],0),0),0)</f>
        <v>27254932.708333455</v>
      </c>
      <c r="G230" s="21">
        <f>-IFERROR(HLOOKUP("Exp_Expense",CF_Gen_3[#All],MATCH($B230,CF_Gen_3[[#All],[Incurred]],0),0),0)</f>
        <v>43315875.197172806</v>
      </c>
      <c r="H230" s="21">
        <f>-IFERROR(HLOOKUP("Exp_Commission",CF_Gen_3[#All],MATCH($B230,CF_Gen_3[[#All],[Incurred]],0),0),0)-IFERROR(HLOOKUP("Exp_Acquisition",CF_Gen_3[#All],MATCH($B230,CF_Gen_3[[#All],[Incurred]],0),0),0)</f>
        <v>-103250204.61860046</v>
      </c>
      <c r="I230" s="22">
        <f>IF(AND($J230&lt;YEAR($A230),$B230&lt;=$A230),-IFERROR(HLOOKUP("Actual_Commission",CF_Gen_3[#All],MATCH($B230,CF_Gen_3[[#All],[Incurred]],0),0),0)-IFERROR(HLOOKUP("Actual_Acquisition",CF_Gen_3[#All],MATCH($B230,CF_Gen_3[[#All],[Incurred]],0),0),0),0)</f>
        <v>0</v>
      </c>
      <c r="J230" s="27">
        <f>VLOOKUP(L230,ICG[#All],2,0)</f>
        <v>2025</v>
      </c>
      <c r="K230" s="27" t="str">
        <f>VLOOKUP(L230,ICG[#All],3,0)</f>
        <v>IC-Property</v>
      </c>
      <c r="L230" s="27" t="str">
        <f t="shared" si="20"/>
        <v>#2025#IC-Property</v>
      </c>
    </row>
    <row r="231" spans="1:12">
      <c r="A231" s="26">
        <f t="shared" si="18"/>
        <v>45930</v>
      </c>
      <c r="B231" s="26">
        <f t="shared" si="19"/>
        <v>47483</v>
      </c>
      <c r="C231" s="21">
        <f>IFERROR(HLOOKUP("Exp_Premium",CF_Gen_3[#All],MATCH($B231,CF_Gen_3[[#All],[Incurred]],0),0),0)</f>
        <v>-647304651.82291949</v>
      </c>
      <c r="D231" s="22">
        <f>IF(AND($J231&lt;YEAR($A231),$B231&lt;=$A231),IFERROR(HLOOKUP("Actual_Premium",CF_Gen_3[#All],MATCH($B231,CF_Gen_3[[#All],[Incurred]],0),0),0),0)</f>
        <v>0</v>
      </c>
      <c r="E231" s="21">
        <f>-IFERROR(HLOOKUP("Exp_Claim",CF_Gen_3[#All],MATCH($B231,CF_Gen_3[[#All],[Incurred]],0),0),0)-IFERROR(HLOOKUP("Exp_NPR",CF_Gen_3[#All],MATCH($B231,CF_Gen_3[[#All],[Incurred]],0),0),0)</f>
        <v>181050624.41964364</v>
      </c>
      <c r="F231" s="21">
        <f>-IFERROR(HLOOKUP("Exp_RA",CF_Gen_3[#All],MATCH($B231,CF_Gen_3[[#All],[Incurred]],0),0),0)</f>
        <v>25347087.418750111</v>
      </c>
      <c r="G231" s="21">
        <f>-IFERROR(HLOOKUP("Exp_Expense",CF_Gen_3[#All],MATCH($B231,CF_Gen_3[[#All],[Incurred]],0),0),0)</f>
        <v>40283763.933370709</v>
      </c>
      <c r="H231" s="21">
        <f>-IFERROR(HLOOKUP("Exp_Commission",CF_Gen_3[#All],MATCH($B231,CF_Gen_3[[#All],[Incurred]],0),0),0)-IFERROR(HLOOKUP("Exp_Acquisition",CF_Gen_3[#All],MATCH($B231,CF_Gen_3[[#All],[Incurred]],0),0),0)</f>
        <v>-93560570.03131637</v>
      </c>
      <c r="I231" s="22">
        <f>IF(AND($J231&lt;YEAR($A231),$B231&lt;=$A231),-IFERROR(HLOOKUP("Actual_Commission",CF_Gen_3[#All],MATCH($B231,CF_Gen_3[[#All],[Incurred]],0),0),0)-IFERROR(HLOOKUP("Actual_Acquisition",CF_Gen_3[#All],MATCH($B231,CF_Gen_3[[#All],[Incurred]],0),0),0),0)</f>
        <v>0</v>
      </c>
      <c r="J231" s="27">
        <f>VLOOKUP(L231,ICG[#All],2,0)</f>
        <v>2025</v>
      </c>
      <c r="K231" s="27" t="str">
        <f>VLOOKUP(L231,ICG[#All],3,0)</f>
        <v>IC-Property</v>
      </c>
      <c r="L231" s="27" t="str">
        <f t="shared" si="20"/>
        <v>#2025#IC-Property</v>
      </c>
    </row>
    <row r="232" spans="1:12">
      <c r="A232" s="26">
        <f t="shared" si="18"/>
        <v>45930</v>
      </c>
      <c r="B232" s="26">
        <f t="shared" si="19"/>
        <v>47573</v>
      </c>
      <c r="C232" s="21">
        <f>IFERROR(HLOOKUP("Exp_Premium",CF_Gen_3[#All],MATCH($B232,CF_Gen_3[[#All],[Incurred]],0),0),0)</f>
        <v>-586151396.55859613</v>
      </c>
      <c r="D232" s="22">
        <f>IF(AND($J232&lt;YEAR($A232),$B232&lt;=$A232),IFERROR(HLOOKUP("Actual_Premium",CF_Gen_3[#All],MATCH($B232,CF_Gen_3[[#All],[Incurred]],0),0),0),0)</f>
        <v>0</v>
      </c>
      <c r="E232" s="21">
        <f>-IFERROR(HLOOKUP("Exp_Claim",CF_Gen_3[#All],MATCH($B232,CF_Gen_3[[#All],[Incurred]],0),0),0)-IFERROR(HLOOKUP("Exp_NPR",CF_Gen_3[#All],MATCH($B232,CF_Gen_3[[#All],[Incurred]],0),0),0)</f>
        <v>165423096.83815861</v>
      </c>
      <c r="F232" s="21">
        <f>-IFERROR(HLOOKUP("Exp_RA",CF_Gen_3[#All],MATCH($B232,CF_Gen_3[[#All],[Incurred]],0),0),0)</f>
        <v>23159233.557342209</v>
      </c>
      <c r="G232" s="21">
        <f>-IFERROR(HLOOKUP("Exp_Expense",CF_Gen_3[#All],MATCH($B232,CF_Gen_3[[#All],[Incurred]],0),0),0)</f>
        <v>36806639.046490282</v>
      </c>
      <c r="H232" s="21">
        <f>-IFERROR(HLOOKUP("Exp_Commission",CF_Gen_3[#All],MATCH($B232,CF_Gen_3[[#All],[Incurred]],0),0),0)-IFERROR(HLOOKUP("Exp_Acquisition",CF_Gen_3[#All],MATCH($B232,CF_Gen_3[[#All],[Incurred]],0),0),0)</f>
        <v>-84721558.283620968</v>
      </c>
      <c r="I232" s="22">
        <f>IF(AND($J232&lt;YEAR($A232),$B232&lt;=$A232),-IFERROR(HLOOKUP("Actual_Commission",CF_Gen_3[#All],MATCH($B232,CF_Gen_3[[#All],[Incurred]],0),0),0)-IFERROR(HLOOKUP("Actual_Acquisition",CF_Gen_3[#All],MATCH($B232,CF_Gen_3[[#All],[Incurred]],0),0),0),0)</f>
        <v>0</v>
      </c>
      <c r="J232" s="27">
        <f>VLOOKUP(L232,ICG[#All],2,0)</f>
        <v>2025</v>
      </c>
      <c r="K232" s="27" t="str">
        <f>VLOOKUP(L232,ICG[#All],3,0)</f>
        <v>IC-Property</v>
      </c>
      <c r="L232" s="27" t="str">
        <f t="shared" si="20"/>
        <v>#2025#IC-Property</v>
      </c>
    </row>
    <row r="233" spans="1:12">
      <c r="A233" s="26">
        <f t="shared" si="18"/>
        <v>45930</v>
      </c>
      <c r="B233" s="26">
        <f t="shared" si="19"/>
        <v>47664</v>
      </c>
      <c r="C233" s="21">
        <f>IFERROR(HLOOKUP("Exp_Premium",CF_Gen_3[#All],MATCH($B233,CF_Gen_3[[#All],[Incurred]],0),0),0)</f>
        <v>-530646277.8261556</v>
      </c>
      <c r="D233" s="22">
        <f>IF(AND($J233&lt;YEAR($A233),$B233&lt;=$A233),IFERROR(HLOOKUP("Actual_Premium",CF_Gen_3[#All],MATCH($B233,CF_Gen_3[[#All],[Incurred]],0),0),0),0)</f>
        <v>0</v>
      </c>
      <c r="E233" s="21">
        <f>-IFERROR(HLOOKUP("Exp_Claim",CF_Gen_3[#All],MATCH($B233,CF_Gen_3[[#All],[Incurred]],0),0),0)-IFERROR(HLOOKUP("Exp_NPR",CF_Gen_3[#All],MATCH($B233,CF_Gen_3[[#All],[Incurred]],0),0),0)</f>
        <v>151096275.05842519</v>
      </c>
      <c r="F233" s="21">
        <f>-IFERROR(HLOOKUP("Exp_RA",CF_Gen_3[#All],MATCH($B233,CF_Gen_3[[#All],[Incurred]],0),0),0)</f>
        <v>21153478.508179527</v>
      </c>
      <c r="G233" s="21">
        <f>-IFERROR(HLOOKUP("Exp_Expense",CF_Gen_3[#All],MATCH($B233,CF_Gen_3[[#All],[Incurred]],0),0),0)</f>
        <v>33618921.200499602</v>
      </c>
      <c r="H233" s="21">
        <f>-IFERROR(HLOOKUP("Exp_Commission",CF_Gen_3[#All],MATCH($B233,CF_Gen_3[[#All],[Incurred]],0),0),0)-IFERROR(HLOOKUP("Exp_Acquisition",CF_Gen_3[#All],MATCH($B233,CF_Gen_3[[#All],[Incurred]],0),0),0)</f>
        <v>-76698920.82282345</v>
      </c>
      <c r="I233" s="22">
        <f>IF(AND($J233&lt;YEAR($A233),$B233&lt;=$A233),-IFERROR(HLOOKUP("Actual_Commission",CF_Gen_3[#All],MATCH($B233,CF_Gen_3[[#All],[Incurred]],0),0),0)-IFERROR(HLOOKUP("Actual_Acquisition",CF_Gen_3[#All],MATCH($B233,CF_Gen_3[[#All],[Incurred]],0),0),0),0)</f>
        <v>0</v>
      </c>
      <c r="J233" s="27">
        <f>VLOOKUP(L233,ICG[#All],2,0)</f>
        <v>2025</v>
      </c>
      <c r="K233" s="27" t="str">
        <f>VLOOKUP(L233,ICG[#All],3,0)</f>
        <v>IC-Property</v>
      </c>
      <c r="L233" s="27" t="str">
        <f t="shared" si="20"/>
        <v>#2025#IC-Property</v>
      </c>
    </row>
    <row r="234" spans="1:12">
      <c r="A234" s="26">
        <f t="shared" si="18"/>
        <v>45930</v>
      </c>
      <c r="B234" s="26">
        <f t="shared" si="19"/>
        <v>47756</v>
      </c>
      <c r="C234" s="21">
        <f>IFERROR(HLOOKUP("Exp_Premium",CF_Gen_3[#All],MATCH($B234,CF_Gen_3[[#All],[Incurred]],0),0),0)</f>
        <v>-480280114.31071246</v>
      </c>
      <c r="D234" s="22">
        <f>IF(AND($J234&lt;YEAR($A234),$B234&lt;=$A234),IFERROR(HLOOKUP("Actual_Premium",CF_Gen_3[#All],MATCH($B234,CF_Gen_3[[#All],[Incurred]],0),0),0),0)</f>
        <v>0</v>
      </c>
      <c r="E234" s="21">
        <f>-IFERROR(HLOOKUP("Exp_Claim",CF_Gen_3[#All],MATCH($B234,CF_Gen_3[[#All],[Incurred]],0),0),0)-IFERROR(HLOOKUP("Exp_NPR",CF_Gen_3[#All],MATCH($B234,CF_Gen_3[[#All],[Incurred]],0),0),0)</f>
        <v>137964635.15334749</v>
      </c>
      <c r="F234" s="21">
        <f>-IFERROR(HLOOKUP("Exp_RA",CF_Gen_3[#All],MATCH($B234,CF_Gen_3[[#All],[Incurred]],0),0),0)</f>
        <v>19315048.921468649</v>
      </c>
      <c r="G234" s="21">
        <f>-IFERROR(HLOOKUP("Exp_Expense",CF_Gen_3[#All],MATCH($B234,CF_Gen_3[[#All],[Incurred]],0),0),0)</f>
        <v>30697131.321619816</v>
      </c>
      <c r="H234" s="21">
        <f>-IFERROR(HLOOKUP("Exp_Commission",CF_Gen_3[#All],MATCH($B234,CF_Gen_3[[#All],[Incurred]],0),0),0)-IFERROR(HLOOKUP("Exp_Acquisition",CF_Gen_3[#All],MATCH($B234,CF_Gen_3[[#All],[Incurred]],0),0),0)</f>
        <v>-69419061.245845661</v>
      </c>
      <c r="I234" s="22">
        <f>IF(AND($J234&lt;YEAR($A234),$B234&lt;=$A234),-IFERROR(HLOOKUP("Actual_Commission",CF_Gen_3[#All],MATCH($B234,CF_Gen_3[[#All],[Incurred]],0),0),0)-IFERROR(HLOOKUP("Actual_Acquisition",CF_Gen_3[#All],MATCH($B234,CF_Gen_3[[#All],[Incurred]],0),0),0),0)</f>
        <v>0</v>
      </c>
      <c r="J234" s="27">
        <f>VLOOKUP(L234,ICG[#All],2,0)</f>
        <v>2025</v>
      </c>
      <c r="K234" s="27" t="str">
        <f>VLOOKUP(L234,ICG[#All],3,0)</f>
        <v>IC-Property</v>
      </c>
      <c r="L234" s="27" t="str">
        <f t="shared" si="20"/>
        <v>#2025#IC-Property</v>
      </c>
    </row>
    <row r="235" spans="1:12">
      <c r="A235" s="26">
        <f t="shared" si="18"/>
        <v>45930</v>
      </c>
      <c r="B235" s="26">
        <f t="shared" si="19"/>
        <v>47848</v>
      </c>
      <c r="C235" s="21">
        <f>IFERROR(HLOOKUP("Exp_Premium",CF_Gen_3[#All],MATCH($B235,CF_Gen_3[[#All],[Incurred]],0),0),0)</f>
        <v>-434588600.73304468</v>
      </c>
      <c r="D235" s="22">
        <f>IF(AND($J235&lt;YEAR($A235),$B235&lt;=$A235),IFERROR(HLOOKUP("Actual_Premium",CF_Gen_3[#All],MATCH($B235,CF_Gen_3[[#All],[Incurred]],0),0),0),0)</f>
        <v>0</v>
      </c>
      <c r="E235" s="21">
        <f>-IFERROR(HLOOKUP("Exp_Claim",CF_Gen_3[#All],MATCH($B235,CF_Gen_3[[#All],[Incurred]],0),0),0)-IFERROR(HLOOKUP("Exp_NPR",CF_Gen_3[#All],MATCH($B235,CF_Gen_3[[#All],[Incurred]],0),0),0)</f>
        <v>128307110.69261318</v>
      </c>
      <c r="F235" s="21">
        <f>-IFERROR(HLOOKUP("Exp_RA",CF_Gen_3[#All],MATCH($B235,CF_Gen_3[[#All],[Incurred]],0),0),0)</f>
        <v>17962995.496965848</v>
      </c>
      <c r="G235" s="21">
        <f>-IFERROR(HLOOKUP("Exp_Expense",CF_Gen_3[#All],MATCH($B235,CF_Gen_3[[#All],[Incurred]],0),0),0)</f>
        <v>28548332.129106432</v>
      </c>
      <c r="H235" s="21">
        <f>-IFERROR(HLOOKUP("Exp_Commission",CF_Gen_3[#All],MATCH($B235,CF_Gen_3[[#All],[Incurred]],0),0),0)-IFERROR(HLOOKUP("Exp_Acquisition",CF_Gen_3[#All],MATCH($B235,CF_Gen_3[[#All],[Incurred]],0),0),0)</f>
        <v>-62814869.473267935</v>
      </c>
      <c r="I235" s="22">
        <f>IF(AND($J235&lt;YEAR($A235),$B235&lt;=$A235),-IFERROR(HLOOKUP("Actual_Commission",CF_Gen_3[#All],MATCH($B235,CF_Gen_3[[#All],[Incurred]],0),0),0)-IFERROR(HLOOKUP("Actual_Acquisition",CF_Gen_3[#All],MATCH($B235,CF_Gen_3[[#All],[Incurred]],0),0),0),0)</f>
        <v>0</v>
      </c>
      <c r="J235" s="27">
        <f>VLOOKUP(L235,ICG[#All],2,0)</f>
        <v>2025</v>
      </c>
      <c r="K235" s="27" t="str">
        <f>VLOOKUP(L235,ICG[#All],3,0)</f>
        <v>IC-Property</v>
      </c>
      <c r="L235" s="27" t="str">
        <f t="shared" si="20"/>
        <v>#2025#IC-Property</v>
      </c>
    </row>
    <row r="236" spans="1:12">
      <c r="A236" s="26">
        <f t="shared" si="18"/>
        <v>45930</v>
      </c>
      <c r="B236" s="26">
        <f t="shared" si="19"/>
        <v>47938</v>
      </c>
      <c r="C236" s="21">
        <f>IFERROR(HLOOKUP("Exp_Premium",CF_Gen_3[#All],MATCH($B236,CF_Gen_3[[#All],[Incurred]],0),0),0)</f>
        <v>-392940526.4961279</v>
      </c>
      <c r="D236" s="22">
        <f>IF(AND($J236&lt;YEAR($A236),$B236&lt;=$A236),IFERROR(HLOOKUP("Actual_Premium",CF_Gen_3[#All],MATCH($B236,CF_Gen_3[[#All],[Incurred]],0),0),0),0)</f>
        <v>0</v>
      </c>
      <c r="E236" s="21">
        <f>-IFERROR(HLOOKUP("Exp_Claim",CF_Gen_3[#All],MATCH($B236,CF_Gen_3[[#All],[Incurred]],0),0),0)-IFERROR(HLOOKUP("Exp_NPR",CF_Gen_3[#All],MATCH($B236,CF_Gen_3[[#All],[Incurred]],0),0),0)</f>
        <v>117115879.37109077</v>
      </c>
      <c r="F236" s="21">
        <f>-IFERROR(HLOOKUP("Exp_RA",CF_Gen_3[#All],MATCH($B236,CF_Gen_3[[#All],[Incurred]],0),0),0)</f>
        <v>16396223.111952709</v>
      </c>
      <c r="G236" s="21">
        <f>-IFERROR(HLOOKUP("Exp_Expense",CF_Gen_3[#All],MATCH($B236,CF_Gen_3[[#All],[Incurred]],0),0),0)</f>
        <v>26058283.160067696</v>
      </c>
      <c r="H236" s="21">
        <f>-IFERROR(HLOOKUP("Exp_Commission",CF_Gen_3[#All],MATCH($B236,CF_Gen_3[[#All],[Incurred]],0),0),0)-IFERROR(HLOOKUP("Exp_Acquisition",CF_Gen_3[#All],MATCH($B236,CF_Gen_3[[#All],[Incurred]],0),0),0)</f>
        <v>-56795111.148746401</v>
      </c>
      <c r="I236" s="22">
        <f>IF(AND($J236&lt;YEAR($A236),$B236&lt;=$A236),-IFERROR(HLOOKUP("Actual_Commission",CF_Gen_3[#All],MATCH($B236,CF_Gen_3[[#All],[Incurred]],0),0),0)-IFERROR(HLOOKUP("Actual_Acquisition",CF_Gen_3[#All],MATCH($B236,CF_Gen_3[[#All],[Incurred]],0),0),0),0)</f>
        <v>0</v>
      </c>
      <c r="J236" s="27">
        <f>VLOOKUP(L236,ICG[#All],2,0)</f>
        <v>2025</v>
      </c>
      <c r="K236" s="27" t="str">
        <f>VLOOKUP(L236,ICG[#All],3,0)</f>
        <v>IC-Property</v>
      </c>
      <c r="L236" s="27" t="str">
        <f t="shared" si="20"/>
        <v>#2025#IC-Property</v>
      </c>
    </row>
    <row r="237" spans="1:12">
      <c r="A237" s="26">
        <f t="shared" si="18"/>
        <v>45930</v>
      </c>
      <c r="B237" s="26">
        <f t="shared" si="19"/>
        <v>48029</v>
      </c>
      <c r="C237" s="21">
        <f>IFERROR(HLOOKUP("Exp_Premium",CF_Gen_3[#All],MATCH($B237,CF_Gen_3[[#All],[Incurred]],0),0),0)</f>
        <v>-355187050.19642848</v>
      </c>
      <c r="D237" s="22">
        <f>IF(AND($J237&lt;YEAR($A237),$B237&lt;=$A237),IFERROR(HLOOKUP("Actual_Premium",CF_Gen_3[#All],MATCH($B237,CF_Gen_3[[#All],[Incurred]],0),0),0),0)</f>
        <v>0</v>
      </c>
      <c r="E237" s="21">
        <f>-IFERROR(HLOOKUP("Exp_Claim",CF_Gen_3[#All],MATCH($B237,CF_Gen_3[[#All],[Incurred]],0),0),0)-IFERROR(HLOOKUP("Exp_NPR",CF_Gen_3[#All],MATCH($B237,CF_Gen_3[[#All],[Incurred]],0),0),0)</f>
        <v>106862715.59218775</v>
      </c>
      <c r="F237" s="21">
        <f>-IFERROR(HLOOKUP("Exp_RA",CF_Gen_3[#All],MATCH($B237,CF_Gen_3[[#All],[Incurred]],0),0),0)</f>
        <v>14960780.182906287</v>
      </c>
      <c r="G237" s="21">
        <f>-IFERROR(HLOOKUP("Exp_Expense",CF_Gen_3[#All],MATCH($B237,CF_Gen_3[[#All],[Incurred]],0),0),0)</f>
        <v>23776954.219261773</v>
      </c>
      <c r="H237" s="21">
        <f>-IFERROR(HLOOKUP("Exp_Commission",CF_Gen_3[#All],MATCH($B237,CF_Gen_3[[#All],[Incurred]],0),0),0)-IFERROR(HLOOKUP("Exp_Acquisition",CF_Gen_3[#All],MATCH($B237,CF_Gen_3[[#All],[Incurred]],0),0),0)</f>
        <v>-51338272.929962881</v>
      </c>
      <c r="I237" s="22">
        <f>IF(AND($J237&lt;YEAR($A237),$B237&lt;=$A237),-IFERROR(HLOOKUP("Actual_Commission",CF_Gen_3[#All],MATCH($B237,CF_Gen_3[[#All],[Incurred]],0),0),0)-IFERROR(HLOOKUP("Actual_Acquisition",CF_Gen_3[#All],MATCH($B237,CF_Gen_3[[#All],[Incurred]],0),0),0),0)</f>
        <v>0</v>
      </c>
      <c r="J237" s="27">
        <f>VLOOKUP(L237,ICG[#All],2,0)</f>
        <v>2025</v>
      </c>
      <c r="K237" s="27" t="str">
        <f>VLOOKUP(L237,ICG[#All],3,0)</f>
        <v>IC-Property</v>
      </c>
      <c r="L237" s="27" t="str">
        <f t="shared" si="20"/>
        <v>#2025#IC-Property</v>
      </c>
    </row>
    <row r="238" spans="1:12">
      <c r="A238" s="26">
        <f t="shared" si="18"/>
        <v>45930</v>
      </c>
      <c r="B238" s="26">
        <f t="shared" si="19"/>
        <v>48121</v>
      </c>
      <c r="C238" s="21">
        <f>IFERROR(HLOOKUP("Exp_Premium",CF_Gen_3[#All],MATCH($B238,CF_Gen_3[[#All],[Incurred]],0),0),0)</f>
        <v>-320973469.068362</v>
      </c>
      <c r="D238" s="22">
        <f>IF(AND($J238&lt;YEAR($A238),$B238&lt;=$A238),IFERROR(HLOOKUP("Actual_Premium",CF_Gen_3[#All],MATCH($B238,CF_Gen_3[[#All],[Incurred]],0),0),0),0)</f>
        <v>0</v>
      </c>
      <c r="E238" s="21">
        <f>-IFERROR(HLOOKUP("Exp_Claim",CF_Gen_3[#All],MATCH($B238,CF_Gen_3[[#All],[Incurred]],0),0),0)-IFERROR(HLOOKUP("Exp_NPR",CF_Gen_3[#All],MATCH($B238,CF_Gen_3[[#All],[Incurred]],0),0),0)</f>
        <v>97471126.933412746</v>
      </c>
      <c r="F238" s="21">
        <f>-IFERROR(HLOOKUP("Exp_RA",CF_Gen_3[#All],MATCH($B238,CF_Gen_3[[#All],[Incurred]],0),0),0)</f>
        <v>13645957.770677786</v>
      </c>
      <c r="G238" s="21">
        <f>-IFERROR(HLOOKUP("Exp_Expense",CF_Gen_3[#All],MATCH($B238,CF_Gen_3[[#All],[Incurred]],0),0),0)</f>
        <v>21687325.742684335</v>
      </c>
      <c r="H238" s="21">
        <f>-IFERROR(HLOOKUP("Exp_Commission",CF_Gen_3[#All],MATCH($B238,CF_Gen_3[[#All],[Incurred]],0),0),0)-IFERROR(HLOOKUP("Exp_Acquisition",CF_Gen_3[#All],MATCH($B238,CF_Gen_3[[#All],[Incurred]],0),0),0)</f>
        <v>-46393086.541853495</v>
      </c>
      <c r="I238" s="22">
        <f>IF(AND($J238&lt;YEAR($A238),$B238&lt;=$A238),-IFERROR(HLOOKUP("Actual_Commission",CF_Gen_3[#All],MATCH($B238,CF_Gen_3[[#All],[Incurred]],0),0),0)-IFERROR(HLOOKUP("Actual_Acquisition",CF_Gen_3[#All],MATCH($B238,CF_Gen_3[[#All],[Incurred]],0),0),0),0)</f>
        <v>0</v>
      </c>
      <c r="J238" s="27">
        <f>VLOOKUP(L238,ICG[#All],2,0)</f>
        <v>2025</v>
      </c>
      <c r="K238" s="27" t="str">
        <f>VLOOKUP(L238,ICG[#All],3,0)</f>
        <v>IC-Property</v>
      </c>
      <c r="L238" s="27" t="str">
        <f t="shared" si="20"/>
        <v>#2025#IC-Property</v>
      </c>
    </row>
    <row r="239" spans="1:12">
      <c r="A239" s="26">
        <f t="shared" si="18"/>
        <v>45930</v>
      </c>
      <c r="B239" s="26">
        <f t="shared" si="19"/>
        <v>48213</v>
      </c>
      <c r="C239" s="21">
        <f>IFERROR(HLOOKUP("Exp_Premium",CF_Gen_3[#All],MATCH($B239,CF_Gen_3[[#All],[Incurred]],0),0),0)</f>
        <v>-289976602.626903</v>
      </c>
      <c r="D239" s="22">
        <f>IF(AND($J239&lt;YEAR($A239),$B239&lt;=$A239),IFERROR(HLOOKUP("Actual_Premium",CF_Gen_3[#All],MATCH($B239,CF_Gen_3[[#All],[Incurred]],0),0),0),0)</f>
        <v>0</v>
      </c>
      <c r="E239" s="21">
        <f>-IFERROR(HLOOKUP("Exp_Claim",CF_Gen_3[#All],MATCH($B239,CF_Gen_3[[#All],[Incurred]],0),0),0)-IFERROR(HLOOKUP("Exp_NPR",CF_Gen_3[#All],MATCH($B239,CF_Gen_3[[#All],[Incurred]],0),0),0)</f>
        <v>90648148.048073843</v>
      </c>
      <c r="F239" s="21">
        <f>-IFERROR(HLOOKUP("Exp_RA",CF_Gen_3[#All],MATCH($B239,CF_Gen_3[[#All],[Incurred]],0),0),0)</f>
        <v>12690740.726730339</v>
      </c>
      <c r="G239" s="21">
        <f>-IFERROR(HLOOKUP("Exp_Expense",CF_Gen_3[#All],MATCH($B239,CF_Gen_3[[#All],[Incurred]],0),0),0)</f>
        <v>20169212.940696429</v>
      </c>
      <c r="H239" s="21">
        <f>-IFERROR(HLOOKUP("Exp_Commission",CF_Gen_3[#All],MATCH($B239,CF_Gen_3[[#All],[Incurred]],0),0),0)-IFERROR(HLOOKUP("Exp_Acquisition",CF_Gen_3[#All],MATCH($B239,CF_Gen_3[[#All],[Incurred]],0),0),0)</f>
        <v>-41912839.898668773</v>
      </c>
      <c r="I239" s="22">
        <f>IF(AND($J239&lt;YEAR($A239),$B239&lt;=$A239),-IFERROR(HLOOKUP("Actual_Commission",CF_Gen_3[#All],MATCH($B239,CF_Gen_3[[#All],[Incurred]],0),0),0)-IFERROR(HLOOKUP("Actual_Acquisition",CF_Gen_3[#All],MATCH($B239,CF_Gen_3[[#All],[Incurred]],0),0),0),0)</f>
        <v>0</v>
      </c>
      <c r="J239" s="27">
        <f>VLOOKUP(L239,ICG[#All],2,0)</f>
        <v>2025</v>
      </c>
      <c r="K239" s="27" t="str">
        <f>VLOOKUP(L239,ICG[#All],3,0)</f>
        <v>IC-Property</v>
      </c>
      <c r="L239" s="27" t="str">
        <f t="shared" si="20"/>
        <v>#2025#IC-Property</v>
      </c>
    </row>
    <row r="240" spans="1:12">
      <c r="A240" s="26">
        <f t="shared" si="18"/>
        <v>45930</v>
      </c>
      <c r="B240" s="26">
        <f t="shared" si="19"/>
        <v>48304</v>
      </c>
      <c r="C240" s="21">
        <f>IFERROR(HLOOKUP("Exp_Premium",CF_Gen_3[#All],MATCH($B240,CF_Gen_3[[#All],[Incurred]],0),0),0)</f>
        <v>-261746527.48881331</v>
      </c>
      <c r="D240" s="22">
        <f>IF(AND($J240&lt;YEAR($A240),$B240&lt;=$A240),IFERROR(HLOOKUP("Actual_Premium",CF_Gen_3[#All],MATCH($B240,CF_Gen_3[[#All],[Incurred]],0),0),0),0)</f>
        <v>0</v>
      </c>
      <c r="E240" s="21">
        <f>-IFERROR(HLOOKUP("Exp_Claim",CF_Gen_3[#All],MATCH($B240,CF_Gen_3[[#All],[Incurred]],0),0),0)-IFERROR(HLOOKUP("Exp_NPR",CF_Gen_3[#All],MATCH($B240,CF_Gen_3[[#All],[Incurred]],0),0),0)</f>
        <v>82649782.043832034</v>
      </c>
      <c r="F240" s="21">
        <f>-IFERROR(HLOOKUP("Exp_RA",CF_Gen_3[#All],MATCH($B240,CF_Gen_3[[#All],[Incurred]],0),0),0)</f>
        <v>11570969.486136487</v>
      </c>
      <c r="G240" s="21">
        <f>-IFERROR(HLOOKUP("Exp_Expense",CF_Gen_3[#All],MATCH($B240,CF_Gen_3[[#All],[Incurred]],0),0),0)</f>
        <v>18389576.504752629</v>
      </c>
      <c r="H240" s="21">
        <f>-IFERROR(HLOOKUP("Exp_Commission",CF_Gen_3[#All],MATCH($B240,CF_Gen_3[[#All],[Incurred]],0),0),0)-IFERROR(HLOOKUP("Exp_Acquisition",CF_Gen_3[#All],MATCH($B240,CF_Gen_3[[#All],[Incurred]],0),0),0)</f>
        <v>-37832501.661474846</v>
      </c>
      <c r="I240" s="22">
        <f>IF(AND($J240&lt;YEAR($A240),$B240&lt;=$A240),-IFERROR(HLOOKUP("Actual_Commission",CF_Gen_3[#All],MATCH($B240,CF_Gen_3[[#All],[Incurred]],0),0),0)-IFERROR(HLOOKUP("Actual_Acquisition",CF_Gen_3[#All],MATCH($B240,CF_Gen_3[[#All],[Incurred]],0),0),0),0)</f>
        <v>0</v>
      </c>
      <c r="J240" s="27">
        <f>VLOOKUP(L240,ICG[#All],2,0)</f>
        <v>2025</v>
      </c>
      <c r="K240" s="27" t="str">
        <f>VLOOKUP(L240,ICG[#All],3,0)</f>
        <v>IC-Property</v>
      </c>
      <c r="L240" s="27" t="str">
        <f t="shared" si="20"/>
        <v>#2025#IC-Property</v>
      </c>
    </row>
    <row r="241" spans="1:12">
      <c r="A241" s="26">
        <f t="shared" si="18"/>
        <v>45930</v>
      </c>
      <c r="B241" s="26">
        <f t="shared" si="19"/>
        <v>48395</v>
      </c>
      <c r="C241" s="21">
        <f>IFERROR(HLOOKUP("Exp_Premium",CF_Gen_3[#All],MATCH($B241,CF_Gen_3[[#All],[Incurred]],0),0),0)</f>
        <v>-236192414.63576102</v>
      </c>
      <c r="D241" s="22">
        <f>IF(AND($J241&lt;YEAR($A241),$B241&lt;=$A241),IFERROR(HLOOKUP("Actual_Premium",CF_Gen_3[#All],MATCH($B241,CF_Gen_3[[#All],[Incurred]],0),0),0),0)</f>
        <v>0</v>
      </c>
      <c r="E241" s="21">
        <f>-IFERROR(HLOOKUP("Exp_Claim",CF_Gen_3[#All],MATCH($B241,CF_Gen_3[[#All],[Incurred]],0),0),0)-IFERROR(HLOOKUP("Exp_NPR",CF_Gen_3[#All],MATCH($B241,CF_Gen_3[[#All],[Incurred]],0),0),0)</f>
        <v>75327011.354748517</v>
      </c>
      <c r="F241" s="21">
        <f>-IFERROR(HLOOKUP("Exp_RA",CF_Gen_3[#All],MATCH($B241,CF_Gen_3[[#All],[Incurred]],0),0),0)</f>
        <v>10545781.589664793</v>
      </c>
      <c r="G241" s="21">
        <f>-IFERROR(HLOOKUP("Exp_Expense",CF_Gen_3[#All],MATCH($B241,CF_Gen_3[[#All],[Incurred]],0),0),0)</f>
        <v>16760260.026431544</v>
      </c>
      <c r="H241" s="21">
        <f>-IFERROR(HLOOKUP("Exp_Commission",CF_Gen_3[#All],MATCH($B241,CF_Gen_3[[#All],[Incurred]],0),0),0)-IFERROR(HLOOKUP("Exp_Acquisition",CF_Gen_3[#All],MATCH($B241,CF_Gen_3[[#All],[Incurred]],0),0),0)</f>
        <v>-34138943.522439227</v>
      </c>
      <c r="I241" s="22">
        <f>IF(AND($J241&lt;YEAR($A241),$B241&lt;=$A241),-IFERROR(HLOOKUP("Actual_Commission",CF_Gen_3[#All],MATCH($B241,CF_Gen_3[[#All],[Incurred]],0),0),0)-IFERROR(HLOOKUP("Actual_Acquisition",CF_Gen_3[#All],MATCH($B241,CF_Gen_3[[#All],[Incurred]],0),0),0),0)</f>
        <v>0</v>
      </c>
      <c r="J241" s="27">
        <f>VLOOKUP(L241,ICG[#All],2,0)</f>
        <v>2025</v>
      </c>
      <c r="K241" s="27" t="str">
        <f>VLOOKUP(L241,ICG[#All],3,0)</f>
        <v>IC-Property</v>
      </c>
      <c r="L241" s="27" t="str">
        <f t="shared" si="20"/>
        <v>#2025#IC-Property</v>
      </c>
    </row>
    <row r="242" spans="1:12">
      <c r="A242" s="26">
        <f t="shared" si="18"/>
        <v>45930</v>
      </c>
      <c r="B242" s="26">
        <f t="shared" si="19"/>
        <v>48487</v>
      </c>
      <c r="C242" s="21">
        <f>IFERROR(HLOOKUP("Exp_Premium",CF_Gen_3[#All],MATCH($B242,CF_Gen_3[[#All],[Incurred]],0),0),0)</f>
        <v>-213067832.1177173</v>
      </c>
      <c r="D242" s="22">
        <f>IF(AND($J242&lt;YEAR($A242),$B242&lt;=$A242),IFERROR(HLOOKUP("Actual_Premium",CF_Gen_3[#All],MATCH($B242,CF_Gen_3[[#All],[Incurred]],0),0),0),0)</f>
        <v>0</v>
      </c>
      <c r="E242" s="21">
        <f>-IFERROR(HLOOKUP("Exp_Claim",CF_Gen_3[#All],MATCH($B242,CF_Gen_3[[#All],[Incurred]],0),0),0)-IFERROR(HLOOKUP("Exp_NPR",CF_Gen_3[#All],MATCH($B242,CF_Gen_3[[#All],[Incurred]],0),0),0)</f>
        <v>68624444.630121917</v>
      </c>
      <c r="F242" s="21">
        <f>-IFERROR(HLOOKUP("Exp_RA",CF_Gen_3[#All],MATCH($B242,CF_Gen_3[[#All],[Incurred]],0),0),0)</f>
        <v>9607422.2482170686</v>
      </c>
      <c r="G242" s="21">
        <f>-IFERROR(HLOOKUP("Exp_Expense",CF_Gen_3[#All],MATCH($B242,CF_Gen_3[[#All],[Incurred]],0),0),0)</f>
        <v>15268938.930202127</v>
      </c>
      <c r="H242" s="21">
        <f>-IFERROR(HLOOKUP("Exp_Commission",CF_Gen_3[#All],MATCH($B242,CF_Gen_3[[#All],[Incurred]],0),0),0)-IFERROR(HLOOKUP("Exp_Acquisition",CF_Gen_3[#All],MATCH($B242,CF_Gen_3[[#All],[Incurred]],0),0),0)</f>
        <v>-30796546.528950199</v>
      </c>
      <c r="I242" s="22">
        <f>IF(AND($J242&lt;YEAR($A242),$B242&lt;=$A242),-IFERROR(HLOOKUP("Actual_Commission",CF_Gen_3[#All],MATCH($B242,CF_Gen_3[[#All],[Incurred]],0),0),0)-IFERROR(HLOOKUP("Actual_Acquisition",CF_Gen_3[#All],MATCH($B242,CF_Gen_3[[#All],[Incurred]],0),0),0),0)</f>
        <v>0</v>
      </c>
      <c r="J242" s="27">
        <f>VLOOKUP(L242,ICG[#All],2,0)</f>
        <v>2025</v>
      </c>
      <c r="K242" s="27" t="str">
        <f>VLOOKUP(L242,ICG[#All],3,0)</f>
        <v>IC-Property</v>
      </c>
      <c r="L242" s="27" t="str">
        <f t="shared" si="20"/>
        <v>#2025#IC-Property</v>
      </c>
    </row>
    <row r="243" spans="1:12">
      <c r="A243" s="26">
        <f t="shared" si="18"/>
        <v>45930</v>
      </c>
      <c r="B243" s="26">
        <f t="shared" si="19"/>
        <v>48579</v>
      </c>
      <c r="C243" s="21">
        <f>IFERROR(HLOOKUP("Exp_Premium",CF_Gen_3[#All],MATCH($B243,CF_Gen_3[[#All],[Incurred]],0),0),0)</f>
        <v>-192148444.96434137</v>
      </c>
      <c r="D243" s="22">
        <f>IF(AND($J243&lt;YEAR($A243),$B243&lt;=$A243),IFERROR(HLOOKUP("Actual_Premium",CF_Gen_3[#All],MATCH($B243,CF_Gen_3[[#All],[Incurred]],0),0),0),0)</f>
        <v>0</v>
      </c>
      <c r="E243" s="21">
        <f>-IFERROR(HLOOKUP("Exp_Claim",CF_Gen_3[#All],MATCH($B243,CF_Gen_3[[#All],[Incurred]],0),0),0)-IFERROR(HLOOKUP("Exp_NPR",CF_Gen_3[#All],MATCH($B243,CF_Gen_3[[#All],[Incurred]],0),0),0)</f>
        <v>63820733.506013364</v>
      </c>
      <c r="F243" s="21">
        <f>-IFERROR(HLOOKUP("Exp_RA",CF_Gen_3[#All],MATCH($B243,CF_Gen_3[[#All],[Incurred]],0),0),0)</f>
        <v>8934902.6908418722</v>
      </c>
      <c r="G243" s="21">
        <f>-IFERROR(HLOOKUP("Exp_Expense",CF_Gen_3[#All],MATCH($B243,CF_Gen_3[[#All],[Incurred]],0),0),0)</f>
        <v>14200113.205087971</v>
      </c>
      <c r="H243" s="21">
        <f>-IFERROR(HLOOKUP("Exp_Commission",CF_Gen_3[#All],MATCH($B243,CF_Gen_3[[#All],[Incurred]],0),0),0)-IFERROR(HLOOKUP("Exp_Acquisition",CF_Gen_3[#All],MATCH($B243,CF_Gen_3[[#All],[Incurred]],0),0),0)</f>
        <v>-27772885.597016905</v>
      </c>
      <c r="I243" s="22">
        <f>IF(AND($J243&lt;YEAR($A243),$B243&lt;=$A243),-IFERROR(HLOOKUP("Actual_Commission",CF_Gen_3[#All],MATCH($B243,CF_Gen_3[[#All],[Incurred]],0),0),0)-IFERROR(HLOOKUP("Actual_Acquisition",CF_Gen_3[#All],MATCH($B243,CF_Gen_3[[#All],[Incurred]],0),0),0),0)</f>
        <v>0</v>
      </c>
      <c r="J243" s="27">
        <f>VLOOKUP(L243,ICG[#All],2,0)</f>
        <v>2025</v>
      </c>
      <c r="K243" s="27" t="str">
        <f>VLOOKUP(L243,ICG[#All],3,0)</f>
        <v>IC-Property</v>
      </c>
      <c r="L243" s="27" t="str">
        <f t="shared" si="20"/>
        <v>#2025#IC-Property</v>
      </c>
    </row>
    <row r="244" spans="1:12">
      <c r="A244" s="26">
        <f t="shared" ref="A244:A275" si="21">ValuationDate</f>
        <v>45930</v>
      </c>
      <c r="B244" s="26">
        <f t="shared" si="19"/>
        <v>48669</v>
      </c>
      <c r="C244" s="21">
        <f>IFERROR(HLOOKUP("Exp_Premium",CF_Gen_3[#All],MATCH($B244,CF_Gen_3[[#All],[Incurred]],0),0),0)</f>
        <v>-173113739.63506132</v>
      </c>
      <c r="D244" s="22">
        <f>IF(AND($J244&lt;YEAR($A244),$B244&lt;=$A244),IFERROR(HLOOKUP("Actual_Premium",CF_Gen_3[#All],MATCH($B244,CF_Gen_3[[#All],[Incurred]],0),0),0),0)</f>
        <v>0</v>
      </c>
      <c r="E244" s="21">
        <f>-IFERROR(HLOOKUP("Exp_Claim",CF_Gen_3[#All],MATCH($B244,CF_Gen_3[[#All],[Incurred]],0),0),0)-IFERROR(HLOOKUP("Exp_NPR",CF_Gen_3[#All],MATCH($B244,CF_Gen_3[[#All],[Incurred]],0),0),0)</f>
        <v>58116755.448913425</v>
      </c>
      <c r="F244" s="21">
        <f>-IFERROR(HLOOKUP("Exp_RA",CF_Gen_3[#All],MATCH($B244,CF_Gen_3[[#All],[Incurred]],0),0),0)</f>
        <v>8136345.7628478799</v>
      </c>
      <c r="G244" s="21">
        <f>-IFERROR(HLOOKUP("Exp_Expense",CF_Gen_3[#All],MATCH($B244,CF_Gen_3[[#All],[Incurred]],0),0),0)</f>
        <v>12930978.087383237</v>
      </c>
      <c r="H244" s="21">
        <f>-IFERROR(HLOOKUP("Exp_Commission",CF_Gen_3[#All],MATCH($B244,CF_Gen_3[[#All],[Incurred]],0),0),0)-IFERROR(HLOOKUP("Exp_Acquisition",CF_Gen_3[#All],MATCH($B244,CF_Gen_3[[#All],[Incurred]],0),0),0)</f>
        <v>-25021634.117562417</v>
      </c>
      <c r="I244" s="22">
        <f>IF(AND($J244&lt;YEAR($A244),$B244&lt;=$A244),-IFERROR(HLOOKUP("Actual_Commission",CF_Gen_3[#All],MATCH($B244,CF_Gen_3[[#All],[Incurred]],0),0),0)-IFERROR(HLOOKUP("Actual_Acquisition",CF_Gen_3[#All],MATCH($B244,CF_Gen_3[[#All],[Incurred]],0),0),0),0)</f>
        <v>0</v>
      </c>
      <c r="J244" s="27">
        <f>VLOOKUP(L244,ICG[#All],2,0)</f>
        <v>2025</v>
      </c>
      <c r="K244" s="27" t="str">
        <f>VLOOKUP(L244,ICG[#All],3,0)</f>
        <v>IC-Property</v>
      </c>
      <c r="L244" s="27" t="str">
        <f t="shared" si="20"/>
        <v>#2025#IC-Property</v>
      </c>
    </row>
    <row r="245" spans="1:12">
      <c r="A245" s="26">
        <f t="shared" si="21"/>
        <v>45930</v>
      </c>
      <c r="B245" s="26">
        <f t="shared" si="19"/>
        <v>48760</v>
      </c>
      <c r="C245" s="21">
        <f>IFERROR(HLOOKUP("Exp_Premium",CF_Gen_3[#All],MATCH($B245,CF_Gen_3[[#All],[Incurred]],0),0),0)</f>
        <v>-155910561.75882709</v>
      </c>
      <c r="D245" s="22">
        <f>IF(AND($J245&lt;YEAR($A245),$B245&lt;=$A245),IFERROR(HLOOKUP("Actual_Premium",CF_Gen_3[#All],MATCH($B245,CF_Gen_3[[#All],[Incurred]],0),0),0),0)</f>
        <v>0</v>
      </c>
      <c r="E245" s="21">
        <f>-IFERROR(HLOOKUP("Exp_Claim",CF_Gen_3[#All],MATCH($B245,CF_Gen_3[[#All],[Incurred]],0),0),0)-IFERROR(HLOOKUP("Exp_NPR",CF_Gen_3[#All],MATCH($B245,CF_Gen_3[[#All],[Incurred]],0),0),0)</f>
        <v>52898612.725628003</v>
      </c>
      <c r="F245" s="21">
        <f>-IFERROR(HLOOKUP("Exp_RA",CF_Gen_3[#All],MATCH($B245,CF_Gen_3[[#All],[Incurred]],0),0),0)</f>
        <v>7405805.7815879211</v>
      </c>
      <c r="G245" s="21">
        <f>-IFERROR(HLOOKUP("Exp_Expense",CF_Gen_3[#All],MATCH($B245,CF_Gen_3[[#All],[Incurred]],0),0),0)</f>
        <v>11769941.331452232</v>
      </c>
      <c r="H245" s="21">
        <f>-IFERROR(HLOOKUP("Exp_Commission",CF_Gen_3[#All],MATCH($B245,CF_Gen_3[[#All],[Incurred]],0),0),0)-IFERROR(HLOOKUP("Exp_Acquisition",CF_Gen_3[#All],MATCH($B245,CF_Gen_3[[#All],[Incurred]],0),0),0)</f>
        <v>-22535109.227129649</v>
      </c>
      <c r="I245" s="22">
        <f>IF(AND($J245&lt;YEAR($A245),$B245&lt;=$A245),-IFERROR(HLOOKUP("Actual_Commission",CF_Gen_3[#All],MATCH($B245,CF_Gen_3[[#All],[Incurred]],0),0),0)-IFERROR(HLOOKUP("Actual_Acquisition",CF_Gen_3[#All],MATCH($B245,CF_Gen_3[[#All],[Incurred]],0),0),0),0)</f>
        <v>0</v>
      </c>
      <c r="J245" s="27">
        <f>VLOOKUP(L245,ICG[#All],2,0)</f>
        <v>2025</v>
      </c>
      <c r="K245" s="27" t="str">
        <f>VLOOKUP(L245,ICG[#All],3,0)</f>
        <v>IC-Property</v>
      </c>
      <c r="L245" s="27" t="str">
        <f t="shared" si="20"/>
        <v>#2025#IC-Property</v>
      </c>
    </row>
    <row r="246" spans="1:12">
      <c r="A246" s="26">
        <f t="shared" si="21"/>
        <v>45930</v>
      </c>
      <c r="B246" s="26">
        <f t="shared" si="19"/>
        <v>48852</v>
      </c>
      <c r="C246" s="21">
        <f>IFERROR(HLOOKUP("Exp_Premium",CF_Gen_3[#All],MATCH($B246,CF_Gen_3[[#All],[Incurred]],0),0),0)</f>
        <v>-140368193.82221675</v>
      </c>
      <c r="D246" s="22">
        <f>IF(AND($J246&lt;YEAR($A246),$B246&lt;=$A246),IFERROR(HLOOKUP("Actual_Premium",CF_Gen_3[#All],MATCH($B246,CF_Gen_3[[#All],[Incurred]],0),0),0),0)</f>
        <v>0</v>
      </c>
      <c r="E246" s="21">
        <f>-IFERROR(HLOOKUP("Exp_Claim",CF_Gen_3[#All],MATCH($B246,CF_Gen_3[[#All],[Incurred]],0),0),0)-IFERROR(HLOOKUP("Exp_NPR",CF_Gen_3[#All],MATCH($B246,CF_Gen_3[[#All],[Incurred]],0),0),0)</f>
        <v>48126237.881902874</v>
      </c>
      <c r="F246" s="21">
        <f>-IFERROR(HLOOKUP("Exp_RA",CF_Gen_3[#All],MATCH($B246,CF_Gen_3[[#All],[Incurred]],0),0),0)</f>
        <v>6737673.3034664029</v>
      </c>
      <c r="G246" s="21">
        <f>-IFERROR(HLOOKUP("Exp_Expense",CF_Gen_3[#All],MATCH($B246,CF_Gen_3[[#All],[Incurred]],0),0),0)</f>
        <v>10708087.928723387</v>
      </c>
      <c r="H246" s="21">
        <f>-IFERROR(HLOOKUP("Exp_Commission",CF_Gen_3[#All],MATCH($B246,CF_Gen_3[[#All],[Incurred]],0),0),0)-IFERROR(HLOOKUP("Exp_Acquisition",CF_Gen_3[#All],MATCH($B246,CF_Gen_3[[#All],[Incurred]],0),0),0)</f>
        <v>-20288635.639012247</v>
      </c>
      <c r="I246" s="22">
        <f>IF(AND($J246&lt;YEAR($A246),$B246&lt;=$A246),-IFERROR(HLOOKUP("Actual_Commission",CF_Gen_3[#All],MATCH($B246,CF_Gen_3[[#All],[Incurred]],0),0),0)-IFERROR(HLOOKUP("Actual_Acquisition",CF_Gen_3[#All],MATCH($B246,CF_Gen_3[[#All],[Incurred]],0),0),0),0)</f>
        <v>0</v>
      </c>
      <c r="J246" s="27">
        <f>VLOOKUP(L246,ICG[#All],2,0)</f>
        <v>2025</v>
      </c>
      <c r="K246" s="27" t="str">
        <f>VLOOKUP(L246,ICG[#All],3,0)</f>
        <v>IC-Property</v>
      </c>
      <c r="L246" s="27" t="str">
        <f t="shared" si="20"/>
        <v>#2025#IC-Property</v>
      </c>
    </row>
    <row r="247" spans="1:12">
      <c r="A247" s="26">
        <f t="shared" si="21"/>
        <v>45930</v>
      </c>
      <c r="B247" s="26">
        <f t="shared" si="19"/>
        <v>48944</v>
      </c>
      <c r="C247" s="21">
        <f>IFERROR(HLOOKUP("Exp_Premium",CF_Gen_3[#All],MATCH($B247,CF_Gen_3[[#All],[Incurred]],0),0),0)</f>
        <v>-126331374.43999508</v>
      </c>
      <c r="D247" s="22">
        <f>IF(AND($J247&lt;YEAR($A247),$B247&lt;=$A247),IFERROR(HLOOKUP("Actual_Premium",CF_Gen_3[#All],MATCH($B247,CF_Gen_3[[#All],[Incurred]],0),0),0),0)</f>
        <v>0</v>
      </c>
      <c r="E247" s="21">
        <f>-IFERROR(HLOOKUP("Exp_Claim",CF_Gen_3[#All],MATCH($B247,CF_Gen_3[[#All],[Incurred]],0),0),0)-IFERROR(HLOOKUP("Exp_NPR",CF_Gen_3[#All],MATCH($B247,CF_Gen_3[[#All],[Incurred]],0),0),0)</f>
        <v>44757401.230169669</v>
      </c>
      <c r="F247" s="21">
        <f>-IFERROR(HLOOKUP("Exp_RA",CF_Gen_3[#All],MATCH($B247,CF_Gen_3[[#All],[Incurred]],0),0),0)</f>
        <v>6266036.1722237542</v>
      </c>
      <c r="G247" s="21">
        <f>-IFERROR(HLOOKUP("Exp_Expense",CF_Gen_3[#All],MATCH($B247,CF_Gen_3[[#All],[Incurred]],0),0),0)</f>
        <v>9958521.7737127505</v>
      </c>
      <c r="H247" s="21">
        <f>-IFERROR(HLOOKUP("Exp_Commission",CF_Gen_3[#All],MATCH($B247,CF_Gen_3[[#All],[Incurred]],0),0),0)-IFERROR(HLOOKUP("Exp_Acquisition",CF_Gen_3[#All],MATCH($B247,CF_Gen_3[[#All],[Incurred]],0),0),0)</f>
        <v>-18259772.075111024</v>
      </c>
      <c r="I247" s="22">
        <f>IF(AND($J247&lt;YEAR($A247),$B247&lt;=$A247),-IFERROR(HLOOKUP("Actual_Commission",CF_Gen_3[#All],MATCH($B247,CF_Gen_3[[#All],[Incurred]],0),0),0)-IFERROR(HLOOKUP("Actual_Acquisition",CF_Gen_3[#All],MATCH($B247,CF_Gen_3[[#All],[Incurred]],0),0),0),0)</f>
        <v>0</v>
      </c>
      <c r="J247" s="27">
        <f>VLOOKUP(L247,ICG[#All],2,0)</f>
        <v>2025</v>
      </c>
      <c r="K247" s="27" t="str">
        <f>VLOOKUP(L247,ICG[#All],3,0)</f>
        <v>IC-Property</v>
      </c>
      <c r="L247" s="27" t="str">
        <f t="shared" si="20"/>
        <v>#2025#IC-Property</v>
      </c>
    </row>
    <row r="248" spans="1:12">
      <c r="A248" s="26">
        <f t="shared" si="21"/>
        <v>45930</v>
      </c>
      <c r="B248" s="26">
        <f t="shared" si="19"/>
        <v>49034</v>
      </c>
      <c r="C248" s="21">
        <f>IFERROR(HLOOKUP("Exp_Premium",CF_Gen_3[#All],MATCH($B248,CF_Gen_3[[#All],[Incurred]],0),0),0)</f>
        <v>-113571905.62155557</v>
      </c>
      <c r="D248" s="22">
        <f>IF(AND($J248&lt;YEAR($A248),$B248&lt;=$A248),IFERROR(HLOOKUP("Actual_Premium",CF_Gen_3[#All],MATCH($B248,CF_Gen_3[[#All],[Incurred]],0),0),0),0)</f>
        <v>0</v>
      </c>
      <c r="E248" s="21">
        <f>-IFERROR(HLOOKUP("Exp_Claim",CF_Gen_3[#All],MATCH($B248,CF_Gen_3[[#All],[Incurred]],0),0),0)-IFERROR(HLOOKUP("Exp_NPR",CF_Gen_3[#All],MATCH($B248,CF_Gen_3[[#All],[Incurred]],0),0),0)</f>
        <v>40699396.85196761</v>
      </c>
      <c r="F248" s="21">
        <f>-IFERROR(HLOOKUP("Exp_RA",CF_Gen_3[#All],MATCH($B248,CF_Gen_3[[#All],[Incurred]],0),0),0)</f>
        <v>5697915.559275466</v>
      </c>
      <c r="G248" s="21">
        <f>-IFERROR(HLOOKUP("Exp_Expense",CF_Gen_3[#All],MATCH($B248,CF_Gen_3[[#All],[Incurred]],0),0),0)</f>
        <v>9055615.7995627932</v>
      </c>
      <c r="H248" s="21">
        <f>-IFERROR(HLOOKUP("Exp_Commission",CF_Gen_3[#All],MATCH($B248,CF_Gen_3[[#All],[Incurred]],0),0),0)-IFERROR(HLOOKUP("Exp_Acquisition",CF_Gen_3[#All],MATCH($B248,CF_Gen_3[[#All],[Incurred]],0),0),0)</f>
        <v>-16415535.095524808</v>
      </c>
      <c r="I248" s="22">
        <f>IF(AND($J248&lt;YEAR($A248),$B248&lt;=$A248),-IFERROR(HLOOKUP("Actual_Commission",CF_Gen_3[#All],MATCH($B248,CF_Gen_3[[#All],[Incurred]],0),0),0)-IFERROR(HLOOKUP("Actual_Acquisition",CF_Gen_3[#All],MATCH($B248,CF_Gen_3[[#All],[Incurred]],0),0),0),0)</f>
        <v>0</v>
      </c>
      <c r="J248" s="27">
        <f>VLOOKUP(L248,ICG[#All],2,0)</f>
        <v>2025</v>
      </c>
      <c r="K248" s="27" t="str">
        <f>VLOOKUP(L248,ICG[#All],3,0)</f>
        <v>IC-Property</v>
      </c>
      <c r="L248" s="27" t="str">
        <f t="shared" si="20"/>
        <v>#2025#IC-Property</v>
      </c>
    </row>
    <row r="249" spans="1:12">
      <c r="A249" s="26">
        <f t="shared" si="21"/>
        <v>45930</v>
      </c>
      <c r="B249" s="26">
        <f t="shared" si="19"/>
        <v>49125</v>
      </c>
      <c r="C249" s="21">
        <f>IFERROR(HLOOKUP("Exp_Premium",CF_Gen_3[#All],MATCH($B249,CF_Gen_3[[#All],[Incurred]],0),0),0)</f>
        <v>-102060675.00349951</v>
      </c>
      <c r="D249" s="22">
        <f>IF(AND($J249&lt;YEAR($A249),$B249&lt;=$A249),IFERROR(HLOOKUP("Actual_Premium",CF_Gen_3[#All],MATCH($B249,CF_Gen_3[[#All],[Incurred]],0),0),0),0)</f>
        <v>0</v>
      </c>
      <c r="E249" s="21">
        <f>-IFERROR(HLOOKUP("Exp_Claim",CF_Gen_3[#All],MATCH($B249,CF_Gen_3[[#All],[Incurred]],0),0),0)-IFERROR(HLOOKUP("Exp_NPR",CF_Gen_3[#All],MATCH($B249,CF_Gen_3[[#All],[Incurred]],0),0),0)</f>
        <v>36990201.820686013</v>
      </c>
      <c r="F249" s="21">
        <f>-IFERROR(HLOOKUP("Exp_RA",CF_Gen_3[#All],MATCH($B249,CF_Gen_3[[#All],[Incurred]],0),0),0)</f>
        <v>5178628.2548960419</v>
      </c>
      <c r="G249" s="21">
        <f>-IFERROR(HLOOKUP("Exp_Expense",CF_Gen_3[#All],MATCH($B249,CF_Gen_3[[#All],[Incurred]],0),0),0)</f>
        <v>8230319.9051026376</v>
      </c>
      <c r="H249" s="21">
        <f>-IFERROR(HLOOKUP("Exp_Commission",CF_Gen_3[#All],MATCH($B249,CF_Gen_3[[#All],[Incurred]],0),0),0)-IFERROR(HLOOKUP("Exp_Acquisition",CF_Gen_3[#All],MATCH($B249,CF_Gen_3[[#All],[Incurred]],0),0),0)</f>
        <v>-14751716.837222077</v>
      </c>
      <c r="I249" s="22">
        <f>IF(AND($J249&lt;YEAR($A249),$B249&lt;=$A249),-IFERROR(HLOOKUP("Actual_Commission",CF_Gen_3[#All],MATCH($B249,CF_Gen_3[[#All],[Incurred]],0),0),0)-IFERROR(HLOOKUP("Actual_Acquisition",CF_Gen_3[#All],MATCH($B249,CF_Gen_3[[#All],[Incurred]],0),0),0),0)</f>
        <v>0</v>
      </c>
      <c r="J249" s="27">
        <f>VLOOKUP(L249,ICG[#All],2,0)</f>
        <v>2025</v>
      </c>
      <c r="K249" s="27" t="str">
        <f>VLOOKUP(L249,ICG[#All],3,0)</f>
        <v>IC-Property</v>
      </c>
      <c r="L249" s="27" t="str">
        <f t="shared" si="20"/>
        <v>#2025#IC-Property</v>
      </c>
    </row>
    <row r="250" spans="1:12">
      <c r="A250" s="26">
        <f t="shared" si="21"/>
        <v>45930</v>
      </c>
      <c r="B250" s="26">
        <f t="shared" si="19"/>
        <v>49217</v>
      </c>
      <c r="C250" s="21">
        <f>IFERROR(HLOOKUP("Exp_Premium",CF_Gen_3[#All],MATCH($B250,CF_Gen_3[[#All],[Incurred]],0),0),0)</f>
        <v>-91679785.093944505</v>
      </c>
      <c r="D250" s="22">
        <f>IF(AND($J250&lt;YEAR($A250),$B250&lt;=$A250),IFERROR(HLOOKUP("Actual_Premium",CF_Gen_3[#All],MATCH($B250,CF_Gen_3[[#All],[Incurred]],0),0),0),0)</f>
        <v>0</v>
      </c>
      <c r="E250" s="21">
        <f>-IFERROR(HLOOKUP("Exp_Claim",CF_Gen_3[#All],MATCH($B250,CF_Gen_3[[#All],[Incurred]],0),0),0)-IFERROR(HLOOKUP("Exp_NPR",CF_Gen_3[#All],MATCH($B250,CF_Gen_3[[#All],[Incurred]],0),0),0)</f>
        <v>33600867.0492092</v>
      </c>
      <c r="F250" s="21">
        <f>-IFERROR(HLOOKUP("Exp_RA",CF_Gen_3[#All],MATCH($B250,CF_Gen_3[[#All],[Incurred]],0),0),0)</f>
        <v>4704121.3868892882</v>
      </c>
      <c r="G250" s="21">
        <f>-IFERROR(HLOOKUP("Exp_Expense",CF_Gen_3[#All],MATCH($B250,CF_Gen_3[[#All],[Incurred]],0),0),0)</f>
        <v>7476192.918449047</v>
      </c>
      <c r="H250" s="21">
        <f>-IFERROR(HLOOKUP("Exp_Commission",CF_Gen_3[#All],MATCH($B250,CF_Gen_3[[#All],[Incurred]],0),0),0)-IFERROR(HLOOKUP("Exp_Acquisition",CF_Gen_3[#All],MATCH($B250,CF_Gen_3[[#All],[Incurred]],0),0),0)</f>
        <v>-13251276.550511448</v>
      </c>
      <c r="I250" s="22">
        <f>IF(AND($J250&lt;YEAR($A250),$B250&lt;=$A250),-IFERROR(HLOOKUP("Actual_Commission",CF_Gen_3[#All],MATCH($B250,CF_Gen_3[[#All],[Incurred]],0),0),0)-IFERROR(HLOOKUP("Actual_Acquisition",CF_Gen_3[#All],MATCH($B250,CF_Gen_3[[#All],[Incurred]],0),0),0),0)</f>
        <v>0</v>
      </c>
      <c r="J250" s="27">
        <f>VLOOKUP(L250,ICG[#All],2,0)</f>
        <v>2025</v>
      </c>
      <c r="K250" s="27" t="str">
        <f>VLOOKUP(L250,ICG[#All],3,0)</f>
        <v>IC-Property</v>
      </c>
      <c r="L250" s="27" t="str">
        <f t="shared" si="20"/>
        <v>#2025#IC-Property</v>
      </c>
    </row>
    <row r="251" spans="1:12">
      <c r="A251" s="26">
        <f t="shared" si="21"/>
        <v>45930</v>
      </c>
      <c r="B251" s="26">
        <f t="shared" si="19"/>
        <v>49309</v>
      </c>
      <c r="C251" s="21">
        <f>IFERROR(HLOOKUP("Exp_Premium",CF_Gen_3[#All],MATCH($B251,CF_Gen_3[[#All],[Incurred]],0),0),0)</f>
        <v>-82322124.270562589</v>
      </c>
      <c r="D251" s="22">
        <f>IF(AND($J251&lt;YEAR($A251),$B251&lt;=$A251),IFERROR(HLOOKUP("Actual_Premium",CF_Gen_3[#All],MATCH($B251,CF_Gen_3[[#All],[Incurred]],0),0),0),0)</f>
        <v>0</v>
      </c>
      <c r="E251" s="21">
        <f>-IFERROR(HLOOKUP("Exp_Claim",CF_Gen_3[#All],MATCH($B251,CF_Gen_3[[#All],[Incurred]],0),0),0)-IFERROR(HLOOKUP("Exp_NPR",CF_Gen_3[#All],MATCH($B251,CF_Gen_3[[#All],[Incurred]],0),0),0)</f>
        <v>31248806.355764557</v>
      </c>
      <c r="F251" s="21">
        <f>-IFERROR(HLOOKUP("Exp_RA",CF_Gen_3[#All],MATCH($B251,CF_Gen_3[[#All],[Incurred]],0),0),0)</f>
        <v>4374832.889807038</v>
      </c>
      <c r="G251" s="21">
        <f>-IFERROR(HLOOKUP("Exp_Expense",CF_Gen_3[#All],MATCH($B251,CF_Gen_3[[#All],[Incurred]],0),0),0)</f>
        <v>6952859.4141576141</v>
      </c>
      <c r="H251" s="21">
        <f>-IFERROR(HLOOKUP("Exp_Commission",CF_Gen_3[#All],MATCH($B251,CF_Gen_3[[#All],[Incurred]],0),0),0)-IFERROR(HLOOKUP("Exp_Acquisition",CF_Gen_3[#All],MATCH($B251,CF_Gen_3[[#All],[Incurred]],0),0),0)</f>
        <v>-11898732.46121786</v>
      </c>
      <c r="I251" s="22">
        <f>IF(AND($J251&lt;YEAR($A251),$B251&lt;=$A251),-IFERROR(HLOOKUP("Actual_Commission",CF_Gen_3[#All],MATCH($B251,CF_Gen_3[[#All],[Incurred]],0),0),0)-IFERROR(HLOOKUP("Actual_Acquisition",CF_Gen_3[#All],MATCH($B251,CF_Gen_3[[#All],[Incurred]],0),0),0),0)</f>
        <v>0</v>
      </c>
      <c r="J251" s="27">
        <f>VLOOKUP(L251,ICG[#All],2,0)</f>
        <v>2025</v>
      </c>
      <c r="K251" s="27" t="str">
        <f>VLOOKUP(L251,ICG[#All],3,0)</f>
        <v>IC-Property</v>
      </c>
      <c r="L251" s="27" t="str">
        <f t="shared" si="20"/>
        <v>#2025#IC-Property</v>
      </c>
    </row>
    <row r="252" spans="1:12">
      <c r="A252" s="26">
        <f t="shared" si="21"/>
        <v>45930</v>
      </c>
      <c r="B252" s="26">
        <f t="shared" si="19"/>
        <v>49399</v>
      </c>
      <c r="C252" s="21">
        <f>IFERROR(HLOOKUP("Exp_Premium",CF_Gen_3[#All],MATCH($B252,CF_Gen_3[[#All],[Incurred]],0),0),0)</f>
        <v>-73825305.01549378</v>
      </c>
      <c r="D252" s="22">
        <f>IF(AND($J252&lt;YEAR($A252),$B252&lt;=$A252),IFERROR(HLOOKUP("Actual_Premium",CF_Gen_3[#All],MATCH($B252,CF_Gen_3[[#All],[Incurred]],0),0),0),0)</f>
        <v>0</v>
      </c>
      <c r="E252" s="21">
        <f>-IFERROR(HLOOKUP("Exp_Claim",CF_Gen_3[#All],MATCH($B252,CF_Gen_3[[#All],[Incurred]],0),0),0)-IFERROR(HLOOKUP("Exp_NPR",CF_Gen_3[#All],MATCH($B252,CF_Gen_3[[#All],[Incurred]],0),0),0)</f>
        <v>28369452.055840537</v>
      </c>
      <c r="F252" s="21">
        <f>-IFERROR(HLOOKUP("Exp_RA",CF_Gen_3[#All],MATCH($B252,CF_Gen_3[[#All],[Incurred]],0),0),0)</f>
        <v>3971723.2878176756</v>
      </c>
      <c r="G252" s="21">
        <f>-IFERROR(HLOOKUP("Exp_Expense",CF_Gen_3[#All],MATCH($B252,CF_Gen_3[[#All],[Incurred]],0),0),0)</f>
        <v>6312203.0824245196</v>
      </c>
      <c r="H252" s="21">
        <f>-IFERROR(HLOOKUP("Exp_Commission",CF_Gen_3[#All],MATCH($B252,CF_Gen_3[[#All],[Incurred]],0),0),0)-IFERROR(HLOOKUP("Exp_Acquisition",CF_Gen_3[#All],MATCH($B252,CF_Gen_3[[#All],[Incurred]],0),0),0)</f>
        <v>-10670613.289327875</v>
      </c>
      <c r="I252" s="22">
        <f>IF(AND($J252&lt;YEAR($A252),$B252&lt;=$A252),-IFERROR(HLOOKUP("Actual_Commission",CF_Gen_3[#All],MATCH($B252,CF_Gen_3[[#All],[Incurred]],0),0),0)-IFERROR(HLOOKUP("Actual_Acquisition",CF_Gen_3[#All],MATCH($B252,CF_Gen_3[[#All],[Incurred]],0),0),0),0)</f>
        <v>0</v>
      </c>
      <c r="J252" s="27">
        <f>VLOOKUP(L252,ICG[#All],2,0)</f>
        <v>2025</v>
      </c>
      <c r="K252" s="27" t="str">
        <f>VLOOKUP(L252,ICG[#All],3,0)</f>
        <v>IC-Property</v>
      </c>
      <c r="L252" s="27" t="str">
        <f t="shared" si="20"/>
        <v>#2025#IC-Property</v>
      </c>
    </row>
    <row r="253" spans="1:12">
      <c r="A253" s="26">
        <f t="shared" si="21"/>
        <v>45930</v>
      </c>
      <c r="B253" s="26">
        <f t="shared" si="19"/>
        <v>49490</v>
      </c>
      <c r="C253" s="21">
        <f>IFERROR(HLOOKUP("Exp_Premium",CF_Gen_3[#All],MATCH($B253,CF_Gen_3[[#All],[Incurred]],0),0),0)</f>
        <v>-66175206.609523177</v>
      </c>
      <c r="D253" s="22">
        <f>IF(AND($J253&lt;YEAR($A253),$B253&lt;=$A253),IFERROR(HLOOKUP("Actual_Premium",CF_Gen_3[#All],MATCH($B253,CF_Gen_3[[#All],[Incurred]],0),0),0),0)</f>
        <v>0</v>
      </c>
      <c r="E253" s="21">
        <f>-IFERROR(HLOOKUP("Exp_Claim",CF_Gen_3[#All],MATCH($B253,CF_Gen_3[[#All],[Incurred]],0),0),0)-IFERROR(HLOOKUP("Exp_NPR",CF_Gen_3[#All],MATCH($B253,CF_Gen_3[[#All],[Incurred]],0),0),0)</f>
        <v>25740088.20676263</v>
      </c>
      <c r="F253" s="21">
        <f>-IFERROR(HLOOKUP("Exp_RA",CF_Gen_3[#All],MATCH($B253,CF_Gen_3[[#All],[Incurred]],0),0),0)</f>
        <v>3603612.3489467688</v>
      </c>
      <c r="G253" s="21">
        <f>-IFERROR(HLOOKUP("Exp_Expense",CF_Gen_3[#All],MATCH($B253,CF_Gen_3[[#All],[Incurred]],0),0),0)</f>
        <v>5727169.6260046847</v>
      </c>
      <c r="H253" s="21">
        <f>-IFERROR(HLOOKUP("Exp_Commission",CF_Gen_3[#All],MATCH($B253,CF_Gen_3[[#All],[Incurred]],0),0),0)-IFERROR(HLOOKUP("Exp_Acquisition",CF_Gen_3[#All],MATCH($B253,CF_Gen_3[[#All],[Incurred]],0),0),0)</f>
        <v>-9564878.0445051957</v>
      </c>
      <c r="I253" s="22">
        <f>IF(AND($J253&lt;YEAR($A253),$B253&lt;=$A253),-IFERROR(HLOOKUP("Actual_Commission",CF_Gen_3[#All],MATCH($B253,CF_Gen_3[[#All],[Incurred]],0),0),0)-IFERROR(HLOOKUP("Actual_Acquisition",CF_Gen_3[#All],MATCH($B253,CF_Gen_3[[#All],[Incurred]],0),0),0),0)</f>
        <v>0</v>
      </c>
      <c r="J253" s="27">
        <f>VLOOKUP(L253,ICG[#All],2,0)</f>
        <v>2025</v>
      </c>
      <c r="K253" s="27" t="str">
        <f>VLOOKUP(L253,ICG[#All],3,0)</f>
        <v>IC-Property</v>
      </c>
      <c r="L253" s="27" t="str">
        <f t="shared" si="20"/>
        <v>#2025#IC-Property</v>
      </c>
    </row>
    <row r="254" spans="1:12">
      <c r="A254" s="26">
        <f t="shared" si="21"/>
        <v>45930</v>
      </c>
      <c r="B254" s="26">
        <f t="shared" si="19"/>
        <v>49582</v>
      </c>
      <c r="C254" s="21">
        <f>IFERROR(HLOOKUP("Exp_Premium",CF_Gen_3[#All],MATCH($B254,CF_Gen_3[[#All],[Incurred]],0),0),0)</f>
        <v>-59290684.428764813</v>
      </c>
      <c r="D254" s="22">
        <f>IF(AND($J254&lt;YEAR($A254),$B254&lt;=$A254),IFERROR(HLOOKUP("Actual_Premium",CF_Gen_3[#All],MATCH($B254,CF_Gen_3[[#All],[Incurred]],0),0),0),0)</f>
        <v>0</v>
      </c>
      <c r="E254" s="21">
        <f>-IFERROR(HLOOKUP("Exp_Claim",CF_Gen_3[#All],MATCH($B254,CF_Gen_3[[#All],[Incurred]],0),0),0)-IFERROR(HLOOKUP("Exp_NPR",CF_Gen_3[#All],MATCH($B254,CF_Gen_3[[#All],[Incurred]],0),0),0)</f>
        <v>23339824.98148201</v>
      </c>
      <c r="F254" s="21">
        <f>-IFERROR(HLOOKUP("Exp_RA",CF_Gen_3[#All],MATCH($B254,CF_Gen_3[[#All],[Incurred]],0),0),0)</f>
        <v>3267575.4974074815</v>
      </c>
      <c r="G254" s="21">
        <f>-IFERROR(HLOOKUP("Exp_Expense",CF_Gen_3[#All],MATCH($B254,CF_Gen_3[[#All],[Incurred]],0),0),0)</f>
        <v>5193111.058379747</v>
      </c>
      <c r="H254" s="21">
        <f>-IFERROR(HLOOKUP("Exp_Commission",CF_Gen_3[#All],MATCH($B254,CF_Gen_3[[#All],[Incurred]],0),0),0)-IFERROR(HLOOKUP("Exp_Acquisition",CF_Gen_3[#All],MATCH($B254,CF_Gen_3[[#All],[Incurred]],0),0),0)</f>
        <v>-8569798.188658271</v>
      </c>
      <c r="I254" s="22">
        <f>IF(AND($J254&lt;YEAR($A254),$B254&lt;=$A254),-IFERROR(HLOOKUP("Actual_Commission",CF_Gen_3[#All],MATCH($B254,CF_Gen_3[[#All],[Incurred]],0),0),0)-IFERROR(HLOOKUP("Actual_Acquisition",CF_Gen_3[#All],MATCH($B254,CF_Gen_3[[#All],[Incurred]],0),0),0),0)</f>
        <v>0</v>
      </c>
      <c r="J254" s="27">
        <f>VLOOKUP(L254,ICG[#All],2,0)</f>
        <v>2025</v>
      </c>
      <c r="K254" s="27" t="str">
        <f>VLOOKUP(L254,ICG[#All],3,0)</f>
        <v>IC-Property</v>
      </c>
      <c r="L254" s="27" t="str">
        <f t="shared" si="20"/>
        <v>#2025#IC-Property</v>
      </c>
    </row>
    <row r="255" spans="1:12">
      <c r="A255" s="26">
        <f t="shared" si="21"/>
        <v>45930</v>
      </c>
      <c r="B255" s="26">
        <f t="shared" si="19"/>
        <v>49674</v>
      </c>
      <c r="C255" s="21">
        <f>IFERROR(HLOOKUP("Exp_Premium",CF_Gen_3[#All],MATCH($B255,CF_Gen_3[[#All],[Incurred]],0),0),0)</f>
        <v>-53098101.832871579</v>
      </c>
      <c r="D255" s="22">
        <f>IF(AND($J255&lt;YEAR($A255),$B255&lt;=$A255),IFERROR(HLOOKUP("Actual_Premium",CF_Gen_3[#All],MATCH($B255,CF_Gen_3[[#All],[Incurred]],0),0),0),0)</f>
        <v>0</v>
      </c>
      <c r="E255" s="21">
        <f>-IFERROR(HLOOKUP("Exp_Claim",CF_Gen_3[#All],MATCH($B255,CF_Gen_3[[#All],[Incurred]],0),0),0)-IFERROR(HLOOKUP("Exp_NPR",CF_Gen_3[#All],MATCH($B255,CF_Gen_3[[#All],[Incurred]],0),0),0)</f>
        <v>21706037.23277827</v>
      </c>
      <c r="F255" s="21">
        <f>-IFERROR(HLOOKUP("Exp_RA",CF_Gen_3[#All],MATCH($B255,CF_Gen_3[[#All],[Incurred]],0),0),0)</f>
        <v>3038845.212588958</v>
      </c>
      <c r="G255" s="21">
        <f>-IFERROR(HLOOKUP("Exp_Expense",CF_Gen_3[#All],MATCH($B255,CF_Gen_3[[#All],[Incurred]],0),0),0)</f>
        <v>4829593.2842931645</v>
      </c>
      <c r="H255" s="21">
        <f>-IFERROR(HLOOKUP("Exp_Commission",CF_Gen_3[#All],MATCH($B255,CF_Gen_3[[#All],[Incurred]],0),0),0)-IFERROR(HLOOKUP("Exp_Acquisition",CF_Gen_3[#All],MATCH($B255,CF_Gen_3[[#All],[Incurred]],0),0),0)</f>
        <v>-7674730.3778428519</v>
      </c>
      <c r="I255" s="22">
        <f>IF(AND($J255&lt;YEAR($A255),$B255&lt;=$A255),-IFERROR(HLOOKUP("Actual_Commission",CF_Gen_3[#All],MATCH($B255,CF_Gen_3[[#All],[Incurred]],0),0),0)-IFERROR(HLOOKUP("Actual_Acquisition",CF_Gen_3[#All],MATCH($B255,CF_Gen_3[[#All],[Incurred]],0),0),0),0)</f>
        <v>0</v>
      </c>
      <c r="J255" s="27">
        <f>VLOOKUP(L255,ICG[#All],2,0)</f>
        <v>2025</v>
      </c>
      <c r="K255" s="27" t="str">
        <f>VLOOKUP(L255,ICG[#All],3,0)</f>
        <v>IC-Property</v>
      </c>
      <c r="L255" s="27" t="str">
        <f t="shared" si="20"/>
        <v>#2025#IC-Property</v>
      </c>
    </row>
    <row r="256" spans="1:12">
      <c r="A256" s="26">
        <f t="shared" si="21"/>
        <v>45930</v>
      </c>
      <c r="B256" s="26">
        <f t="shared" si="19"/>
        <v>49765</v>
      </c>
      <c r="C256" s="21">
        <f>IFERROR(HLOOKUP("Exp_Premium",CF_Gen_3[#All],MATCH($B256,CF_Gen_3[[#All],[Incurred]],0),0),0)</f>
        <v>-47481956.446702465</v>
      </c>
      <c r="D256" s="22">
        <f>IF(AND($J256&lt;YEAR($A256),$B256&lt;=$A256),IFERROR(HLOOKUP("Actual_Premium",CF_Gen_3[#All],MATCH($B256,CF_Gen_3[[#All],[Incurred]],0),0),0),0)</f>
        <v>0</v>
      </c>
      <c r="E256" s="21">
        <f>-IFERROR(HLOOKUP("Exp_Claim",CF_Gen_3[#All],MATCH($B256,CF_Gen_3[[#All],[Incurred]],0),0),0)-IFERROR(HLOOKUP("Exp_NPR",CF_Gen_3[#All],MATCH($B256,CF_Gen_3[[#All],[Incurred]],0),0),0)</f>
        <v>19669009.12324062</v>
      </c>
      <c r="F256" s="21">
        <f>-IFERROR(HLOOKUP("Exp_RA",CF_Gen_3[#All],MATCH($B256,CF_Gen_3[[#All],[Incurred]],0),0),0)</f>
        <v>2753661.2772536869</v>
      </c>
      <c r="G256" s="21">
        <f>-IFERROR(HLOOKUP("Exp_Expense",CF_Gen_3[#All],MATCH($B256,CF_Gen_3[[#All],[Incurred]],0),0),0)</f>
        <v>4376354.5299210381</v>
      </c>
      <c r="H256" s="21">
        <f>-IFERROR(HLOOKUP("Exp_Commission",CF_Gen_3[#All],MATCH($B256,CF_Gen_3[[#All],[Incurred]],0),0),0)-IFERROR(HLOOKUP("Exp_Acquisition",CF_Gen_3[#All],MATCH($B256,CF_Gen_3[[#All],[Incurred]],0),0),0)</f>
        <v>-6862980.0494171642</v>
      </c>
      <c r="I256" s="22">
        <f>IF(AND($J256&lt;YEAR($A256),$B256&lt;=$A256),-IFERROR(HLOOKUP("Actual_Commission",CF_Gen_3[#All],MATCH($B256,CF_Gen_3[[#All],[Incurred]],0),0),0)-IFERROR(HLOOKUP("Actual_Acquisition",CF_Gen_3[#All],MATCH($B256,CF_Gen_3[[#All],[Incurred]],0),0),0),0)</f>
        <v>0</v>
      </c>
      <c r="J256" s="27">
        <f>VLOOKUP(L256,ICG[#All],2,0)</f>
        <v>2025</v>
      </c>
      <c r="K256" s="27" t="str">
        <f>VLOOKUP(L256,ICG[#All],3,0)</f>
        <v>IC-Property</v>
      </c>
      <c r="L256" s="27" t="str">
        <f t="shared" si="20"/>
        <v>#2025#IC-Property</v>
      </c>
    </row>
    <row r="257" spans="1:12">
      <c r="A257" s="26">
        <f t="shared" si="21"/>
        <v>45930</v>
      </c>
      <c r="B257" s="26">
        <f t="shared" si="19"/>
        <v>49856</v>
      </c>
      <c r="C257" s="21">
        <f>IFERROR(HLOOKUP("Exp_Premium",CF_Gen_3[#All],MATCH($B257,CF_Gen_3[[#All],[Incurred]],0),0),0)</f>
        <v>-42437181.197149739</v>
      </c>
      <c r="D257" s="22">
        <f>IF(AND($J257&lt;YEAR($A257),$B257&lt;=$A257),IFERROR(HLOOKUP("Actual_Premium",CF_Gen_3[#All],MATCH($B257,CF_Gen_3[[#All],[Incurred]],0),0),0),0)</f>
        <v>0</v>
      </c>
      <c r="E257" s="21">
        <f>-IFERROR(HLOOKUP("Exp_Claim",CF_Gen_3[#All],MATCH($B257,CF_Gen_3[[#All],[Incurred]],0),0),0)-IFERROR(HLOOKUP("Exp_NPR",CF_Gen_3[#All],MATCH($B257,CF_Gen_3[[#All],[Incurred]],0),0),0)</f>
        <v>17810805.366597623</v>
      </c>
      <c r="F257" s="21">
        <f>-IFERROR(HLOOKUP("Exp_RA",CF_Gen_3[#All],MATCH($B257,CF_Gen_3[[#All],[Incurred]],0),0),0)</f>
        <v>2493512.7513236674</v>
      </c>
      <c r="G257" s="21">
        <f>-IFERROR(HLOOKUP("Exp_Expense",CF_Gen_3[#All],MATCH($B257,CF_Gen_3[[#All],[Incurred]],0),0),0)</f>
        <v>3962904.1940679708</v>
      </c>
      <c r="H257" s="21">
        <f>-IFERROR(HLOOKUP("Exp_Commission",CF_Gen_3[#All],MATCH($B257,CF_Gen_3[[#All],[Incurred]],0),0),0)-IFERROR(HLOOKUP("Exp_Acquisition",CF_Gen_3[#All],MATCH($B257,CF_Gen_3[[#All],[Incurred]],0),0),0)</f>
        <v>-6133814.8152437033</v>
      </c>
      <c r="I257" s="22">
        <f>IF(AND($J257&lt;YEAR($A257),$B257&lt;=$A257),-IFERROR(HLOOKUP("Actual_Commission",CF_Gen_3[#All],MATCH($B257,CF_Gen_3[[#All],[Incurred]],0),0),0)-IFERROR(HLOOKUP("Actual_Acquisition",CF_Gen_3[#All],MATCH($B257,CF_Gen_3[[#All],[Incurred]],0),0),0),0)</f>
        <v>0</v>
      </c>
      <c r="J257" s="27">
        <f>VLOOKUP(L257,ICG[#All],2,0)</f>
        <v>2025</v>
      </c>
      <c r="K257" s="27" t="str">
        <f>VLOOKUP(L257,ICG[#All],3,0)</f>
        <v>IC-Property</v>
      </c>
      <c r="L257" s="27" t="str">
        <f t="shared" si="20"/>
        <v>#2025#IC-Property</v>
      </c>
    </row>
    <row r="258" spans="1:12">
      <c r="A258" s="26">
        <f t="shared" si="21"/>
        <v>45930</v>
      </c>
      <c r="B258" s="26">
        <f t="shared" si="19"/>
        <v>49948</v>
      </c>
      <c r="C258" s="21">
        <f>IFERROR(HLOOKUP("Exp_Premium",CF_Gen_3[#All],MATCH($B258,CF_Gen_3[[#All],[Incurred]],0),0),0)</f>
        <v>-37908133.043771967</v>
      </c>
      <c r="D258" s="22">
        <f>IF(AND($J258&lt;YEAR($A258),$B258&lt;=$A258),IFERROR(HLOOKUP("Actual_Premium",CF_Gen_3[#All],MATCH($B258,CF_Gen_3[[#All],[Incurred]],0),0),0),0)</f>
        <v>0</v>
      </c>
      <c r="E258" s="21">
        <f>-IFERROR(HLOOKUP("Exp_Claim",CF_Gen_3[#All],MATCH($B258,CF_Gen_3[[#All],[Incurred]],0),0),0)-IFERROR(HLOOKUP("Exp_NPR",CF_Gen_3[#All],MATCH($B258,CF_Gen_3[[#All],[Incurred]],0),0),0)</f>
        <v>16116371.991180766</v>
      </c>
      <c r="F258" s="21">
        <f>-IFERROR(HLOOKUP("Exp_RA",CF_Gen_3[#All],MATCH($B258,CF_Gen_3[[#All],[Incurred]],0),0),0)</f>
        <v>2256292.0787653076</v>
      </c>
      <c r="G258" s="21">
        <f>-IFERROR(HLOOKUP("Exp_Expense",CF_Gen_3[#All],MATCH($B258,CF_Gen_3[[#All],[Incurred]],0),0),0)</f>
        <v>3585892.7680377206</v>
      </c>
      <c r="H258" s="21">
        <f>-IFERROR(HLOOKUP("Exp_Commission",CF_Gen_3[#All],MATCH($B258,CF_Gen_3[[#All],[Incurred]],0),0),0)-IFERROR(HLOOKUP("Exp_Acquisition",CF_Gen_3[#All],MATCH($B258,CF_Gen_3[[#All],[Incurred]],0),0),0)</f>
        <v>-5479192.10283776</v>
      </c>
      <c r="I258" s="22">
        <f>IF(AND($J258&lt;YEAR($A258),$B258&lt;=$A258),-IFERROR(HLOOKUP("Actual_Commission",CF_Gen_3[#All],MATCH($B258,CF_Gen_3[[#All],[Incurred]],0),0),0)-IFERROR(HLOOKUP("Actual_Acquisition",CF_Gen_3[#All],MATCH($B258,CF_Gen_3[[#All],[Incurred]],0),0),0),0)</f>
        <v>0</v>
      </c>
      <c r="J258" s="27">
        <f>VLOOKUP(L258,ICG[#All],2,0)</f>
        <v>2025</v>
      </c>
      <c r="K258" s="27" t="str">
        <f>VLOOKUP(L258,ICG[#All],3,0)</f>
        <v>IC-Property</v>
      </c>
      <c r="L258" s="27" t="str">
        <f t="shared" si="20"/>
        <v>#2025#IC-Property</v>
      </c>
    </row>
    <row r="259" spans="1:12">
      <c r="A259" s="26">
        <f t="shared" si="21"/>
        <v>45930</v>
      </c>
      <c r="B259" s="26">
        <f t="shared" si="19"/>
        <v>50040</v>
      </c>
      <c r="C259" s="21">
        <f>IFERROR(HLOOKUP("Exp_Premium",CF_Gen_3[#All],MATCH($B259,CF_Gen_3[[#All],[Incurred]],0),0),0)</f>
        <v>-33844381.181479603</v>
      </c>
      <c r="D259" s="22">
        <f>IF(AND($J259&lt;YEAR($A259),$B259&lt;=$A259),IFERROR(HLOOKUP("Actual_Premium",CF_Gen_3[#All],MATCH($B259,CF_Gen_3[[#All],[Incurred]],0),0),0),0)</f>
        <v>0</v>
      </c>
      <c r="E259" s="21">
        <f>-IFERROR(HLOOKUP("Exp_Claim",CF_Gen_3[#All],MATCH($B259,CF_Gen_3[[#All],[Incurred]],0),0),0)-IFERROR(HLOOKUP("Exp_NPR",CF_Gen_3[#All],MATCH($B259,CF_Gen_3[[#All],[Incurred]],0),0),0)</f>
        <v>14988225.951798111</v>
      </c>
      <c r="F259" s="21">
        <f>-IFERROR(HLOOKUP("Exp_RA",CF_Gen_3[#All],MATCH($B259,CF_Gen_3[[#All],[Incurred]],0),0),0)</f>
        <v>2098351.6332517359</v>
      </c>
      <c r="G259" s="21">
        <f>-IFERROR(HLOOKUP("Exp_Expense",CF_Gen_3[#All],MATCH($B259,CF_Gen_3[[#All],[Incurred]],0),0),0)</f>
        <v>3334880.2742750798</v>
      </c>
      <c r="H259" s="21">
        <f>-IFERROR(HLOOKUP("Exp_Commission",CF_Gen_3[#All],MATCH($B259,CF_Gen_3[[#All],[Incurred]],0),0),0)-IFERROR(HLOOKUP("Exp_Acquisition",CF_Gen_3[#All],MATCH($B259,CF_Gen_3[[#All],[Incurred]],0),0),0)</f>
        <v>-4891822.7094135517</v>
      </c>
      <c r="I259" s="22">
        <f>IF(AND($J259&lt;YEAR($A259),$B259&lt;=$A259),-IFERROR(HLOOKUP("Actual_Commission",CF_Gen_3[#All],MATCH($B259,CF_Gen_3[[#All],[Incurred]],0),0),0)-IFERROR(HLOOKUP("Actual_Acquisition",CF_Gen_3[#All],MATCH($B259,CF_Gen_3[[#All],[Incurred]],0),0),0),0)</f>
        <v>0</v>
      </c>
      <c r="J259" s="27">
        <f>VLOOKUP(L259,ICG[#All],2,0)</f>
        <v>2025</v>
      </c>
      <c r="K259" s="27" t="str">
        <f>VLOOKUP(L259,ICG[#All],3,0)</f>
        <v>IC-Property</v>
      </c>
      <c r="L259" s="27" t="str">
        <f t="shared" si="20"/>
        <v>#2025#IC-Property</v>
      </c>
    </row>
    <row r="260" spans="1:12">
      <c r="A260" s="26">
        <f t="shared" si="21"/>
        <v>45930</v>
      </c>
      <c r="B260" s="26">
        <f t="shared" si="19"/>
        <v>50130</v>
      </c>
      <c r="C260" s="21">
        <f>IFERROR(HLOOKUP("Exp_Premium",CF_Gen_3[#All],MATCH($B260,CF_Gen_3[[#All],[Incurred]],0),0),0)</f>
        <v>-30163804.727993704</v>
      </c>
      <c r="D260" s="22">
        <f>IF(AND($J260&lt;YEAR($A260),$B260&lt;=$A260),IFERROR(HLOOKUP("Actual_Premium",CF_Gen_3[#All],MATCH($B260,CF_Gen_3[[#All],[Incurred]],0),0),0),0)</f>
        <v>0</v>
      </c>
      <c r="E260" s="21">
        <f>-IFERROR(HLOOKUP("Exp_Claim",CF_Gen_3[#All],MATCH($B260,CF_Gen_3[[#All],[Incurred]],0),0),0)-IFERROR(HLOOKUP("Exp_NPR",CF_Gen_3[#All],MATCH($B260,CF_Gen_3[[#All],[Incurred]],0),0),0)</f>
        <v>13551854.298084129</v>
      </c>
      <c r="F260" s="21">
        <f>-IFERROR(HLOOKUP("Exp_RA",CF_Gen_3[#All],MATCH($B260,CF_Gen_3[[#All],[Incurred]],0),0),0)</f>
        <v>1897259.6017317781</v>
      </c>
      <c r="G260" s="21">
        <f>-IFERROR(HLOOKUP("Exp_Expense",CF_Gen_3[#All],MATCH($B260,CF_Gen_3[[#All],[Incurred]],0),0),0)</f>
        <v>3015287.5813237187</v>
      </c>
      <c r="H260" s="21">
        <f>-IFERROR(HLOOKUP("Exp_Commission",CF_Gen_3[#All],MATCH($B260,CF_Gen_3[[#All],[Incurred]],0),0),0)-IFERROR(HLOOKUP("Exp_Acquisition",CF_Gen_3[#All],MATCH($B260,CF_Gen_3[[#All],[Incurred]],0),0),0)</f>
        <v>-4359836.9897648282</v>
      </c>
      <c r="I260" s="22">
        <f>IF(AND($J260&lt;YEAR($A260),$B260&lt;=$A260),-IFERROR(HLOOKUP("Actual_Commission",CF_Gen_3[#All],MATCH($B260,CF_Gen_3[[#All],[Incurred]],0),0),0)-IFERROR(HLOOKUP("Actual_Acquisition",CF_Gen_3[#All],MATCH($B260,CF_Gen_3[[#All],[Incurred]],0),0),0),0)</f>
        <v>0</v>
      </c>
      <c r="J260" s="27">
        <f>VLOOKUP(L260,ICG[#All],2,0)</f>
        <v>2025</v>
      </c>
      <c r="K260" s="27" t="str">
        <f>VLOOKUP(L260,ICG[#All],3,0)</f>
        <v>IC-Property</v>
      </c>
      <c r="L260" s="27" t="str">
        <f t="shared" si="20"/>
        <v>#2025#IC-Property</v>
      </c>
    </row>
    <row r="261" spans="1:12">
      <c r="A261" s="26">
        <f t="shared" si="21"/>
        <v>45930</v>
      </c>
      <c r="B261" s="26">
        <f t="shared" si="19"/>
        <v>50221</v>
      </c>
      <c r="C261" s="21">
        <f>IFERROR(HLOOKUP("Exp_Premium",CF_Gen_3[#All],MATCH($B261,CF_Gen_3[[#All],[Incurred]],0),0),0)</f>
        <v>-26866551.14595177</v>
      </c>
      <c r="D261" s="22">
        <f>IF(AND($J261&lt;YEAR($A261),$B261&lt;=$A261),IFERROR(HLOOKUP("Actual_Premium",CF_Gen_3[#All],MATCH($B261,CF_Gen_3[[#All],[Incurred]],0),0),0),0)</f>
        <v>0</v>
      </c>
      <c r="E261" s="21">
        <f>-IFERROR(HLOOKUP("Exp_Claim",CF_Gen_3[#All],MATCH($B261,CF_Gen_3[[#All],[Incurred]],0),0),0)-IFERROR(HLOOKUP("Exp_NPR",CF_Gen_3[#All],MATCH($B261,CF_Gen_3[[#All],[Incurred]],0),0),0)</f>
        <v>12243132.368726285</v>
      </c>
      <c r="F261" s="21">
        <f>-IFERROR(HLOOKUP("Exp_RA",CF_Gen_3[#All],MATCH($B261,CF_Gen_3[[#All],[Incurred]],0),0),0)</f>
        <v>1714038.5316216801</v>
      </c>
      <c r="G261" s="21">
        <f>-IFERROR(HLOOKUP("Exp_Expense",CF_Gen_3[#All],MATCH($B261,CF_Gen_3[[#All],[Incurred]],0),0),0)</f>
        <v>2724096.9520415985</v>
      </c>
      <c r="H261" s="21">
        <f>-IFERROR(HLOOKUP("Exp_Commission",CF_Gen_3[#All],MATCH($B261,CF_Gen_3[[#All],[Incurred]],0),0),0)-IFERROR(HLOOKUP("Exp_Acquisition",CF_Gen_3[#All],MATCH($B261,CF_Gen_3[[#All],[Incurred]],0),0),0)</f>
        <v>-3883256.257948868</v>
      </c>
      <c r="I261" s="22">
        <f>IF(AND($J261&lt;YEAR($A261),$B261&lt;=$A261),-IFERROR(HLOOKUP("Actual_Commission",CF_Gen_3[#All],MATCH($B261,CF_Gen_3[[#All],[Incurred]],0),0),0)-IFERROR(HLOOKUP("Actual_Acquisition",CF_Gen_3[#All],MATCH($B261,CF_Gen_3[[#All],[Incurred]],0),0),0),0)</f>
        <v>0</v>
      </c>
      <c r="J261" s="27">
        <f>VLOOKUP(L261,ICG[#All],2,0)</f>
        <v>2025</v>
      </c>
      <c r="K261" s="27" t="str">
        <f>VLOOKUP(L261,ICG[#All],3,0)</f>
        <v>IC-Property</v>
      </c>
      <c r="L261" s="27" t="str">
        <f t="shared" si="20"/>
        <v>#2025#IC-Property</v>
      </c>
    </row>
    <row r="262" spans="1:12">
      <c r="A262" s="26">
        <f t="shared" si="21"/>
        <v>45930</v>
      </c>
      <c r="B262" s="26">
        <f t="shared" si="19"/>
        <v>50313</v>
      </c>
      <c r="C262" s="21">
        <f>IFERROR(HLOOKUP("Exp_Premium",CF_Gen_3[#All],MATCH($B262,CF_Gen_3[[#All],[Incurred]],0),0),0)</f>
        <v>-23914618.483471598</v>
      </c>
      <c r="D262" s="22">
        <f>IF(AND($J262&lt;YEAR($A262),$B262&lt;=$A262),IFERROR(HLOOKUP("Actual_Premium",CF_Gen_3[#All],MATCH($B262,CF_Gen_3[[#All],[Incurred]],0),0),0),0)</f>
        <v>0</v>
      </c>
      <c r="E262" s="21">
        <f>-IFERROR(HLOOKUP("Exp_Claim",CF_Gen_3[#All],MATCH($B262,CF_Gen_3[[#All],[Incurred]],0),0),0)-IFERROR(HLOOKUP("Exp_NPR",CF_Gen_3[#All],MATCH($B262,CF_Gen_3[[#All],[Incurred]],0),0),0)</f>
        <v>11051227.423417933</v>
      </c>
      <c r="F262" s="21">
        <f>-IFERROR(HLOOKUP("Exp_RA",CF_Gen_3[#All],MATCH($B262,CF_Gen_3[[#All],[Incurred]],0),0),0)</f>
        <v>1547171.8392785108</v>
      </c>
      <c r="G262" s="21">
        <f>-IFERROR(HLOOKUP("Exp_Expense",CF_Gen_3[#All],MATCH($B262,CF_Gen_3[[#All],[Incurred]],0),0),0)</f>
        <v>2458898.10171049</v>
      </c>
      <c r="H262" s="21">
        <f>-IFERROR(HLOOKUP("Exp_Commission",CF_Gen_3[#All],MATCH($B262,CF_Gen_3[[#All],[Incurred]],0),0),0)-IFERROR(HLOOKUP("Exp_Acquisition",CF_Gen_3[#All],MATCH($B262,CF_Gen_3[[#All],[Incurred]],0),0),0)</f>
        <v>-3456587.7614102992</v>
      </c>
      <c r="I262" s="22">
        <f>IF(AND($J262&lt;YEAR($A262),$B262&lt;=$A262),-IFERROR(HLOOKUP("Actual_Commission",CF_Gen_3[#All],MATCH($B262,CF_Gen_3[[#All],[Incurred]],0),0),0)-IFERROR(HLOOKUP("Actual_Acquisition",CF_Gen_3[#All],MATCH($B262,CF_Gen_3[[#All],[Incurred]],0),0),0),0)</f>
        <v>0</v>
      </c>
      <c r="J262" s="27">
        <f>VLOOKUP(L262,ICG[#All],2,0)</f>
        <v>2025</v>
      </c>
      <c r="K262" s="27" t="str">
        <f>VLOOKUP(L262,ICG[#All],3,0)</f>
        <v>IC-Property</v>
      </c>
      <c r="L262" s="27" t="str">
        <f t="shared" si="20"/>
        <v>#2025#IC-Property</v>
      </c>
    </row>
    <row r="263" spans="1:12">
      <c r="A263" s="26">
        <f t="shared" si="21"/>
        <v>45930</v>
      </c>
      <c r="B263" s="26">
        <f t="shared" si="19"/>
        <v>50405</v>
      </c>
      <c r="C263" s="21">
        <f>IFERROR(HLOOKUP("Exp_Premium",CF_Gen_3[#All],MATCH($B263,CF_Gen_3[[#All],[Incurred]],0),0),0)</f>
        <v>-21273612.790079519</v>
      </c>
      <c r="D263" s="22">
        <f>IF(AND($J263&lt;YEAR($A263),$B263&lt;=$A263),IFERROR(HLOOKUP("Actual_Premium",CF_Gen_3[#All],MATCH($B263,CF_Gen_3[[#All],[Incurred]],0),0),0),0)</f>
        <v>0</v>
      </c>
      <c r="E263" s="21">
        <f>-IFERROR(HLOOKUP("Exp_Claim",CF_Gen_3[#All],MATCH($B263,CF_Gen_3[[#All],[Incurred]],0),0),0)-IFERROR(HLOOKUP("Exp_NPR",CF_Gen_3[#All],MATCH($B263,CF_Gen_3[[#All],[Incurred]],0),0),0)</f>
        <v>10277641.503778676</v>
      </c>
      <c r="F263" s="21">
        <f>-IFERROR(HLOOKUP("Exp_RA",CF_Gen_3[#All],MATCH($B263,CF_Gen_3[[#All],[Incurred]],0),0),0)</f>
        <v>1438869.8105290148</v>
      </c>
      <c r="G263" s="21">
        <f>-IFERROR(HLOOKUP("Exp_Expense",CF_Gen_3[#All],MATCH($B263,CF_Gen_3[[#All],[Incurred]],0),0),0)</f>
        <v>2286775.2345907553</v>
      </c>
      <c r="H263" s="21">
        <f>-IFERROR(HLOOKUP("Exp_Commission",CF_Gen_3[#All],MATCH($B263,CF_Gen_3[[#All],[Incurred]],0),0),0)-IFERROR(HLOOKUP("Exp_Acquisition",CF_Gen_3[#All],MATCH($B263,CF_Gen_3[[#All],[Incurred]],0),0),0)</f>
        <v>-3074860.2434110739</v>
      </c>
      <c r="I263" s="22">
        <f>IF(AND($J263&lt;YEAR($A263),$B263&lt;=$A263),-IFERROR(HLOOKUP("Actual_Commission",CF_Gen_3[#All],MATCH($B263,CF_Gen_3[[#All],[Incurred]],0),0),0)-IFERROR(HLOOKUP("Actual_Acquisition",CF_Gen_3[#All],MATCH($B263,CF_Gen_3[[#All],[Incurred]],0),0),0),0)</f>
        <v>0</v>
      </c>
      <c r="J263" s="27">
        <f>VLOOKUP(L263,ICG[#All],2,0)</f>
        <v>2025</v>
      </c>
      <c r="K263" s="27" t="str">
        <f>VLOOKUP(L263,ICG[#All],3,0)</f>
        <v>IC-Property</v>
      </c>
      <c r="L263" s="27" t="str">
        <f t="shared" si="20"/>
        <v>#2025#IC-Property</v>
      </c>
    </row>
    <row r="264" spans="1:12">
      <c r="A264" s="26">
        <f t="shared" si="21"/>
        <v>45930</v>
      </c>
      <c r="B264" s="26">
        <f t="shared" si="19"/>
        <v>50495</v>
      </c>
      <c r="C264" s="21">
        <f>IFERROR(HLOOKUP("Exp_Premium",CF_Gen_3[#All],MATCH($B264,CF_Gen_3[[#All],[Incurred]],0),0),0)</f>
        <v>-18885166.263193317</v>
      </c>
      <c r="D264" s="22">
        <f>IF(AND($J264&lt;YEAR($A264),$B264&lt;=$A264),IFERROR(HLOOKUP("Actual_Premium",CF_Gen_3[#All],MATCH($B264,CF_Gen_3[[#All],[Incurred]],0),0),0),0)</f>
        <v>0</v>
      </c>
      <c r="E264" s="21">
        <f>-IFERROR(HLOOKUP("Exp_Claim",CF_Gen_3[#All],MATCH($B264,CF_Gen_3[[#All],[Incurred]],0),0),0)-IFERROR(HLOOKUP("Exp_NPR",CF_Gen_3[#All],MATCH($B264,CF_Gen_3[[#All],[Incurred]],0),0),0)</f>
        <v>9268563.9743167721</v>
      </c>
      <c r="F264" s="21">
        <f>-IFERROR(HLOOKUP("Exp_RA",CF_Gen_3[#All],MATCH($B264,CF_Gen_3[[#All],[Incurred]],0),0),0)</f>
        <v>1297598.9564043481</v>
      </c>
      <c r="G264" s="21">
        <f>-IFERROR(HLOOKUP("Exp_Expense",CF_Gen_3[#All],MATCH($B264,CF_Gen_3[[#All],[Incurred]],0),0),0)</f>
        <v>2062255.4842854817</v>
      </c>
      <c r="H264" s="21">
        <f>-IFERROR(HLOOKUP("Exp_Commission",CF_Gen_3[#All],MATCH($B264,CF_Gen_3[[#All],[Incurred]],0),0),0)-IFERROR(HLOOKUP("Exp_Acquisition",CF_Gen_3[#All],MATCH($B264,CF_Gen_3[[#All],[Incurred]],0),0),0)</f>
        <v>-2729637.2979008304</v>
      </c>
      <c r="I264" s="22">
        <f>IF(AND($J264&lt;YEAR($A264),$B264&lt;=$A264),-IFERROR(HLOOKUP("Actual_Commission",CF_Gen_3[#All],MATCH($B264,CF_Gen_3[[#All],[Incurred]],0),0),0)-IFERROR(HLOOKUP("Actual_Acquisition",CF_Gen_3[#All],MATCH($B264,CF_Gen_3[[#All],[Incurred]],0),0),0),0)</f>
        <v>0</v>
      </c>
      <c r="J264" s="27">
        <f>VLOOKUP(L264,ICG[#All],2,0)</f>
        <v>2025</v>
      </c>
      <c r="K264" s="27" t="str">
        <f>VLOOKUP(L264,ICG[#All],3,0)</f>
        <v>IC-Property</v>
      </c>
      <c r="L264" s="27" t="str">
        <f t="shared" si="20"/>
        <v>#2025#IC-Property</v>
      </c>
    </row>
    <row r="265" spans="1:12">
      <c r="A265" s="26">
        <f t="shared" si="21"/>
        <v>45930</v>
      </c>
      <c r="B265" s="26">
        <f t="shared" si="19"/>
        <v>50586</v>
      </c>
      <c r="C265" s="21">
        <f>IFERROR(HLOOKUP("Exp_Premium",CF_Gen_3[#All],MATCH($B265,CF_Gen_3[[#All],[Incurred]],0),0),0)</f>
        <v>-16752205.277017068</v>
      </c>
      <c r="D265" s="22">
        <f>IF(AND($J265&lt;YEAR($A265),$B265&lt;=$A265),IFERROR(HLOOKUP("Actual_Premium",CF_Gen_3[#All],MATCH($B265,CF_Gen_3[[#All],[Incurred]],0),0),0),0)</f>
        <v>0</v>
      </c>
      <c r="E265" s="21">
        <f>-IFERROR(HLOOKUP("Exp_Claim",CF_Gen_3[#All],MATCH($B265,CF_Gen_3[[#All],[Incurred]],0),0),0)-IFERROR(HLOOKUP("Exp_NPR",CF_Gen_3[#All],MATCH($B265,CF_Gen_3[[#All],[Incurred]],0),0),0)</f>
        <v>8350396.855611016</v>
      </c>
      <c r="F265" s="21">
        <f>-IFERROR(HLOOKUP("Exp_RA",CF_Gen_3[#All],MATCH($B265,CF_Gen_3[[#All],[Incurred]],0),0),0)</f>
        <v>1169055.5597855423</v>
      </c>
      <c r="G265" s="21">
        <f>-IFERROR(HLOOKUP("Exp_Expense",CF_Gen_3[#All],MATCH($B265,CF_Gen_3[[#All],[Incurred]],0),0),0)</f>
        <v>1857963.3003734511</v>
      </c>
      <c r="H265" s="21">
        <f>-IFERROR(HLOOKUP("Exp_Commission",CF_Gen_3[#All],MATCH($B265,CF_Gen_3[[#All],[Incurred]],0),0),0)-IFERROR(HLOOKUP("Exp_Acquisition",CF_Gen_3[#All],MATCH($B265,CF_Gen_3[[#All],[Incurred]],0),0),0)</f>
        <v>-2421341.8991898671</v>
      </c>
      <c r="I265" s="22">
        <f>IF(AND($J265&lt;YEAR($A265),$B265&lt;=$A265),-IFERROR(HLOOKUP("Actual_Commission",CF_Gen_3[#All],MATCH($B265,CF_Gen_3[[#All],[Incurred]],0),0),0)-IFERROR(HLOOKUP("Actual_Acquisition",CF_Gen_3[#All],MATCH($B265,CF_Gen_3[[#All],[Incurred]],0),0),0),0)</f>
        <v>0</v>
      </c>
      <c r="J265" s="27">
        <f>VLOOKUP(L265,ICG[#All],2,0)</f>
        <v>2025</v>
      </c>
      <c r="K265" s="27" t="str">
        <f>VLOOKUP(L265,ICG[#All],3,0)</f>
        <v>IC-Property</v>
      </c>
      <c r="L265" s="27" t="str">
        <f t="shared" si="20"/>
        <v>#2025#IC-Property</v>
      </c>
    </row>
    <row r="266" spans="1:12">
      <c r="A266" s="26">
        <f t="shared" si="21"/>
        <v>45930</v>
      </c>
      <c r="B266" s="26">
        <f t="shared" si="19"/>
        <v>50678</v>
      </c>
      <c r="C266" s="21">
        <f>IFERROR(HLOOKUP("Exp_Premium",CF_Gen_3[#All],MATCH($B266,CF_Gen_3[[#All],[Incurred]],0),0),0)</f>
        <v>-14848891.182759911</v>
      </c>
      <c r="D266" s="22">
        <f>IF(AND($J266&lt;YEAR($A266),$B266&lt;=$A266),IFERROR(HLOOKUP("Actual_Premium",CF_Gen_3[#All],MATCH($B266,CF_Gen_3[[#All],[Incurred]],0),0),0),0)</f>
        <v>0</v>
      </c>
      <c r="E266" s="21">
        <f>-IFERROR(HLOOKUP("Exp_Claim",CF_Gen_3[#All],MATCH($B266,CF_Gen_3[[#All],[Incurred]],0),0),0)-IFERROR(HLOOKUP("Exp_NPR",CF_Gen_3[#All],MATCH($B266,CF_Gen_3[[#All],[Incurred]],0),0),0)</f>
        <v>7515357.1700499132</v>
      </c>
      <c r="F266" s="21">
        <f>-IFERROR(HLOOKUP("Exp_RA",CF_Gen_3[#All],MATCH($B266,CF_Gen_3[[#All],[Incurred]],0),0),0)</f>
        <v>1052150.003806988</v>
      </c>
      <c r="G266" s="21">
        <f>-IFERROR(HLOOKUP("Exp_Expense",CF_Gen_3[#All],MATCH($B266,CF_Gen_3[[#All],[Incurred]],0),0),0)</f>
        <v>1672166.9703361057</v>
      </c>
      <c r="H266" s="21">
        <f>-IFERROR(HLOOKUP("Exp_Commission",CF_Gen_3[#All],MATCH($B266,CF_Gen_3[[#All],[Incurred]],0),0),0)-IFERROR(HLOOKUP("Exp_Acquisition",CF_Gen_3[#All],MATCH($B266,CF_Gen_3[[#All],[Incurred]],0),0),0)</f>
        <v>-2146239.3626858438</v>
      </c>
      <c r="I266" s="22">
        <f>IF(AND($J266&lt;YEAR($A266),$B266&lt;=$A266),-IFERROR(HLOOKUP("Actual_Commission",CF_Gen_3[#All],MATCH($B266,CF_Gen_3[[#All],[Incurred]],0),0),0)-IFERROR(HLOOKUP("Actual_Acquisition",CF_Gen_3[#All],MATCH($B266,CF_Gen_3[[#All],[Incurred]],0),0),0),0)</f>
        <v>0</v>
      </c>
      <c r="J266" s="27">
        <f>VLOOKUP(L266,ICG[#All],2,0)</f>
        <v>2025</v>
      </c>
      <c r="K266" s="27" t="str">
        <f>VLOOKUP(L266,ICG[#All],3,0)</f>
        <v>IC-Property</v>
      </c>
      <c r="L266" s="27" t="str">
        <f t="shared" si="20"/>
        <v>#2025#IC-Property</v>
      </c>
    </row>
    <row r="267" spans="1:12">
      <c r="A267" s="26">
        <f t="shared" si="21"/>
        <v>45930</v>
      </c>
      <c r="B267" s="26">
        <f t="shared" si="19"/>
        <v>50770</v>
      </c>
      <c r="C267" s="21">
        <f>IFERROR(HLOOKUP("Exp_Premium",CF_Gen_3[#All],MATCH($B267,CF_Gen_3[[#All],[Incurred]],0),0),0)</f>
        <v>-13151875.047587348</v>
      </c>
      <c r="D267" s="22">
        <f>IF(AND($J267&lt;YEAR($A267),$B267&lt;=$A267),IFERROR(HLOOKUP("Actual_Premium",CF_Gen_3[#All],MATCH($B267,CF_Gen_3[[#All],[Incurred]],0),0),0),0)</f>
        <v>0</v>
      </c>
      <c r="E267" s="21">
        <f>-IFERROR(HLOOKUP("Exp_Claim",CF_Gen_3[#All],MATCH($B267,CF_Gen_3[[#All],[Incurred]],0),0),0)-IFERROR(HLOOKUP("Exp_NPR",CF_Gen_3[#All],MATCH($B267,CF_Gen_3[[#All],[Incurred]],0),0),0)</f>
        <v>6989282.1681464203</v>
      </c>
      <c r="F267" s="21">
        <f>-IFERROR(HLOOKUP("Exp_RA",CF_Gen_3[#All],MATCH($B267,CF_Gen_3[[#All],[Incurred]],0),0),0)</f>
        <v>978499.5035404989</v>
      </c>
      <c r="G267" s="21">
        <f>-IFERROR(HLOOKUP("Exp_Expense",CF_Gen_3[#All],MATCH($B267,CF_Gen_3[[#All],[Incurred]],0),0),0)</f>
        <v>1555115.2824125784</v>
      </c>
      <c r="H267" s="21">
        <f>-IFERROR(HLOOKUP("Exp_Commission",CF_Gen_3[#All],MATCH($B267,CF_Gen_3[[#All],[Incurred]],0),0),0)-IFERROR(HLOOKUP("Exp_Acquisition",CF_Gen_3[#All],MATCH($B267,CF_Gen_3[[#All],[Incurred]],0),0),0)</f>
        <v>-1900954.8640931761</v>
      </c>
      <c r="I267" s="22">
        <f>IF(AND($J267&lt;YEAR($A267),$B267&lt;=$A267),-IFERROR(HLOOKUP("Actual_Commission",CF_Gen_3[#All],MATCH($B267,CF_Gen_3[[#All],[Incurred]],0),0),0)-IFERROR(HLOOKUP("Actual_Acquisition",CF_Gen_3[#All],MATCH($B267,CF_Gen_3[[#All],[Incurred]],0),0),0),0)</f>
        <v>0</v>
      </c>
      <c r="J267" s="27">
        <f>VLOOKUP(L267,ICG[#All],2,0)</f>
        <v>2025</v>
      </c>
      <c r="K267" s="27" t="str">
        <f>VLOOKUP(L267,ICG[#All],3,0)</f>
        <v>IC-Property</v>
      </c>
      <c r="L267" s="27" t="str">
        <f t="shared" si="20"/>
        <v>#2025#IC-Property</v>
      </c>
    </row>
    <row r="268" spans="1:12">
      <c r="A268" s="26">
        <f t="shared" si="21"/>
        <v>45930</v>
      </c>
      <c r="B268" s="26">
        <f t="shared" si="19"/>
        <v>50860</v>
      </c>
      <c r="C268" s="21">
        <f>IFERROR(HLOOKUP("Exp_Premium",CF_Gen_3[#All],MATCH($B268,CF_Gen_3[[#All],[Incurred]],0),0),0)</f>
        <v>-11619681.60454342</v>
      </c>
      <c r="D268" s="22">
        <f>IF(AND($J268&lt;YEAR($A268),$B268&lt;=$A268),IFERROR(HLOOKUP("Actual_Premium",CF_Gen_3[#All],MATCH($B268,CF_Gen_3[[#All],[Incurred]],0),0),0),0)</f>
        <v>0</v>
      </c>
      <c r="E268" s="21">
        <f>-IFERROR(HLOOKUP("Exp_Claim",CF_Gen_3[#All],MATCH($B268,CF_Gen_3[[#All],[Incurred]],0),0),0)-IFERROR(HLOOKUP("Exp_NPR",CF_Gen_3[#All],MATCH($B268,CF_Gen_3[[#All],[Incurred]],0),0),0)</f>
        <v>6283364.6691636303</v>
      </c>
      <c r="F268" s="21">
        <f>-IFERROR(HLOOKUP("Exp_RA",CF_Gen_3[#All],MATCH($B268,CF_Gen_3[[#All],[Incurred]],0),0),0)</f>
        <v>879671.0536829083</v>
      </c>
      <c r="G268" s="21">
        <f>-IFERROR(HLOOKUP("Exp_Expense",CF_Gen_3[#All],MATCH($B268,CF_Gen_3[[#All],[Incurred]],0),0),0)</f>
        <v>1398048.6388889076</v>
      </c>
      <c r="H268" s="21">
        <f>-IFERROR(HLOOKUP("Exp_Commission",CF_Gen_3[#All],MATCH($B268,CF_Gen_3[[#All],[Incurred]],0),0),0)-IFERROR(HLOOKUP("Exp_Acquisition",CF_Gen_3[#All],MATCH($B268,CF_Gen_3[[#All],[Incurred]],0),0),0)</f>
        <v>-1679493.6224263208</v>
      </c>
      <c r="I268" s="22">
        <f>IF(AND($J268&lt;YEAR($A268),$B268&lt;=$A268),-IFERROR(HLOOKUP("Actual_Commission",CF_Gen_3[#All],MATCH($B268,CF_Gen_3[[#All],[Incurred]],0),0),0)-IFERROR(HLOOKUP("Actual_Acquisition",CF_Gen_3[#All],MATCH($B268,CF_Gen_3[[#All],[Incurred]],0),0),0),0)</f>
        <v>0</v>
      </c>
      <c r="J268" s="27">
        <f>VLOOKUP(L268,ICG[#All],2,0)</f>
        <v>2025</v>
      </c>
      <c r="K268" s="27" t="str">
        <f>VLOOKUP(L268,ICG[#All],3,0)</f>
        <v>IC-Property</v>
      </c>
      <c r="L268" s="27" t="str">
        <f t="shared" si="20"/>
        <v>#2025#IC-Property</v>
      </c>
    </row>
    <row r="269" spans="1:12">
      <c r="A269" s="26">
        <f t="shared" si="21"/>
        <v>45930</v>
      </c>
      <c r="B269" s="26">
        <f t="shared" si="19"/>
        <v>50951</v>
      </c>
      <c r="C269" s="21">
        <f>IFERROR(HLOOKUP("Exp_Premium",CF_Gen_3[#All],MATCH($B269,CF_Gen_3[[#All],[Incurred]],0),0),0)</f>
        <v>-10256509.483673561</v>
      </c>
      <c r="D269" s="22">
        <f>IF(AND($J269&lt;YEAR($A269),$B269&lt;=$A269),IFERROR(HLOOKUP("Actual_Premium",CF_Gen_3[#All],MATCH($B269,CF_Gen_3[[#All],[Incurred]],0),0),0),0)</f>
        <v>0</v>
      </c>
      <c r="E269" s="21">
        <f>-IFERROR(HLOOKUP("Exp_Claim",CF_Gen_3[#All],MATCH($B269,CF_Gen_3[[#All],[Incurred]],0),0),0)-IFERROR(HLOOKUP("Exp_NPR",CF_Gen_3[#All],MATCH($B269,CF_Gen_3[[#All],[Incurred]],0),0),0)</f>
        <v>5642028.1374145141</v>
      </c>
      <c r="F269" s="21">
        <f>-IFERROR(HLOOKUP("Exp_RA",CF_Gen_3[#All],MATCH($B269,CF_Gen_3[[#All],[Incurred]],0),0),0)</f>
        <v>789883.93923803209</v>
      </c>
      <c r="G269" s="21">
        <f>-IFERROR(HLOOKUP("Exp_Expense",CF_Gen_3[#All],MATCH($B269,CF_Gen_3[[#All],[Incurred]],0),0),0)</f>
        <v>1255351.2605747292</v>
      </c>
      <c r="H269" s="21">
        <f>-IFERROR(HLOOKUP("Exp_Commission",CF_Gen_3[#All],MATCH($B269,CF_Gen_3[[#All],[Incurred]],0),0),0)-IFERROR(HLOOKUP("Exp_Acquisition",CF_Gen_3[#All],MATCH($B269,CF_Gen_3[[#All],[Incurred]],0),0),0)</f>
        <v>-1482462.502195359</v>
      </c>
      <c r="I269" s="22">
        <f>IF(AND($J269&lt;YEAR($A269),$B269&lt;=$A269),-IFERROR(HLOOKUP("Actual_Commission",CF_Gen_3[#All],MATCH($B269,CF_Gen_3[[#All],[Incurred]],0),0),0)-IFERROR(HLOOKUP("Actual_Acquisition",CF_Gen_3[#All],MATCH($B269,CF_Gen_3[[#All],[Incurred]],0),0),0),0)</f>
        <v>0</v>
      </c>
      <c r="J269" s="27">
        <f>VLOOKUP(L269,ICG[#All],2,0)</f>
        <v>2025</v>
      </c>
      <c r="K269" s="27" t="str">
        <f>VLOOKUP(L269,ICG[#All],3,0)</f>
        <v>IC-Property</v>
      </c>
      <c r="L269" s="27" t="str">
        <f t="shared" si="20"/>
        <v>#2025#IC-Property</v>
      </c>
    </row>
    <row r="270" spans="1:12">
      <c r="A270" s="26">
        <f t="shared" si="21"/>
        <v>45930</v>
      </c>
      <c r="B270" s="26">
        <f t="shared" si="19"/>
        <v>51043</v>
      </c>
      <c r="C270" s="21">
        <f>IFERROR(HLOOKUP("Exp_Premium",CF_Gen_3[#All],MATCH($B270,CF_Gen_3[[#All],[Incurred]],0),0),0)</f>
        <v>-9044876.3577926438</v>
      </c>
      <c r="D270" s="22">
        <f>IF(AND($J270&lt;YEAR($A270),$B270&lt;=$A270),IFERROR(HLOOKUP("Actual_Premium",CF_Gen_3[#All],MATCH($B270,CF_Gen_3[[#All],[Incurred]],0),0),0),0)</f>
        <v>0</v>
      </c>
      <c r="E270" s="21">
        <f>-IFERROR(HLOOKUP("Exp_Claim",CF_Gen_3[#All],MATCH($B270,CF_Gen_3[[#All],[Incurred]],0),0),0)-IFERROR(HLOOKUP("Exp_NPR",CF_Gen_3[#All],MATCH($B270,CF_Gen_3[[#All],[Incurred]],0),0),0)</f>
        <v>5059690.2332313731</v>
      </c>
      <c r="F270" s="21">
        <f>-IFERROR(HLOOKUP("Exp_RA",CF_Gen_3[#All],MATCH($B270,CF_Gen_3[[#All],[Incurred]],0),0),0)</f>
        <v>708356.63265239226</v>
      </c>
      <c r="G270" s="21">
        <f>-IFERROR(HLOOKUP("Exp_Expense",CF_Gen_3[#All],MATCH($B270,CF_Gen_3[[#All],[Incurred]],0),0),0)</f>
        <v>1125781.0768939804</v>
      </c>
      <c r="H270" s="21">
        <f>-IFERROR(HLOOKUP("Exp_Commission",CF_Gen_3[#All],MATCH($B270,CF_Gen_3[[#All],[Incurred]],0),0),0)-IFERROR(HLOOKUP("Exp_Acquisition",CF_Gen_3[#All],MATCH($B270,CF_Gen_3[[#All],[Incurred]],0),0),0)</f>
        <v>-1307334.6306328722</v>
      </c>
      <c r="I270" s="22">
        <f>IF(AND($J270&lt;YEAR($A270),$B270&lt;=$A270),-IFERROR(HLOOKUP("Actual_Commission",CF_Gen_3[#All],MATCH($B270,CF_Gen_3[[#All],[Incurred]],0),0),0)-IFERROR(HLOOKUP("Actual_Acquisition",CF_Gen_3[#All],MATCH($B270,CF_Gen_3[[#All],[Incurred]],0),0),0),0)</f>
        <v>0</v>
      </c>
      <c r="J270" s="27">
        <f>VLOOKUP(L270,ICG[#All],2,0)</f>
        <v>2025</v>
      </c>
      <c r="K270" s="27" t="str">
        <f>VLOOKUP(L270,ICG[#All],3,0)</f>
        <v>IC-Property</v>
      </c>
      <c r="L270" s="27" t="str">
        <f t="shared" si="20"/>
        <v>#2025#IC-Property</v>
      </c>
    </row>
    <row r="271" spans="1:12">
      <c r="A271" s="26">
        <f t="shared" si="21"/>
        <v>45930</v>
      </c>
      <c r="B271" s="26">
        <f t="shared" si="19"/>
        <v>51135</v>
      </c>
      <c r="C271" s="21">
        <f>IFERROR(HLOOKUP("Exp_Premium",CF_Gen_3[#All],MATCH($B271,CF_Gen_3[[#All],[Incurred]],0),0),0)</f>
        <v>-7969012.1173394127</v>
      </c>
      <c r="D271" s="22">
        <f>IF(AND($J271&lt;YEAR($A271),$B271&lt;=$A271),IFERROR(HLOOKUP("Actual_Premium",CF_Gen_3[#All],MATCH($B271,CF_Gen_3[[#All],[Incurred]],0),0),0),0)</f>
        <v>0</v>
      </c>
      <c r="E271" s="21">
        <f>-IFERROR(HLOOKUP("Exp_Claim",CF_Gen_3[#All],MATCH($B271,CF_Gen_3[[#All],[Incurred]],0),0),0)-IFERROR(HLOOKUP("Exp_NPR",CF_Gen_3[#All],MATCH($B271,CF_Gen_3[[#All],[Incurred]],0),0),0)</f>
        <v>4705511.9169051768</v>
      </c>
      <c r="F271" s="21">
        <f>-IFERROR(HLOOKUP("Exp_RA",CF_Gen_3[#All],MATCH($B271,CF_Gen_3[[#All],[Incurred]],0),0),0)</f>
        <v>658771.66836672486</v>
      </c>
      <c r="G271" s="21">
        <f>-IFERROR(HLOOKUP("Exp_Expense",CF_Gen_3[#All],MATCH($B271,CF_Gen_3[[#All],[Incurred]],0),0),0)</f>
        <v>1046976.4015114019</v>
      </c>
      <c r="H271" s="21">
        <f>-IFERROR(HLOOKUP("Exp_Commission",CF_Gen_3[#All],MATCH($B271,CF_Gen_3[[#All],[Incurred]],0),0),0)-IFERROR(HLOOKUP("Exp_Acquisition",CF_Gen_3[#All],MATCH($B271,CF_Gen_3[[#All],[Incurred]],0),0),0)</f>
        <v>-1151830.6166733832</v>
      </c>
      <c r="I271" s="22">
        <f>IF(AND($J271&lt;YEAR($A271),$B271&lt;=$A271),-IFERROR(HLOOKUP("Actual_Commission",CF_Gen_3[#All],MATCH($B271,CF_Gen_3[[#All],[Incurred]],0),0),0)-IFERROR(HLOOKUP("Actual_Acquisition",CF_Gen_3[#All],MATCH($B271,CF_Gen_3[[#All],[Incurred]],0),0),0),0)</f>
        <v>0</v>
      </c>
      <c r="J271" s="27">
        <f>VLOOKUP(L271,ICG[#All],2,0)</f>
        <v>2025</v>
      </c>
      <c r="K271" s="27" t="str">
        <f>VLOOKUP(L271,ICG[#All],3,0)</f>
        <v>IC-Property</v>
      </c>
      <c r="L271" s="27" t="str">
        <f t="shared" si="20"/>
        <v>#2025#IC-Property</v>
      </c>
    </row>
    <row r="272" spans="1:12">
      <c r="A272" s="26">
        <f t="shared" si="21"/>
        <v>45930</v>
      </c>
      <c r="B272" s="26">
        <f t="shared" si="19"/>
        <v>51226</v>
      </c>
      <c r="C272" s="21">
        <f>IFERROR(HLOOKUP("Exp_Premium",CF_Gen_3[#All],MATCH($B272,CF_Gen_3[[#All],[Incurred]],0),0),0)</f>
        <v>-6999448.9763964498</v>
      </c>
      <c r="D272" s="22">
        <f>IF(AND($J272&lt;YEAR($A272),$B272&lt;=$A272),IFERROR(HLOOKUP("Actual_Premium",CF_Gen_3[#All],MATCH($B272,CF_Gen_3[[#All],[Incurred]],0),0),0),0)</f>
        <v>0</v>
      </c>
      <c r="E272" s="21">
        <f>-IFERROR(HLOOKUP("Exp_Claim",CF_Gen_3[#All],MATCH($B272,CF_Gen_3[[#All],[Incurred]],0),0),0)-IFERROR(HLOOKUP("Exp_NPR",CF_Gen_3[#All],MATCH($B272,CF_Gen_3[[#All],[Incurred]],0),0),0)</f>
        <v>4214047.3389173029</v>
      </c>
      <c r="F272" s="21">
        <f>-IFERROR(HLOOKUP("Exp_RA",CF_Gen_3[#All],MATCH($B272,CF_Gen_3[[#All],[Incurred]],0),0),0)</f>
        <v>589966.62744842249</v>
      </c>
      <c r="G272" s="21">
        <f>-IFERROR(HLOOKUP("Exp_Expense",CF_Gen_3[#All],MATCH($B272,CF_Gen_3[[#All],[Incurred]],0),0),0)</f>
        <v>937625.53290909994</v>
      </c>
      <c r="H272" s="21">
        <f>-IFERROR(HLOOKUP("Exp_Commission",CF_Gen_3[#All],MATCH($B272,CF_Gen_3[[#All],[Incurred]],0),0),0)-IFERROR(HLOOKUP("Exp_Acquisition",CF_Gen_3[#All],MATCH($B272,CF_Gen_3[[#All],[Incurred]],0),0),0)</f>
        <v>-1011691.2249781213</v>
      </c>
      <c r="I272" s="22">
        <f>IF(AND($J272&lt;YEAR($A272),$B272&lt;=$A272),-IFERROR(HLOOKUP("Actual_Commission",CF_Gen_3[#All],MATCH($B272,CF_Gen_3[[#All],[Incurred]],0),0),0)-IFERROR(HLOOKUP("Actual_Acquisition",CF_Gen_3[#All],MATCH($B272,CF_Gen_3[[#All],[Incurred]],0),0),0),0)</f>
        <v>0</v>
      </c>
      <c r="J272" s="27">
        <f>VLOOKUP(L272,ICG[#All],2,0)</f>
        <v>2025</v>
      </c>
      <c r="K272" s="27" t="str">
        <f>VLOOKUP(L272,ICG[#All],3,0)</f>
        <v>IC-Property</v>
      </c>
      <c r="L272" s="27" t="str">
        <f t="shared" si="20"/>
        <v>#2025#IC-Property</v>
      </c>
    </row>
    <row r="273" spans="1:12">
      <c r="A273" s="26">
        <f t="shared" si="21"/>
        <v>45930</v>
      </c>
      <c r="B273" s="26">
        <f t="shared" si="19"/>
        <v>51317</v>
      </c>
      <c r="C273" s="21">
        <f>IFERROR(HLOOKUP("Exp_Premium",CF_Gen_3[#All],MATCH($B273,CF_Gen_3[[#All],[Incurred]],0),0),0)</f>
        <v>-6140758.4058934357</v>
      </c>
      <c r="D273" s="22">
        <f>IF(AND($J273&lt;YEAR($A273),$B273&lt;=$A273),IFERROR(HLOOKUP("Actual_Premium",CF_Gen_3[#All],MATCH($B273,CF_Gen_3[[#All],[Incurred]],0),0),0),0)</f>
        <v>0</v>
      </c>
      <c r="E273" s="21">
        <f>-IFERROR(HLOOKUP("Exp_Claim",CF_Gen_3[#All],MATCH($B273,CF_Gen_3[[#All],[Incurred]],0),0),0)-IFERROR(HLOOKUP("Exp_NPR",CF_Gen_3[#All],MATCH($B273,CF_Gen_3[[#All],[Incurred]],0),0),0)</f>
        <v>3768330.7934548948</v>
      </c>
      <c r="F273" s="21">
        <f>-IFERROR(HLOOKUP("Exp_RA",CF_Gen_3[#All],MATCH($B273,CF_Gen_3[[#All],[Incurred]],0),0),0)</f>
        <v>527566.31108368537</v>
      </c>
      <c r="G273" s="21">
        <f>-IFERROR(HLOOKUP("Exp_Expense",CF_Gen_3[#All],MATCH($B273,CF_Gen_3[[#All],[Incurred]],0),0),0)</f>
        <v>838453.60154371406</v>
      </c>
      <c r="H273" s="21">
        <f>-IFERROR(HLOOKUP("Exp_Commission",CF_Gen_3[#All],MATCH($B273,CF_Gen_3[[#All],[Incurred]],0),0),0)-IFERROR(HLOOKUP("Exp_Acquisition",CF_Gen_3[#All],MATCH($B273,CF_Gen_3[[#All],[Incurred]],0),0),0)</f>
        <v>-887577.20999224321</v>
      </c>
      <c r="I273" s="22">
        <f>IF(AND($J273&lt;YEAR($A273),$B273&lt;=$A273),-IFERROR(HLOOKUP("Actual_Commission",CF_Gen_3[#All],MATCH($B273,CF_Gen_3[[#All],[Incurred]],0),0),0)-IFERROR(HLOOKUP("Actual_Acquisition",CF_Gen_3[#All],MATCH($B273,CF_Gen_3[[#All],[Incurred]],0),0),0),0)</f>
        <v>0</v>
      </c>
      <c r="J273" s="27">
        <f>VLOOKUP(L273,ICG[#All],2,0)</f>
        <v>2025</v>
      </c>
      <c r="K273" s="27" t="str">
        <f>VLOOKUP(L273,ICG[#All],3,0)</f>
        <v>IC-Property</v>
      </c>
      <c r="L273" s="27" t="str">
        <f t="shared" si="20"/>
        <v>#2025#IC-Property</v>
      </c>
    </row>
    <row r="274" spans="1:12">
      <c r="A274" s="26">
        <f t="shared" si="21"/>
        <v>45930</v>
      </c>
      <c r="B274" s="26">
        <f t="shared" si="19"/>
        <v>51409</v>
      </c>
      <c r="C274" s="21">
        <f>IFERROR(HLOOKUP("Exp_Premium",CF_Gen_3[#All],MATCH($B274,CF_Gen_3[[#All],[Incurred]],0),0),0)</f>
        <v>-5381176.3730535898</v>
      </c>
      <c r="D274" s="22">
        <f>IF(AND($J274&lt;YEAR($A274),$B274&lt;=$A274),IFERROR(HLOOKUP("Actual_Premium",CF_Gen_3[#All],MATCH($B274,CF_Gen_3[[#All],[Incurred]],0),0),0),0)</f>
        <v>0</v>
      </c>
      <c r="E274" s="21">
        <f>-IFERROR(HLOOKUP("Exp_Claim",CF_Gen_3[#All],MATCH($B274,CF_Gen_3[[#All],[Incurred]],0),0),0)-IFERROR(HLOOKUP("Exp_NPR",CF_Gen_3[#All],MATCH($B274,CF_Gen_3[[#All],[Incurred]],0),0),0)</f>
        <v>3364365.73239653</v>
      </c>
      <c r="F274" s="21">
        <f>-IFERROR(HLOOKUP("Exp_RA",CF_Gen_3[#All],MATCH($B274,CF_Gen_3[[#All],[Incurred]],0),0),0)</f>
        <v>471011.20253551425</v>
      </c>
      <c r="G274" s="21">
        <f>-IFERROR(HLOOKUP("Exp_Expense",CF_Gen_3[#All],MATCH($B274,CF_Gen_3[[#All],[Incurred]],0),0),0)</f>
        <v>748571.37545822794</v>
      </c>
      <c r="H274" s="21">
        <f>-IFERROR(HLOOKUP("Exp_Commission",CF_Gen_3[#All],MATCH($B274,CF_Gen_3[[#All],[Incurred]],0),0),0)-IFERROR(HLOOKUP("Exp_Acquisition",CF_Gen_3[#All],MATCH($B274,CF_Gen_3[[#All],[Incurred]],0),0),0)</f>
        <v>-777788.21376317961</v>
      </c>
      <c r="I274" s="22">
        <f>IF(AND($J274&lt;YEAR($A274),$B274&lt;=$A274),-IFERROR(HLOOKUP("Actual_Commission",CF_Gen_3[#All],MATCH($B274,CF_Gen_3[[#All],[Incurred]],0),0),0)-IFERROR(HLOOKUP("Actual_Acquisition",CF_Gen_3[#All],MATCH($B274,CF_Gen_3[[#All],[Incurred]],0),0),0),0)</f>
        <v>0</v>
      </c>
      <c r="J274" s="27">
        <f>VLOOKUP(L274,ICG[#All],2,0)</f>
        <v>2025</v>
      </c>
      <c r="K274" s="27" t="str">
        <f>VLOOKUP(L274,ICG[#All],3,0)</f>
        <v>IC-Property</v>
      </c>
      <c r="L274" s="27" t="str">
        <f t="shared" si="20"/>
        <v>#2025#IC-Property</v>
      </c>
    </row>
    <row r="275" spans="1:12">
      <c r="A275" s="26">
        <f t="shared" si="21"/>
        <v>45930</v>
      </c>
      <c r="B275" s="26">
        <f t="shared" si="19"/>
        <v>51501</v>
      </c>
      <c r="C275" s="21">
        <f>IFERROR(HLOOKUP("Exp_Premium",CF_Gen_3[#All],MATCH($B275,CF_Gen_3[[#All],[Incurred]],0),0),0)</f>
        <v>-4710112.0253551425</v>
      </c>
      <c r="D275" s="22">
        <f>IF(AND($J275&lt;YEAR($A275),$B275&lt;=$A275),IFERROR(HLOOKUP("Actual_Premium",CF_Gen_3[#All],MATCH($B275,CF_Gen_3[[#All],[Incurred]],0),0),0),0)</f>
        <v>0</v>
      </c>
      <c r="E275" s="21">
        <f>-IFERROR(HLOOKUP("Exp_Claim",CF_Gen_3[#All],MATCH($B275,CF_Gen_3[[#All],[Incurred]],0),0),0)-IFERROR(HLOOKUP("Exp_NPR",CF_Gen_3[#All],MATCH($B275,CF_Gen_3[[#All],[Incurred]],0),0),0)</f>
        <v>3128860.1311287726</v>
      </c>
      <c r="F275" s="21">
        <f>-IFERROR(HLOOKUP("Exp_RA",CF_Gen_3[#All],MATCH($B275,CF_Gen_3[[#All],[Incurred]],0),0),0)</f>
        <v>438040.41835802823</v>
      </c>
      <c r="G275" s="21">
        <f>-IFERROR(HLOOKUP("Exp_Expense",CF_Gen_3[#All],MATCH($B275,CF_Gen_3[[#All],[Incurred]],0),0),0)</f>
        <v>696171.37917615194</v>
      </c>
      <c r="H275" s="21">
        <f>-IFERROR(HLOOKUP("Exp_Commission",CF_Gen_3[#All],MATCH($B275,CF_Gen_3[[#All],[Incurred]],0),0),0)-IFERROR(HLOOKUP("Exp_Acquisition",CF_Gen_3[#All],MATCH($B275,CF_Gen_3[[#All],[Incurred]],0),0),0)</f>
        <v>-680793.44828212424</v>
      </c>
      <c r="I275" s="22">
        <f>IF(AND($J275&lt;YEAR($A275),$B275&lt;=$A275),-IFERROR(HLOOKUP("Actual_Commission",CF_Gen_3[#All],MATCH($B275,CF_Gen_3[[#All],[Incurred]],0),0),0)-IFERROR(HLOOKUP("Actual_Acquisition",CF_Gen_3[#All],MATCH($B275,CF_Gen_3[[#All],[Incurred]],0),0),0),0)</f>
        <v>0</v>
      </c>
      <c r="J275" s="27">
        <f>VLOOKUP(L275,ICG[#All],2,0)</f>
        <v>2025</v>
      </c>
      <c r="K275" s="27" t="str">
        <f>VLOOKUP(L275,ICG[#All],3,0)</f>
        <v>IC-Property</v>
      </c>
      <c r="L275" s="27" t="str">
        <f t="shared" si="20"/>
        <v>#2025#IC-Property</v>
      </c>
    </row>
    <row r="276" spans="1:12">
      <c r="A276" s="26">
        <f t="shared" ref="A276:A307" si="22">ValuationDate</f>
        <v>45930</v>
      </c>
      <c r="B276" s="26">
        <f t="shared" si="19"/>
        <v>51591</v>
      </c>
      <c r="C276" s="21">
        <f>IFERROR(HLOOKUP("Exp_Premium",CF_Gen_3[#All],MATCH($B276,CF_Gen_3[[#All],[Incurred]],0),0),0)</f>
        <v>-4106628.9221065138</v>
      </c>
      <c r="D276" s="22">
        <f>IF(AND($J276&lt;YEAR($A276),$B276&lt;=$A276),IFERROR(HLOOKUP("Actual_Premium",CF_Gen_3[#All],MATCH($B276,CF_Gen_3[[#All],[Incurred]],0),0),0),0)</f>
        <v>0</v>
      </c>
      <c r="E276" s="21">
        <f>-IFERROR(HLOOKUP("Exp_Claim",CF_Gen_3[#All],MATCH($B276,CF_Gen_3[[#All],[Incurred]],0),0),0)-IFERROR(HLOOKUP("Exp_NPR",CF_Gen_3[#All],MATCH($B276,CF_Gen_3[[#All],[Incurred]],0),0),0)</f>
        <v>2788596.5918685179</v>
      </c>
      <c r="F276" s="21">
        <f>-IFERROR(HLOOKUP("Exp_RA",CF_Gen_3[#All],MATCH($B276,CF_Gen_3[[#All],[Incurred]],0),0),0)</f>
        <v>390403.52286159253</v>
      </c>
      <c r="G276" s="21">
        <f>-IFERROR(HLOOKUP("Exp_Expense",CF_Gen_3[#All],MATCH($B276,CF_Gen_3[[#All],[Incurred]],0),0),0)</f>
        <v>620462.74169074523</v>
      </c>
      <c r="H276" s="21">
        <f>-IFERROR(HLOOKUP("Exp_Commission",CF_Gen_3[#All],MATCH($B276,CF_Gen_3[[#All],[Incurred]],0),0),0)-IFERROR(HLOOKUP("Exp_Acquisition",CF_Gen_3[#All],MATCH($B276,CF_Gen_3[[#All],[Incurred]],0),0),0)</f>
        <v>-593566.78772097686</v>
      </c>
      <c r="I276" s="22">
        <f>IF(AND($J276&lt;YEAR($A276),$B276&lt;=$A276),-IFERROR(HLOOKUP("Actual_Commission",CF_Gen_3[#All],MATCH($B276,CF_Gen_3[[#All],[Incurred]],0),0),0)-IFERROR(HLOOKUP("Actual_Acquisition",CF_Gen_3[#All],MATCH($B276,CF_Gen_3[[#All],[Incurred]],0),0),0),0)</f>
        <v>0</v>
      </c>
      <c r="J276" s="27">
        <f>VLOOKUP(L276,ICG[#All],2,0)</f>
        <v>2025</v>
      </c>
      <c r="K276" s="27" t="str">
        <f>VLOOKUP(L276,ICG[#All],3,0)</f>
        <v>IC-Property</v>
      </c>
      <c r="L276" s="27" t="str">
        <f t="shared" si="20"/>
        <v>#2025#IC-Property</v>
      </c>
    </row>
    <row r="277" spans="1:12">
      <c r="A277" s="26">
        <f t="shared" si="22"/>
        <v>45930</v>
      </c>
      <c r="B277" s="26">
        <f t="shared" ref="B277:B315" si="23">EOMONTH(B276,3)</f>
        <v>51682</v>
      </c>
      <c r="C277" s="21">
        <f>IFERROR(HLOOKUP("Exp_Premium",CF_Gen_3[#All],MATCH($B277,CF_Gen_3[[#All],[Incurred]],0),0),0)</f>
        <v>-3575162.6957705622</v>
      </c>
      <c r="D277" s="22">
        <f>IF(AND($J277&lt;YEAR($A277),$B277&lt;=$A277),IFERROR(HLOOKUP("Actual_Premium",CF_Gen_3[#All],MATCH($B277,CF_Gen_3[[#All],[Incurred]],0),0),0),0)</f>
        <v>0</v>
      </c>
      <c r="E277" s="21">
        <f>-IFERROR(HLOOKUP("Exp_Claim",CF_Gen_3[#All],MATCH($B277,CF_Gen_3[[#All],[Incurred]],0),0),0)-IFERROR(HLOOKUP("Exp_NPR",CF_Gen_3[#All],MATCH($B277,CF_Gen_3[[#All],[Incurred]],0),0),0)</f>
        <v>2480638.5334621686</v>
      </c>
      <c r="F277" s="21">
        <f>-IFERROR(HLOOKUP("Exp_RA",CF_Gen_3[#All],MATCH($B277,CF_Gen_3[[#All],[Incurred]],0),0),0)</f>
        <v>347289.39468470367</v>
      </c>
      <c r="G277" s="21">
        <f>-IFERROR(HLOOKUP("Exp_Expense",CF_Gen_3[#All],MATCH($B277,CF_Gen_3[[#All],[Incurred]],0),0),0)</f>
        <v>551942.07369533251</v>
      </c>
      <c r="H277" s="21">
        <f>-IFERROR(HLOOKUP("Exp_Commission",CF_Gen_3[#All],MATCH($B277,CF_Gen_3[[#All],[Incurred]],0),0),0)-IFERROR(HLOOKUP("Exp_Acquisition",CF_Gen_3[#All],MATCH($B277,CF_Gen_3[[#All],[Incurred]],0),0),0)</f>
        <v>-516749.35261008726</v>
      </c>
      <c r="I277" s="22">
        <f>IF(AND($J277&lt;YEAR($A277),$B277&lt;=$A277),-IFERROR(HLOOKUP("Actual_Commission",CF_Gen_3[#All],MATCH($B277,CF_Gen_3[[#All],[Incurred]],0),0),0)-IFERROR(HLOOKUP("Actual_Acquisition",CF_Gen_3[#All],MATCH($B277,CF_Gen_3[[#All],[Incurred]],0),0),0),0)</f>
        <v>0</v>
      </c>
      <c r="J277" s="27">
        <f>VLOOKUP(L277,ICG[#All],2,0)</f>
        <v>2025</v>
      </c>
      <c r="K277" s="27" t="str">
        <f>VLOOKUP(L277,ICG[#All],3,0)</f>
        <v>IC-Property</v>
      </c>
      <c r="L277" s="27" t="str">
        <f t="shared" si="20"/>
        <v>#2025#IC-Property</v>
      </c>
    </row>
    <row r="278" spans="1:12">
      <c r="A278" s="26">
        <f t="shared" si="22"/>
        <v>45930</v>
      </c>
      <c r="B278" s="26">
        <f t="shared" si="23"/>
        <v>51774</v>
      </c>
      <c r="C278" s="21">
        <f>IFERROR(HLOOKUP("Exp_Premium",CF_Gen_3[#All],MATCH($B278,CF_Gen_3[[#All],[Incurred]],0),0),0)</f>
        <v>-3107845.4353886833</v>
      </c>
      <c r="D278" s="22">
        <f>IF(AND($J278&lt;YEAR($A278),$B278&lt;=$A278),IFERROR(HLOOKUP("Actual_Premium",CF_Gen_3[#All],MATCH($B278,CF_Gen_3[[#All],[Incurred]],0),0),0),0)</f>
        <v>0</v>
      </c>
      <c r="E278" s="21">
        <f>-IFERROR(HLOOKUP("Exp_Claim",CF_Gen_3[#All],MATCH($B278,CF_Gen_3[[#All],[Incurred]],0),0),0)-IFERROR(HLOOKUP("Exp_NPR",CF_Gen_3[#All],MATCH($B278,CF_Gen_3[[#All],[Incurred]],0),0),0)</f>
        <v>2202130.4799325522</v>
      </c>
      <c r="F278" s="21">
        <f>-IFERROR(HLOOKUP("Exp_RA",CF_Gen_3[#All],MATCH($B278,CF_Gen_3[[#All],[Incurred]],0),0),0)</f>
        <v>308298.26719055732</v>
      </c>
      <c r="G278" s="21">
        <f>-IFERROR(HLOOKUP("Exp_Expense",CF_Gen_3[#All],MATCH($B278,CF_Gen_3[[#All],[Incurred]],0),0),0)</f>
        <v>489974.0317849929</v>
      </c>
      <c r="H278" s="21">
        <f>-IFERROR(HLOOKUP("Exp_Commission",CF_Gen_3[#All],MATCH($B278,CF_Gen_3[[#All],[Incurred]],0),0),0)-IFERROR(HLOOKUP("Exp_Acquisition",CF_Gen_3[#All],MATCH($B278,CF_Gen_3[[#All],[Incurred]],0),0),0)</f>
        <v>-449203.92536238889</v>
      </c>
      <c r="I278" s="22">
        <f>IF(AND($J278&lt;YEAR($A278),$B278&lt;=$A278),-IFERROR(HLOOKUP("Actual_Commission",CF_Gen_3[#All],MATCH($B278,CF_Gen_3[[#All],[Incurred]],0),0),0)-IFERROR(HLOOKUP("Actual_Acquisition",CF_Gen_3[#All],MATCH($B278,CF_Gen_3[[#All],[Incurred]],0),0),0),0)</f>
        <v>0</v>
      </c>
      <c r="J278" s="27">
        <f>VLOOKUP(L278,ICG[#All],2,0)</f>
        <v>2025</v>
      </c>
      <c r="K278" s="27" t="str">
        <f>VLOOKUP(L278,ICG[#All],3,0)</f>
        <v>IC-Property</v>
      </c>
      <c r="L278" s="27" t="str">
        <f t="shared" ref="L278:L315" si="24">L277</f>
        <v>#2025#IC-Property</v>
      </c>
    </row>
    <row r="279" spans="1:12">
      <c r="A279" s="26">
        <f t="shared" si="22"/>
        <v>45930</v>
      </c>
      <c r="B279" s="26">
        <f t="shared" si="23"/>
        <v>51866</v>
      </c>
      <c r="C279" s="21">
        <f>IFERROR(HLOOKUP("Exp_Premium",CF_Gen_3[#All],MATCH($B279,CF_Gen_3[[#All],[Incurred]],0),0),0)</f>
        <v>-2697609.8379173772</v>
      </c>
      <c r="D279" s="22">
        <f>IF(AND($J279&lt;YEAR($A279),$B279&lt;=$A279),IFERROR(HLOOKUP("Actual_Premium",CF_Gen_3[#All],MATCH($B279,CF_Gen_3[[#All],[Incurred]],0),0),0),0)</f>
        <v>0</v>
      </c>
      <c r="E279" s="21">
        <f>-IFERROR(HLOOKUP("Exp_Claim",CF_Gen_3[#All],MATCH($B279,CF_Gen_3[[#All],[Incurred]],0),0),0)-IFERROR(HLOOKUP("Exp_NPR",CF_Gen_3[#All],MATCH($B279,CF_Gen_3[[#All],[Incurred]],0),0),0)</f>
        <v>2047981.3463372735</v>
      </c>
      <c r="F279" s="21">
        <f>-IFERROR(HLOOKUP("Exp_RA",CF_Gen_3[#All],MATCH($B279,CF_Gen_3[[#All],[Incurred]],0),0),0)</f>
        <v>286717.3884872183</v>
      </c>
      <c r="G279" s="21">
        <f>-IFERROR(HLOOKUP("Exp_Expense",CF_Gen_3[#All],MATCH($B279,CF_Gen_3[[#All],[Incurred]],0),0),0)</f>
        <v>455675.84956004331</v>
      </c>
      <c r="H279" s="21">
        <f>-IFERROR(HLOOKUP("Exp_Commission",CF_Gen_3[#All],MATCH($B279,CF_Gen_3[[#All],[Incurred]],0),0),0)-IFERROR(HLOOKUP("Exp_Acquisition",CF_Gen_3[#All],MATCH($B279,CF_Gen_3[[#All],[Incurred]],0),0),0)</f>
        <v>-389909.00721455354</v>
      </c>
      <c r="I279" s="22">
        <f>IF(AND($J279&lt;YEAR($A279),$B279&lt;=$A279),-IFERROR(HLOOKUP("Actual_Commission",CF_Gen_3[#All],MATCH($B279,CF_Gen_3[[#All],[Incurred]],0),0),0)-IFERROR(HLOOKUP("Actual_Acquisition",CF_Gen_3[#All],MATCH($B279,CF_Gen_3[[#All],[Incurred]],0),0),0),0)</f>
        <v>0</v>
      </c>
      <c r="J279" s="27">
        <f>VLOOKUP(L279,ICG[#All],2,0)</f>
        <v>2025</v>
      </c>
      <c r="K279" s="27" t="str">
        <f>VLOOKUP(L279,ICG[#All],3,0)</f>
        <v>IC-Property</v>
      </c>
      <c r="L279" s="27" t="str">
        <f t="shared" si="24"/>
        <v>#2025#IC-Property</v>
      </c>
    </row>
    <row r="280" spans="1:12">
      <c r="A280" s="26">
        <f t="shared" si="22"/>
        <v>45930</v>
      </c>
      <c r="B280" s="26">
        <f t="shared" si="23"/>
        <v>51956</v>
      </c>
      <c r="C280" s="21">
        <f>IFERROR(HLOOKUP("Exp_Premium",CF_Gen_3[#All],MATCH($B280,CF_Gen_3[[#All],[Incurred]],0),0),0)</f>
        <v>-2329578.7814586493</v>
      </c>
      <c r="D280" s="22">
        <f>IF(AND($J280&lt;YEAR($A280),$B280&lt;=$A280),IFERROR(HLOOKUP("Actual_Premium",CF_Gen_3[#All],MATCH($B280,CF_Gen_3[[#All],[Incurred]],0),0),0),0)</f>
        <v>0</v>
      </c>
      <c r="E280" s="21">
        <f>-IFERROR(HLOOKUP("Exp_Claim",CF_Gen_3[#All],MATCH($B280,CF_Gen_3[[#All],[Incurred]],0),0),0)-IFERROR(HLOOKUP("Exp_NPR",CF_Gen_3[#All],MATCH($B280,CF_Gen_3[[#All],[Incurred]],0),0),0)</f>
        <v>1813926.3353272998</v>
      </c>
      <c r="F280" s="21">
        <f>-IFERROR(HLOOKUP("Exp_RA",CF_Gen_3[#All],MATCH($B280,CF_Gen_3[[#All],[Incurred]],0),0),0)</f>
        <v>253949.686945822</v>
      </c>
      <c r="G280" s="21">
        <f>-IFERROR(HLOOKUP("Exp_Expense",CF_Gen_3[#All],MATCH($B280,CF_Gen_3[[#All],[Incurred]],0),0),0)</f>
        <v>403598.60961032414</v>
      </c>
      <c r="H280" s="21">
        <f>-IFERROR(HLOOKUP("Exp_Commission",CF_Gen_3[#All],MATCH($B280,CF_Gen_3[[#All],[Incurred]],0),0),0)-IFERROR(HLOOKUP("Exp_Acquisition",CF_Gen_3[#All],MATCH($B280,CF_Gen_3[[#All],[Incurred]],0),0),0)</f>
        <v>-336714.27837313944</v>
      </c>
      <c r="I280" s="22">
        <f>IF(AND($J280&lt;YEAR($A280),$B280&lt;=$A280),-IFERROR(HLOOKUP("Actual_Commission",CF_Gen_3[#All],MATCH($B280,CF_Gen_3[[#All],[Incurred]],0),0),0)-IFERROR(HLOOKUP("Actual_Acquisition",CF_Gen_3[#All],MATCH($B280,CF_Gen_3[[#All],[Incurred]],0),0),0),0)</f>
        <v>0</v>
      </c>
      <c r="J280" s="27">
        <f>VLOOKUP(L280,ICG[#All],2,0)</f>
        <v>2025</v>
      </c>
      <c r="K280" s="27" t="str">
        <f>VLOOKUP(L280,ICG[#All],3,0)</f>
        <v>IC-Property</v>
      </c>
      <c r="L280" s="27" t="str">
        <f t="shared" si="24"/>
        <v>#2025#IC-Property</v>
      </c>
    </row>
    <row r="281" spans="1:12">
      <c r="A281" s="26">
        <f t="shared" si="22"/>
        <v>45930</v>
      </c>
      <c r="B281" s="26">
        <f t="shared" si="23"/>
        <v>52047</v>
      </c>
      <c r="C281" s="21">
        <f>IFERROR(HLOOKUP("Exp_Premium",CF_Gen_3[#All],MATCH($B281,CF_Gen_3[[#All],[Incurred]],0),0),0)</f>
        <v>-2007789.7124154051</v>
      </c>
      <c r="D281" s="22">
        <f>IF(AND($J281&lt;YEAR($A281),$B281&lt;=$A281),IFERROR(HLOOKUP("Actual_Premium",CF_Gen_3[#All],MATCH($B281,CF_Gen_3[[#All],[Incurred]],0),0),0),0)</f>
        <v>0</v>
      </c>
      <c r="E281" s="21">
        <f>-IFERROR(HLOOKUP("Exp_Claim",CF_Gen_3[#All],MATCH($B281,CF_Gen_3[[#All],[Incurred]],0),0),0)-IFERROR(HLOOKUP("Exp_NPR",CF_Gen_3[#All],MATCH($B281,CF_Gen_3[[#All],[Incurred]],0),0),0)</f>
        <v>1602603.9172616689</v>
      </c>
      <c r="F281" s="21">
        <f>-IFERROR(HLOOKUP("Exp_RA",CF_Gen_3[#All],MATCH($B281,CF_Gen_3[[#All],[Incurred]],0),0),0)</f>
        <v>224364.54841663368</v>
      </c>
      <c r="G281" s="21">
        <f>-IFERROR(HLOOKUP("Exp_Expense",CF_Gen_3[#All],MATCH($B281,CF_Gen_3[[#All],[Incurred]],0),0),0)</f>
        <v>356579.3715907213</v>
      </c>
      <c r="H281" s="21">
        <f>-IFERROR(HLOOKUP("Exp_Commission",CF_Gen_3[#All],MATCH($B281,CF_Gen_3[[#All],[Incurred]],0),0),0)-IFERROR(HLOOKUP("Exp_Acquisition",CF_Gen_3[#All],MATCH($B281,CF_Gen_3[[#All],[Incurred]],0),0),0)</f>
        <v>-290203.30607478385</v>
      </c>
      <c r="I281" s="22">
        <f>IF(AND($J281&lt;YEAR($A281),$B281&lt;=$A281),-IFERROR(HLOOKUP("Actual_Commission",CF_Gen_3[#All],MATCH($B281,CF_Gen_3[[#All],[Incurred]],0),0),0)-IFERROR(HLOOKUP("Actual_Acquisition",CF_Gen_3[#All],MATCH($B281,CF_Gen_3[[#All],[Incurred]],0),0),0),0)</f>
        <v>0</v>
      </c>
      <c r="J281" s="27">
        <f>VLOOKUP(L281,ICG[#All],2,0)</f>
        <v>2025</v>
      </c>
      <c r="K281" s="27" t="str">
        <f>VLOOKUP(L281,ICG[#All],3,0)</f>
        <v>IC-Property</v>
      </c>
      <c r="L281" s="27" t="str">
        <f t="shared" si="24"/>
        <v>#2025#IC-Property</v>
      </c>
    </row>
    <row r="282" spans="1:12">
      <c r="A282" s="26">
        <f t="shared" si="22"/>
        <v>45930</v>
      </c>
      <c r="B282" s="26">
        <f t="shared" si="23"/>
        <v>52139</v>
      </c>
      <c r="C282" s="21">
        <f>IFERROR(HLOOKUP("Exp_Premium",CF_Gen_3[#All],MATCH($B282,CF_Gen_3[[#All],[Incurred]],0),0),0)</f>
        <v>-1727016.5897859307</v>
      </c>
      <c r="D282" s="22">
        <f>IF(AND($J282&lt;YEAR($A282),$B282&lt;=$A282),IFERROR(HLOOKUP("Actual_Premium",CF_Gen_3[#All],MATCH($B282,CF_Gen_3[[#All],[Incurred]],0),0),0),0)</f>
        <v>0</v>
      </c>
      <c r="E282" s="21">
        <f>-IFERROR(HLOOKUP("Exp_Claim",CF_Gen_3[#All],MATCH($B282,CF_Gen_3[[#All],[Incurred]],0),0),0)-IFERROR(HLOOKUP("Exp_NPR",CF_Gen_3[#All],MATCH($B282,CF_Gen_3[[#All],[Incurred]],0),0),0)</f>
        <v>1411978.3986821231</v>
      </c>
      <c r="F282" s="21">
        <f>-IFERROR(HLOOKUP("Exp_RA",CF_Gen_3[#All],MATCH($B282,CF_Gen_3[[#All],[Incurred]],0),0),0)</f>
        <v>197676.97581549725</v>
      </c>
      <c r="G282" s="21">
        <f>-IFERROR(HLOOKUP("Exp_Expense",CF_Gen_3[#All],MATCH($B282,CF_Gen_3[[#All],[Incurred]],0),0),0)</f>
        <v>314165.19370677235</v>
      </c>
      <c r="H282" s="21">
        <f>-IFERROR(HLOOKUP("Exp_Commission",CF_Gen_3[#All],MATCH($B282,CF_Gen_3[[#All],[Incurred]],0),0),0)-IFERROR(HLOOKUP("Exp_Acquisition",CF_Gen_3[#All],MATCH($B282,CF_Gen_3[[#All],[Incurred]],0),0),0)</f>
        <v>-249620.72516993858</v>
      </c>
      <c r="I282" s="22">
        <f>IF(AND($J282&lt;YEAR($A282),$B282&lt;=$A282),-IFERROR(HLOOKUP("Actual_Commission",CF_Gen_3[#All],MATCH($B282,CF_Gen_3[[#All],[Incurred]],0),0),0)-IFERROR(HLOOKUP("Actual_Acquisition",CF_Gen_3[#All],MATCH($B282,CF_Gen_3[[#All],[Incurred]],0),0),0),0)</f>
        <v>0</v>
      </c>
      <c r="J282" s="27">
        <f>VLOOKUP(L282,ICG[#All],2,0)</f>
        <v>2025</v>
      </c>
      <c r="K282" s="27" t="str">
        <f>VLOOKUP(L282,ICG[#All],3,0)</f>
        <v>IC-Property</v>
      </c>
      <c r="L282" s="27" t="str">
        <f t="shared" si="24"/>
        <v>#2025#IC-Property</v>
      </c>
    </row>
    <row r="283" spans="1:12">
      <c r="A283" s="26">
        <f t="shared" si="22"/>
        <v>45930</v>
      </c>
      <c r="B283" s="26">
        <f t="shared" si="23"/>
        <v>52231</v>
      </c>
      <c r="C283" s="21">
        <f>IFERROR(HLOOKUP("Exp_Premium",CF_Gen_3[#All],MATCH($B283,CF_Gen_3[[#All],[Incurred]],0),0),0)</f>
        <v>-1482577.3186162298</v>
      </c>
      <c r="D283" s="22">
        <f>IF(AND($J283&lt;YEAR($A283),$B283&lt;=$A283),IFERROR(HLOOKUP("Actual_Premium",CF_Gen_3[#All],MATCH($B283,CF_Gen_3[[#All],[Incurred]],0),0),0),0)</f>
        <v>0</v>
      </c>
      <c r="E283" s="21">
        <f>-IFERROR(HLOOKUP("Exp_Claim",CF_Gen_3[#All],MATCH($B283,CF_Gen_3[[#All],[Incurred]],0),0),0)-IFERROR(HLOOKUP("Exp_NPR",CF_Gen_3[#All],MATCH($B283,CF_Gen_3[[#All],[Incurred]],0),0),0)</f>
        <v>1313139.9107743744</v>
      </c>
      <c r="F283" s="21">
        <f>-IFERROR(HLOOKUP("Exp_RA",CF_Gen_3[#All],MATCH($B283,CF_Gen_3[[#All],[Incurred]],0),0),0)</f>
        <v>183839.58750841243</v>
      </c>
      <c r="G283" s="21">
        <f>-IFERROR(HLOOKUP("Exp_Expense",CF_Gen_3[#All],MATCH($B283,CF_Gen_3[[#All],[Incurred]],0),0),0)</f>
        <v>292173.63014729833</v>
      </c>
      <c r="H283" s="21">
        <f>-IFERROR(HLOOKUP("Exp_Commission",CF_Gen_3[#All],MATCH($B283,CF_Gen_3[[#All],[Incurred]],0),0),0)-IFERROR(HLOOKUP("Exp_Acquisition",CF_Gen_3[#All],MATCH($B283,CF_Gen_3[[#All],[Incurred]],0),0),0)</f>
        <v>-214289.79176127043</v>
      </c>
      <c r="I283" s="22">
        <f>IF(AND($J283&lt;YEAR($A283),$B283&lt;=$A283),-IFERROR(HLOOKUP("Actual_Commission",CF_Gen_3[#All],MATCH($B283,CF_Gen_3[[#All],[Incurred]],0),0),0)-IFERROR(HLOOKUP("Actual_Acquisition",CF_Gen_3[#All],MATCH($B283,CF_Gen_3[[#All],[Incurred]],0),0),0),0)</f>
        <v>0</v>
      </c>
      <c r="J283" s="27">
        <f>VLOOKUP(L283,ICG[#All],2,0)</f>
        <v>2025</v>
      </c>
      <c r="K283" s="27" t="str">
        <f>VLOOKUP(L283,ICG[#All],3,0)</f>
        <v>IC-Property</v>
      </c>
      <c r="L283" s="27" t="str">
        <f t="shared" si="24"/>
        <v>#2025#IC-Property</v>
      </c>
    </row>
    <row r="284" spans="1:12">
      <c r="A284" s="26">
        <f t="shared" si="22"/>
        <v>45930</v>
      </c>
      <c r="B284" s="26">
        <f t="shared" si="23"/>
        <v>52321</v>
      </c>
      <c r="C284" s="21">
        <f>IFERROR(HLOOKUP("Exp_Premium",CF_Gen_3[#All],MATCH($B284,CF_Gen_3[[#All],[Incurred]],0),0),0)</f>
        <v>-1263897.1641203354</v>
      </c>
      <c r="D284" s="22">
        <f>IF(AND($J284&lt;YEAR($A284),$B284&lt;=$A284),IFERROR(HLOOKUP("Actual_Premium",CF_Gen_3[#All],MATCH($B284,CF_Gen_3[[#All],[Incurred]],0),0),0),0)</f>
        <v>0</v>
      </c>
      <c r="E284" s="21">
        <f>-IFERROR(HLOOKUP("Exp_Claim",CF_Gen_3[#All],MATCH($B284,CF_Gen_3[[#All],[Incurred]],0),0),0)-IFERROR(HLOOKUP("Exp_NPR",CF_Gen_3[#All],MATCH($B284,CF_Gen_3[[#All],[Incurred]],0),0),0)</f>
        <v>1153374.5549634921</v>
      </c>
      <c r="F284" s="21">
        <f>-IFERROR(HLOOKUP("Exp_RA",CF_Gen_3[#All],MATCH($B284,CF_Gen_3[[#All],[Incurred]],0),0),0)</f>
        <v>161472.43769488891</v>
      </c>
      <c r="G284" s="21">
        <f>-IFERROR(HLOOKUP("Exp_Expense",CF_Gen_3[#All],MATCH($B284,CF_Gen_3[[#All],[Incurred]],0),0),0)</f>
        <v>256625.83847937698</v>
      </c>
      <c r="H284" s="21">
        <f>-IFERROR(HLOOKUP("Exp_Commission",CF_Gen_3[#All],MATCH($B284,CF_Gen_3[[#All],[Incurred]],0),0),0)-IFERROR(HLOOKUP("Exp_Acquisition",CF_Gen_3[#All],MATCH($B284,CF_Gen_3[[#All],[Incurred]],0),0),0)</f>
        <v>-182682.04747648299</v>
      </c>
      <c r="I284" s="22">
        <f>IF(AND($J284&lt;YEAR($A284),$B284&lt;=$A284),-IFERROR(HLOOKUP("Actual_Commission",CF_Gen_3[#All],MATCH($B284,CF_Gen_3[[#All],[Incurred]],0),0),0)-IFERROR(HLOOKUP("Actual_Acquisition",CF_Gen_3[#All],MATCH($B284,CF_Gen_3[[#All],[Incurred]],0),0),0),0)</f>
        <v>0</v>
      </c>
      <c r="J284" s="27">
        <f>VLOOKUP(L284,ICG[#All],2,0)</f>
        <v>2025</v>
      </c>
      <c r="K284" s="27" t="str">
        <f>VLOOKUP(L284,ICG[#All],3,0)</f>
        <v>IC-Property</v>
      </c>
      <c r="L284" s="27" t="str">
        <f t="shared" si="24"/>
        <v>#2025#IC-Property</v>
      </c>
    </row>
    <row r="285" spans="1:12">
      <c r="A285" s="26">
        <f t="shared" si="22"/>
        <v>45930</v>
      </c>
      <c r="B285" s="26">
        <f t="shared" si="23"/>
        <v>52412</v>
      </c>
      <c r="C285" s="21">
        <f>IFERROR(HLOOKUP("Exp_Premium",CF_Gen_3[#All],MATCH($B285,CF_Gen_3[[#All],[Incurred]],0),0),0)</f>
        <v>-1074504.0890726065</v>
      </c>
      <c r="D285" s="22">
        <f>IF(AND($J285&lt;YEAR($A285),$B285&lt;=$A285),IFERROR(HLOOKUP("Actual_Premium",CF_Gen_3[#All],MATCH($B285,CF_Gen_3[[#All],[Incurred]],0),0),0),0)</f>
        <v>0</v>
      </c>
      <c r="E285" s="21">
        <f>-IFERROR(HLOOKUP("Exp_Claim",CF_Gen_3[#All],MATCH($B285,CF_Gen_3[[#All],[Incurred]],0),0),0)-IFERROR(HLOOKUP("Exp_NPR",CF_Gen_3[#All],MATCH($B285,CF_Gen_3[[#All],[Incurred]],0),0),0)</f>
        <v>1009541.9634033391</v>
      </c>
      <c r="F285" s="21">
        <f>-IFERROR(HLOOKUP("Exp_RA",CF_Gen_3[#All],MATCH($B285,CF_Gen_3[[#All],[Incurred]],0),0),0)</f>
        <v>141335.87487646748</v>
      </c>
      <c r="G285" s="21">
        <f>-IFERROR(HLOOKUP("Exp_Expense",CF_Gen_3[#All],MATCH($B285,CF_Gen_3[[#All],[Incurred]],0),0),0)</f>
        <v>224623.08685724295</v>
      </c>
      <c r="H285" s="21">
        <f>-IFERROR(HLOOKUP("Exp_Commission",CF_Gen_3[#All],MATCH($B285,CF_Gen_3[[#All],[Incurred]],0),0),0)-IFERROR(HLOOKUP("Exp_Acquisition",CF_Gen_3[#All],MATCH($B285,CF_Gen_3[[#All],[Incurred]],0),0),0)</f>
        <v>-155307.41945311305</v>
      </c>
      <c r="I285" s="22">
        <f>IF(AND($J285&lt;YEAR($A285),$B285&lt;=$A285),-IFERROR(HLOOKUP("Actual_Commission",CF_Gen_3[#All],MATCH($B285,CF_Gen_3[[#All],[Incurred]],0),0),0)-IFERROR(HLOOKUP("Actual_Acquisition",CF_Gen_3[#All],MATCH($B285,CF_Gen_3[[#All],[Incurred]],0),0),0),0)</f>
        <v>0</v>
      </c>
      <c r="J285" s="27">
        <f>VLOOKUP(L285,ICG[#All],2,0)</f>
        <v>2025</v>
      </c>
      <c r="K285" s="27" t="str">
        <f>VLOOKUP(L285,ICG[#All],3,0)</f>
        <v>IC-Property</v>
      </c>
      <c r="L285" s="27" t="str">
        <f t="shared" si="24"/>
        <v>#2025#IC-Property</v>
      </c>
    </row>
    <row r="286" spans="1:12">
      <c r="A286" s="26">
        <f t="shared" si="22"/>
        <v>45930</v>
      </c>
      <c r="B286" s="26">
        <f t="shared" si="23"/>
        <v>52504</v>
      </c>
      <c r="C286" s="21">
        <f>IFERROR(HLOOKUP("Exp_Premium",CF_Gen_3[#All],MATCH($B286,CF_Gen_3[[#All],[Incurred]],0),0),0)</f>
        <v>-910953.88103973179</v>
      </c>
      <c r="D286" s="22">
        <f>IF(AND($J286&lt;YEAR($A286),$B286&lt;=$A286),IFERROR(HLOOKUP("Actual_Premium",CF_Gen_3[#All],MATCH($B286,CF_Gen_3[[#All],[Incurred]],0),0),0),0)</f>
        <v>0</v>
      </c>
      <c r="E286" s="21">
        <f>-IFERROR(HLOOKUP("Exp_Claim",CF_Gen_3[#All],MATCH($B286,CF_Gen_3[[#All],[Incurred]],0),0),0)-IFERROR(HLOOKUP("Exp_NPR",CF_Gen_3[#All],MATCH($B286,CF_Gen_3[[#All],[Incurred]],0),0),0)</f>
        <v>880194.39934228605</v>
      </c>
      <c r="F286" s="21">
        <f>-IFERROR(HLOOKUP("Exp_RA",CF_Gen_3[#All],MATCH($B286,CF_Gen_3[[#All],[Incurred]],0),0),0)</f>
        <v>123227.21590792006</v>
      </c>
      <c r="G286" s="21">
        <f>-IFERROR(HLOOKUP("Exp_Expense",CF_Gen_3[#All],MATCH($B286,CF_Gen_3[[#All],[Incurred]],0),0),0)</f>
        <v>195843.25385365862</v>
      </c>
      <c r="H286" s="21">
        <f>-IFERROR(HLOOKUP("Exp_Commission",CF_Gen_3[#All],MATCH($B286,CF_Gen_3[[#All],[Incurred]],0),0),0)-IFERROR(HLOOKUP("Exp_Acquisition",CF_Gen_3[#All],MATCH($B286,CF_Gen_3[[#All],[Incurred]],0),0),0)</f>
        <v>-131668.08571867514</v>
      </c>
      <c r="I286" s="22">
        <f>IF(AND($J286&lt;YEAR($A286),$B286&lt;=$A286),-IFERROR(HLOOKUP("Actual_Commission",CF_Gen_3[#All],MATCH($B286,CF_Gen_3[[#All],[Incurred]],0),0),0)-IFERROR(HLOOKUP("Actual_Acquisition",CF_Gen_3[#All],MATCH($B286,CF_Gen_3[[#All],[Incurred]],0),0),0),0)</f>
        <v>0</v>
      </c>
      <c r="J286" s="27">
        <f>VLOOKUP(L286,ICG[#All],2,0)</f>
        <v>2025</v>
      </c>
      <c r="K286" s="27" t="str">
        <f>VLOOKUP(L286,ICG[#All],3,0)</f>
        <v>IC-Property</v>
      </c>
      <c r="L286" s="27" t="str">
        <f t="shared" si="24"/>
        <v>#2025#IC-Property</v>
      </c>
    </row>
    <row r="287" spans="1:12">
      <c r="A287" s="26">
        <f t="shared" si="22"/>
        <v>45930</v>
      </c>
      <c r="B287" s="26">
        <f t="shared" si="23"/>
        <v>52596</v>
      </c>
      <c r="C287" s="21">
        <f>IFERROR(HLOOKUP("Exp_Premium",CF_Gen_3[#All],MATCH($B287,CF_Gen_3[[#All],[Incurred]],0),0),0)</f>
        <v>-770170.09942450048</v>
      </c>
      <c r="D287" s="22">
        <f>IF(AND($J287&lt;YEAR($A287),$B287&lt;=$A287),IFERROR(HLOOKUP("Actual_Premium",CF_Gen_3[#All],MATCH($B287,CF_Gen_3[[#All],[Incurred]],0),0),0),0)</f>
        <v>0</v>
      </c>
      <c r="E287" s="21">
        <f>-IFERROR(HLOOKUP("Exp_Claim",CF_Gen_3[#All],MATCH($B287,CF_Gen_3[[#All],[Incurred]],0),0),0)-IFERROR(HLOOKUP("Exp_NPR",CF_Gen_3[#All],MATCH($B287,CF_Gen_3[[#All],[Incurred]],0),0),0)</f>
        <v>818580.79138832598</v>
      </c>
      <c r="F287" s="21">
        <f>-IFERROR(HLOOKUP("Exp_RA",CF_Gen_3[#All],MATCH($B287,CF_Gen_3[[#All],[Incurred]],0),0),0)</f>
        <v>114601.31079436565</v>
      </c>
      <c r="G287" s="21">
        <f>-IFERROR(HLOOKUP("Exp_Expense",CF_Gen_3[#All],MATCH($B287,CF_Gen_3[[#All],[Incurred]],0),0),0)</f>
        <v>182134.22608390253</v>
      </c>
      <c r="H287" s="21">
        <f>-IFERROR(HLOOKUP("Exp_Commission",CF_Gen_3[#All],MATCH($B287,CF_Gen_3[[#All],[Incurred]],0),0),0)-IFERROR(HLOOKUP("Exp_Acquisition",CF_Gen_3[#All],MATCH($B287,CF_Gen_3[[#All],[Incurred]],0),0),0)</f>
        <v>-111319.3815621526</v>
      </c>
      <c r="I287" s="22">
        <f>IF(AND($J287&lt;YEAR($A287),$B287&lt;=$A287),-IFERROR(HLOOKUP("Actual_Commission",CF_Gen_3[#All],MATCH($B287,CF_Gen_3[[#All],[Incurred]],0),0),0)-IFERROR(HLOOKUP("Actual_Acquisition",CF_Gen_3[#All],MATCH($B287,CF_Gen_3[[#All],[Incurred]],0),0),0),0)</f>
        <v>0</v>
      </c>
      <c r="J287" s="27">
        <f>VLOOKUP(L287,ICG[#All],2,0)</f>
        <v>2025</v>
      </c>
      <c r="K287" s="27" t="str">
        <f>VLOOKUP(L287,ICG[#All],3,0)</f>
        <v>IC-Property</v>
      </c>
      <c r="L287" s="27" t="str">
        <f t="shared" si="24"/>
        <v>#2025#IC-Property</v>
      </c>
    </row>
    <row r="288" spans="1:12">
      <c r="A288" s="26">
        <f t="shared" si="22"/>
        <v>45930</v>
      </c>
      <c r="B288" s="26">
        <f t="shared" si="23"/>
        <v>52687</v>
      </c>
      <c r="C288" s="21">
        <f>IFERROR(HLOOKUP("Exp_Premium",CF_Gen_3[#All],MATCH($B288,CF_Gen_3[[#All],[Incurred]],0),0),0)</f>
        <v>-644632.37321830681</v>
      </c>
      <c r="D288" s="22">
        <f>IF(AND($J288&lt;YEAR($A288),$B288&lt;=$A288),IFERROR(HLOOKUP("Actual_Premium",CF_Gen_3[#All],MATCH($B288,CF_Gen_3[[#All],[Incurred]],0),0),0),0)</f>
        <v>0</v>
      </c>
      <c r="E288" s="21">
        <f>-IFERROR(HLOOKUP("Exp_Claim",CF_Gen_3[#All],MATCH($B288,CF_Gen_3[[#All],[Incurred]],0),0),0)-IFERROR(HLOOKUP("Exp_NPR",CF_Gen_3[#All],MATCH($B288,CF_Gen_3[[#All],[Incurred]],0),0),0)</f>
        <v>710528.12692506704</v>
      </c>
      <c r="F288" s="21">
        <f>-IFERROR(HLOOKUP("Exp_RA",CF_Gen_3[#All],MATCH($B288,CF_Gen_3[[#All],[Incurred]],0),0),0)</f>
        <v>99473.937769509401</v>
      </c>
      <c r="G288" s="21">
        <f>-IFERROR(HLOOKUP("Exp_Expense",CF_Gen_3[#All],MATCH($B288,CF_Gen_3[[#All],[Incurred]],0),0),0)</f>
        <v>158092.50824082742</v>
      </c>
      <c r="H288" s="21">
        <f>-IFERROR(HLOOKUP("Exp_Commission",CF_Gen_3[#All],MATCH($B288,CF_Gen_3[[#All],[Incurred]],0),0),0)-IFERROR(HLOOKUP("Exp_Acquisition",CF_Gen_3[#All],MATCH($B288,CF_Gen_3[[#All],[Incurred]],0),0),0)</f>
        <v>-93174.322367521716</v>
      </c>
      <c r="I288" s="22">
        <f>IF(AND($J288&lt;YEAR($A288),$B288&lt;=$A288),-IFERROR(HLOOKUP("Actual_Commission",CF_Gen_3[#All],MATCH($B288,CF_Gen_3[[#All],[Incurred]],0),0),0)-IFERROR(HLOOKUP("Actual_Acquisition",CF_Gen_3[#All],MATCH($B288,CF_Gen_3[[#All],[Incurred]],0),0),0),0)</f>
        <v>0</v>
      </c>
      <c r="J288" s="27">
        <f>VLOOKUP(L288,ICG[#All],2,0)</f>
        <v>2025</v>
      </c>
      <c r="K288" s="27" t="str">
        <f>VLOOKUP(L288,ICG[#All],3,0)</f>
        <v>IC-Property</v>
      </c>
      <c r="L288" s="27" t="str">
        <f t="shared" si="24"/>
        <v>#2025#IC-Property</v>
      </c>
    </row>
    <row r="289" spans="1:12">
      <c r="A289" s="26">
        <f t="shared" si="22"/>
        <v>45930</v>
      </c>
      <c r="B289" s="26">
        <f t="shared" si="23"/>
        <v>52778</v>
      </c>
      <c r="C289" s="21">
        <f>IFERROR(HLOOKUP("Exp_Premium",CF_Gen_3[#All],MATCH($B289,CF_Gen_3[[#All],[Incurred]],0),0),0)</f>
        <v>-537336.89598708204</v>
      </c>
      <c r="D289" s="22">
        <f>IF(AND($J289&lt;YEAR($A289),$B289&lt;=$A289),IFERROR(HLOOKUP("Actual_Premium",CF_Gen_3[#All],MATCH($B289,CF_Gen_3[[#All],[Incurred]],0),0),0),0)</f>
        <v>0</v>
      </c>
      <c r="E289" s="21">
        <f>-IFERROR(HLOOKUP("Exp_Claim",CF_Gen_3[#All],MATCH($B289,CF_Gen_3[[#All],[Incurred]],0),0),0)-IFERROR(HLOOKUP("Exp_NPR",CF_Gen_3[#All],MATCH($B289,CF_Gen_3[[#All],[Incurred]],0),0),0)</f>
        <v>613591.78960886144</v>
      </c>
      <c r="F289" s="21">
        <f>-IFERROR(HLOOKUP("Exp_RA",CF_Gen_3[#All],MATCH($B289,CF_Gen_3[[#All],[Incurred]],0),0),0)</f>
        <v>85902.85054524061</v>
      </c>
      <c r="G289" s="21">
        <f>-IFERROR(HLOOKUP("Exp_Expense",CF_Gen_3[#All],MATCH($B289,CF_Gen_3[[#All],[Incurred]],0),0),0)</f>
        <v>136524.17318797167</v>
      </c>
      <c r="H289" s="21">
        <f>-IFERROR(HLOOKUP("Exp_Commission",CF_Gen_3[#All],MATCH($B289,CF_Gen_3[[#All],[Incurred]],0),0),0)-IFERROR(HLOOKUP("Exp_Acquisition",CF_Gen_3[#All],MATCH($B289,CF_Gen_3[[#All],[Incurred]],0),0),0)</f>
        <v>-77665.974044571994</v>
      </c>
      <c r="I289" s="22">
        <f>IF(AND($J289&lt;YEAR($A289),$B289&lt;=$A289),-IFERROR(HLOOKUP("Actual_Commission",CF_Gen_3[#All],MATCH($B289,CF_Gen_3[[#All],[Incurred]],0),0),0)-IFERROR(HLOOKUP("Actual_Acquisition",CF_Gen_3[#All],MATCH($B289,CF_Gen_3[[#All],[Incurred]],0),0),0),0)</f>
        <v>0</v>
      </c>
      <c r="J289" s="27">
        <f>VLOOKUP(L289,ICG[#All],2,0)</f>
        <v>2025</v>
      </c>
      <c r="K289" s="27" t="str">
        <f>VLOOKUP(L289,ICG[#All],3,0)</f>
        <v>IC-Property</v>
      </c>
      <c r="L289" s="27" t="str">
        <f t="shared" si="24"/>
        <v>#2025#IC-Property</v>
      </c>
    </row>
    <row r="290" spans="1:12">
      <c r="A290" s="26">
        <f t="shared" si="22"/>
        <v>45930</v>
      </c>
      <c r="B290" s="26">
        <f t="shared" si="23"/>
        <v>52870</v>
      </c>
      <c r="C290" s="21">
        <f>IFERROR(HLOOKUP("Exp_Premium",CF_Gen_3[#All],MATCH($B290,CF_Gen_3[[#All],[Incurred]],0),0),0)</f>
        <v>-446034.03167721094</v>
      </c>
      <c r="D290" s="22">
        <f>IF(AND($J290&lt;YEAR($A290),$B290&lt;=$A290),IFERROR(HLOOKUP("Actual_Premium",CF_Gen_3[#All],MATCH($B290,CF_Gen_3[[#All],[Incurred]],0),0),0),0)</f>
        <v>0</v>
      </c>
      <c r="E290" s="21">
        <f>-IFERROR(HLOOKUP("Exp_Claim",CF_Gen_3[#All],MATCH($B290,CF_Gen_3[[#All],[Incurred]],0),0),0)-IFERROR(HLOOKUP("Exp_NPR",CF_Gen_3[#All],MATCH($B290,CF_Gen_3[[#All],[Incurred]],0),0),0)</f>
        <v>526744.95169499179</v>
      </c>
      <c r="F290" s="21">
        <f>-IFERROR(HLOOKUP("Exp_RA",CF_Gen_3[#All],MATCH($B290,CF_Gen_3[[#All],[Incurred]],0),0),0)</f>
        <v>73744.293237298858</v>
      </c>
      <c r="G290" s="21">
        <f>-IFERROR(HLOOKUP("Exp_Expense",CF_Gen_3[#All],MATCH($B290,CF_Gen_3[[#All],[Incurred]],0),0),0)</f>
        <v>117200.75175213566</v>
      </c>
      <c r="H290" s="21">
        <f>-IFERROR(HLOOKUP("Exp_Commission",CF_Gen_3[#All],MATCH($B290,CF_Gen_3[[#All],[Incurred]],0),0),0)-IFERROR(HLOOKUP("Exp_Acquisition",CF_Gen_3[#All],MATCH($B290,CF_Gen_3[[#All],[Incurred]],0),0),0)</f>
        <v>-64469.177132535624</v>
      </c>
      <c r="I290" s="22">
        <f>IF(AND($J290&lt;YEAR($A290),$B290&lt;=$A290),-IFERROR(HLOOKUP("Actual_Commission",CF_Gen_3[#All],MATCH($B290,CF_Gen_3[[#All],[Incurred]],0),0),0)-IFERROR(HLOOKUP("Actual_Acquisition",CF_Gen_3[#All],MATCH($B290,CF_Gen_3[[#All],[Incurred]],0),0),0),0)</f>
        <v>0</v>
      </c>
      <c r="J290" s="27">
        <f>VLOOKUP(L290,ICG[#All],2,0)</f>
        <v>2025</v>
      </c>
      <c r="K290" s="27" t="str">
        <f>VLOOKUP(L290,ICG[#All],3,0)</f>
        <v>IC-Property</v>
      </c>
      <c r="L290" s="27" t="str">
        <f t="shared" si="24"/>
        <v>#2025#IC-Property</v>
      </c>
    </row>
    <row r="291" spans="1:12">
      <c r="A291" s="26">
        <f t="shared" si="22"/>
        <v>45930</v>
      </c>
      <c r="B291" s="26">
        <f t="shared" si="23"/>
        <v>52962</v>
      </c>
      <c r="C291" s="21">
        <f>IFERROR(HLOOKUP("Exp_Premium",CF_Gen_3[#All],MATCH($B291,CF_Gen_3[[#All],[Incurred]],0),0),0)</f>
        <v>-368721.46618649433</v>
      </c>
      <c r="D291" s="22">
        <f>IF(AND($J291&lt;YEAR($A291),$B291&lt;=$A291),IFERROR(HLOOKUP("Actual_Premium",CF_Gen_3[#All],MATCH($B291,CF_Gen_3[[#All],[Incurred]],0),0),0),0)</f>
        <v>0</v>
      </c>
      <c r="E291" s="21">
        <f>-IFERROR(HLOOKUP("Exp_Claim",CF_Gen_3[#All],MATCH($B291,CF_Gen_3[[#All],[Incurred]],0),0),0)-IFERROR(HLOOKUP("Exp_NPR",CF_Gen_3[#All],MATCH($B291,CF_Gen_3[[#All],[Incurred]],0),0),0)</f>
        <v>489872.80507634231</v>
      </c>
      <c r="F291" s="21">
        <f>-IFERROR(HLOOKUP("Exp_RA",CF_Gen_3[#All],MATCH($B291,CF_Gen_3[[#All],[Incurred]],0),0),0)</f>
        <v>68582.19271068793</v>
      </c>
      <c r="G291" s="21">
        <f>-IFERROR(HLOOKUP("Exp_Expense",CF_Gen_3[#All],MATCH($B291,CF_Gen_3[[#All],[Incurred]],0),0),0)</f>
        <v>108996.69912948617</v>
      </c>
      <c r="H291" s="21">
        <f>-IFERROR(HLOOKUP("Exp_Commission",CF_Gen_3[#All],MATCH($B291,CF_Gen_3[[#All],[Incurred]],0),0),0)-IFERROR(HLOOKUP("Exp_Acquisition",CF_Gen_3[#All],MATCH($B291,CF_Gen_3[[#All],[Incurred]],0),0),0)</f>
        <v>-53294.51976289611</v>
      </c>
      <c r="I291" s="22">
        <f>IF(AND($J291&lt;YEAR($A291),$B291&lt;=$A291),-IFERROR(HLOOKUP("Actual_Commission",CF_Gen_3[#All],MATCH($B291,CF_Gen_3[[#All],[Incurred]],0),0),0)-IFERROR(HLOOKUP("Actual_Acquisition",CF_Gen_3[#All],MATCH($B291,CF_Gen_3[[#All],[Incurred]],0),0),0),0)</f>
        <v>0</v>
      </c>
      <c r="J291" s="27">
        <f>VLOOKUP(L291,ICG[#All],2,0)</f>
        <v>2025</v>
      </c>
      <c r="K291" s="27" t="str">
        <f>VLOOKUP(L291,ICG[#All],3,0)</f>
        <v>IC-Property</v>
      </c>
      <c r="L291" s="27" t="str">
        <f t="shared" si="24"/>
        <v>#2025#IC-Property</v>
      </c>
    </row>
    <row r="292" spans="1:12">
      <c r="A292" s="26">
        <f t="shared" si="22"/>
        <v>45930</v>
      </c>
      <c r="B292" s="26">
        <f t="shared" si="23"/>
        <v>53052</v>
      </c>
      <c r="C292" s="21">
        <f>IFERROR(HLOOKUP("Exp_Premium",CF_Gen_3[#All],MATCH($B292,CF_Gen_3[[#All],[Incurred]],0),0),0)</f>
        <v>-300047.09310925973</v>
      </c>
      <c r="D292" s="22">
        <f>IF(AND($J292&lt;YEAR($A292),$B292&lt;=$A292),IFERROR(HLOOKUP("Actual_Premium",CF_Gen_3[#All],MATCH($B292,CF_Gen_3[[#All],[Incurred]],0),0),0),0)</f>
        <v>0</v>
      </c>
      <c r="E292" s="21">
        <f>-IFERROR(HLOOKUP("Exp_Claim",CF_Gen_3[#All],MATCH($B292,CF_Gen_3[[#All],[Incurred]],0),0),0)-IFERROR(HLOOKUP("Exp_NPR",CF_Gen_3[#All],MATCH($B292,CF_Gen_3[[#All],[Incurred]],0),0),0)</f>
        <v>417616.56632758182</v>
      </c>
      <c r="F292" s="21">
        <f>-IFERROR(HLOOKUP("Exp_RA",CF_Gen_3[#All],MATCH($B292,CF_Gen_3[[#All],[Incurred]],0),0),0)</f>
        <v>58466.319285861464</v>
      </c>
      <c r="G292" s="21">
        <f>-IFERROR(HLOOKUP("Exp_Expense",CF_Gen_3[#All],MATCH($B292,CF_Gen_3[[#All],[Incurred]],0),0),0)</f>
        <v>92919.68600788695</v>
      </c>
      <c r="H292" s="21">
        <f>-IFERROR(HLOOKUP("Exp_Commission",CF_Gen_3[#All],MATCH($B292,CF_Gen_3[[#All],[Incurred]],0),0),0)-IFERROR(HLOOKUP("Exp_Acquisition",CF_Gen_3[#All],MATCH($B292,CF_Gen_3[[#All],[Incurred]],0),0),0)</f>
        <v>-43368.415457056704</v>
      </c>
      <c r="I292" s="22">
        <f>IF(AND($J292&lt;YEAR($A292),$B292&lt;=$A292),-IFERROR(HLOOKUP("Actual_Commission",CF_Gen_3[#All],MATCH($B292,CF_Gen_3[[#All],[Incurred]],0),0),0)-IFERROR(HLOOKUP("Actual_Acquisition",CF_Gen_3[#All],MATCH($B292,CF_Gen_3[[#All],[Incurred]],0),0),0),0)</f>
        <v>0</v>
      </c>
      <c r="J292" s="27">
        <f>VLOOKUP(L292,ICG[#All],2,0)</f>
        <v>2025</v>
      </c>
      <c r="K292" s="27" t="str">
        <f>VLOOKUP(L292,ICG[#All],3,0)</f>
        <v>IC-Property</v>
      </c>
      <c r="L292" s="27" t="str">
        <f t="shared" si="24"/>
        <v>#2025#IC-Property</v>
      </c>
    </row>
    <row r="293" spans="1:12">
      <c r="A293" s="26">
        <f t="shared" si="22"/>
        <v>45930</v>
      </c>
      <c r="B293" s="26">
        <f t="shared" si="23"/>
        <v>53143</v>
      </c>
      <c r="C293" s="21">
        <f>IFERROR(HLOOKUP("Exp_Premium",CF_Gen_3[#All],MATCH($B293,CF_Gen_3[[#All],[Incurred]],0),0),0)</f>
        <v>-242502.34703794817</v>
      </c>
      <c r="D293" s="22">
        <f>IF(AND($J293&lt;YEAR($A293),$B293&lt;=$A293),IFERROR(HLOOKUP("Actual_Premium",CF_Gen_3[#All],MATCH($B293,CF_Gen_3[[#All],[Incurred]],0),0),0),0)</f>
        <v>0</v>
      </c>
      <c r="E293" s="21">
        <f>-IFERROR(HLOOKUP("Exp_Claim",CF_Gen_3[#All],MATCH($B293,CF_Gen_3[[#All],[Incurred]],0),0),0)-IFERROR(HLOOKUP("Exp_NPR",CF_Gen_3[#All],MATCH($B293,CF_Gen_3[[#All],[Incurred]],0),0),0)</f>
        <v>353075.8242587737</v>
      </c>
      <c r="F293" s="21">
        <f>-IFERROR(HLOOKUP("Exp_RA",CF_Gen_3[#All],MATCH($B293,CF_Gen_3[[#All],[Incurred]],0),0),0)</f>
        <v>49430.615396228321</v>
      </c>
      <c r="G293" s="21">
        <f>-IFERROR(HLOOKUP("Exp_Expense",CF_Gen_3[#All],MATCH($B293,CF_Gen_3[[#All],[Incurred]],0),0),0)</f>
        <v>78559.370897577144</v>
      </c>
      <c r="H293" s="21">
        <f>-IFERROR(HLOOKUP("Exp_Commission",CF_Gen_3[#All],MATCH($B293,CF_Gen_3[[#All],[Incurred]],0),0),0)-IFERROR(HLOOKUP("Exp_Acquisition",CF_Gen_3[#All],MATCH($B293,CF_Gen_3[[#All],[Incurred]],0),0),0)</f>
        <v>-35050.972921185472</v>
      </c>
      <c r="I293" s="22">
        <f>IF(AND($J293&lt;YEAR($A293),$B293&lt;=$A293),-IFERROR(HLOOKUP("Actual_Commission",CF_Gen_3[#All],MATCH($B293,CF_Gen_3[[#All],[Incurred]],0),0),0)-IFERROR(HLOOKUP("Actual_Acquisition",CF_Gen_3[#All],MATCH($B293,CF_Gen_3[[#All],[Incurred]],0),0),0),0)</f>
        <v>0</v>
      </c>
      <c r="J293" s="27">
        <f>VLOOKUP(L293,ICG[#All],2,0)</f>
        <v>2025</v>
      </c>
      <c r="K293" s="27" t="str">
        <f>VLOOKUP(L293,ICG[#All],3,0)</f>
        <v>IC-Property</v>
      </c>
      <c r="L293" s="27" t="str">
        <f t="shared" si="24"/>
        <v>#2025#IC-Property</v>
      </c>
    </row>
    <row r="294" spans="1:12">
      <c r="A294" s="26">
        <f t="shared" si="22"/>
        <v>45930</v>
      </c>
      <c r="B294" s="26">
        <f t="shared" si="23"/>
        <v>53235</v>
      </c>
      <c r="C294" s="21">
        <f>IFERROR(HLOOKUP("Exp_Premium",CF_Gen_3[#All],MATCH($B294,CF_Gen_3[[#All],[Incurred]],0),0),0)</f>
        <v>-194633.04812264896</v>
      </c>
      <c r="D294" s="22">
        <f>IF(AND($J294&lt;YEAR($A294),$B294&lt;=$A294),IFERROR(HLOOKUP("Actual_Premium",CF_Gen_3[#All],MATCH($B294,CF_Gen_3[[#All],[Incurred]],0),0),0),0)</f>
        <v>0</v>
      </c>
      <c r="E294" s="21">
        <f>-IFERROR(HLOOKUP("Exp_Claim",CF_Gen_3[#All],MATCH($B294,CF_Gen_3[[#All],[Incurred]],0),0),0)-IFERROR(HLOOKUP("Exp_NPR",CF_Gen_3[#All],MATCH($B294,CF_Gen_3[[#All],[Incurred]],0),0),0)</f>
        <v>295524.46490459359</v>
      </c>
      <c r="F294" s="21">
        <f>-IFERROR(HLOOKUP("Exp_RA",CF_Gen_3[#All],MATCH($B294,CF_Gen_3[[#All],[Incurred]],0),0),0)</f>
        <v>41373.42508664311</v>
      </c>
      <c r="G294" s="21">
        <f>-IFERROR(HLOOKUP("Exp_Expense",CF_Gen_3[#All],MATCH($B294,CF_Gen_3[[#All],[Incurred]],0),0),0)</f>
        <v>65754.193441272073</v>
      </c>
      <c r="H294" s="21">
        <f>-IFERROR(HLOOKUP("Exp_Commission",CF_Gen_3[#All],MATCH($B294,CF_Gen_3[[#All],[Incurred]],0),0),0)-IFERROR(HLOOKUP("Exp_Acquisition",CF_Gen_3[#All],MATCH($B294,CF_Gen_3[[#All],[Incurred]],0),0),0)</f>
        <v>-28132.006896606257</v>
      </c>
      <c r="I294" s="22">
        <f>IF(AND($J294&lt;YEAR($A294),$B294&lt;=$A294),-IFERROR(HLOOKUP("Actual_Commission",CF_Gen_3[#All],MATCH($B294,CF_Gen_3[[#All],[Incurred]],0),0),0)-IFERROR(HLOOKUP("Actual_Acquisition",CF_Gen_3[#All],MATCH($B294,CF_Gen_3[[#All],[Incurred]],0),0),0),0)</f>
        <v>0</v>
      </c>
      <c r="J294" s="27">
        <f>VLOOKUP(L294,ICG[#All],2,0)</f>
        <v>2025</v>
      </c>
      <c r="K294" s="27" t="str">
        <f>VLOOKUP(L294,ICG[#All],3,0)</f>
        <v>IC-Property</v>
      </c>
      <c r="L294" s="27" t="str">
        <f t="shared" si="24"/>
        <v>#2025#IC-Property</v>
      </c>
    </row>
    <row r="295" spans="1:12">
      <c r="A295" s="26">
        <f t="shared" si="22"/>
        <v>45930</v>
      </c>
      <c r="B295" s="26">
        <f t="shared" si="23"/>
        <v>53327</v>
      </c>
      <c r="C295" s="21">
        <f>IFERROR(HLOOKUP("Exp_Premium",CF_Gen_3[#All],MATCH($B295,CF_Gen_3[[#All],[Incurred]],0),0),0)</f>
        <v>-155150.34407491161</v>
      </c>
      <c r="D295" s="22">
        <f>IF(AND($J295&lt;YEAR($A295),$B295&lt;=$A295),IFERROR(HLOOKUP("Actual_Premium",CF_Gen_3[#All],MATCH($B295,CF_Gen_3[[#All],[Incurred]],0),0),0),0)</f>
        <v>0</v>
      </c>
      <c r="E295" s="21">
        <f>-IFERROR(HLOOKUP("Exp_Claim",CF_Gen_3[#All],MATCH($B295,CF_Gen_3[[#All],[Incurred]],0),0),0)-IFERROR(HLOOKUP("Exp_NPR",CF_Gen_3[#All],MATCH($B295,CF_Gen_3[[#All],[Incurred]],0),0),0)</f>
        <v>274837.75236127205</v>
      </c>
      <c r="F295" s="21">
        <f>-IFERROR(HLOOKUP("Exp_RA",CF_Gen_3[#All],MATCH($B295,CF_Gen_3[[#All],[Incurred]],0),0),0)</f>
        <v>38477.285330578088</v>
      </c>
      <c r="G295" s="21">
        <f>-IFERROR(HLOOKUP("Exp_Expense",CF_Gen_3[#All],MATCH($B295,CF_Gen_3[[#All],[Incurred]],0),0),0)</f>
        <v>61151.399900383025</v>
      </c>
      <c r="H295" s="21">
        <f>-IFERROR(HLOOKUP("Exp_Commission",CF_Gen_3[#All],MATCH($B295,CF_Gen_3[[#All],[Incurred]],0),0),0)-IFERROR(HLOOKUP("Exp_Acquisition",CF_Gen_3[#All],MATCH($B295,CF_Gen_3[[#All],[Incurred]],0),0),0)</f>
        <v>-22425.228354723269</v>
      </c>
      <c r="I295" s="22">
        <f>IF(AND($J295&lt;YEAR($A295),$B295&lt;=$A295),-IFERROR(HLOOKUP("Actual_Commission",CF_Gen_3[#All],MATCH($B295,CF_Gen_3[[#All],[Incurred]],0),0),0)-IFERROR(HLOOKUP("Actual_Acquisition",CF_Gen_3[#All],MATCH($B295,CF_Gen_3[[#All],[Incurred]],0),0),0),0)</f>
        <v>0</v>
      </c>
      <c r="J295" s="27">
        <f>VLOOKUP(L295,ICG[#All],2,0)</f>
        <v>2025</v>
      </c>
      <c r="K295" s="27" t="str">
        <f>VLOOKUP(L295,ICG[#All],3,0)</f>
        <v>IC-Property</v>
      </c>
      <c r="L295" s="27" t="str">
        <f t="shared" si="24"/>
        <v>#2025#IC-Property</v>
      </c>
    </row>
    <row r="296" spans="1:12">
      <c r="A296" s="26">
        <f t="shared" si="22"/>
        <v>45930</v>
      </c>
      <c r="B296" s="26">
        <f t="shared" si="23"/>
        <v>53417</v>
      </c>
      <c r="C296" s="21">
        <f>IFERROR(HLOOKUP("Exp_Premium",CF_Gen_3[#All],MATCH($B296,CF_Gen_3[[#All],[Incurred]],0),0),0)</f>
        <v>-120241.5166580565</v>
      </c>
      <c r="D296" s="22">
        <f>IF(AND($J296&lt;YEAR($A296),$B296&lt;=$A296),IFERROR(HLOOKUP("Actual_Premium",CF_Gen_3[#All],MATCH($B296,CF_Gen_3[[#All],[Incurred]],0),0),0),0)</f>
        <v>0</v>
      </c>
      <c r="E296" s="21">
        <f>-IFERROR(HLOOKUP("Exp_Claim",CF_Gen_3[#All],MATCH($B296,CF_Gen_3[[#All],[Incurred]],0),0),0)-IFERROR(HLOOKUP("Exp_NPR",CF_Gen_3[#All],MATCH($B296,CF_Gen_3[[#All],[Incurred]],0),0),0)</f>
        <v>227199.20861865152</v>
      </c>
      <c r="F296" s="21">
        <f>-IFERROR(HLOOKUP("Exp_RA",CF_Gen_3[#All],MATCH($B296,CF_Gen_3[[#All],[Incurred]],0),0),0)</f>
        <v>31807.889206611217</v>
      </c>
      <c r="G296" s="21">
        <f>-IFERROR(HLOOKUP("Exp_Expense",CF_Gen_3[#All],MATCH($B296,CF_Gen_3[[#All],[Incurred]],0),0),0)</f>
        <v>50551.823917649963</v>
      </c>
      <c r="H296" s="21">
        <f>-IFERROR(HLOOKUP("Exp_Commission",CF_Gen_3[#All],MATCH($B296,CF_Gen_3[[#All],[Incurred]],0),0),0)-IFERROR(HLOOKUP("Exp_Acquisition",CF_Gen_3[#All],MATCH($B296,CF_Gen_3[[#All],[Incurred]],0),0),0)</f>
        <v>-17379.551974910533</v>
      </c>
      <c r="I296" s="22">
        <f>IF(AND($J296&lt;YEAR($A296),$B296&lt;=$A296),-IFERROR(HLOOKUP("Actual_Commission",CF_Gen_3[#All],MATCH($B296,CF_Gen_3[[#All],[Incurred]],0),0),0)-IFERROR(HLOOKUP("Actual_Acquisition",CF_Gen_3[#All],MATCH($B296,CF_Gen_3[[#All],[Incurred]],0),0),0),0)</f>
        <v>0</v>
      </c>
      <c r="J296" s="27">
        <f>VLOOKUP(L296,ICG[#All],2,0)</f>
        <v>2025</v>
      </c>
      <c r="K296" s="27" t="str">
        <f>VLOOKUP(L296,ICG[#All],3,0)</f>
        <v>IC-Property</v>
      </c>
      <c r="L296" s="27" t="str">
        <f t="shared" si="24"/>
        <v>#2025#IC-Property</v>
      </c>
    </row>
    <row r="297" spans="1:12">
      <c r="A297" s="26">
        <f t="shared" si="22"/>
        <v>45930</v>
      </c>
      <c r="B297" s="26">
        <f t="shared" si="23"/>
        <v>53508</v>
      </c>
      <c r="C297" s="21">
        <f>IFERROR(HLOOKUP("Exp_Premium",CF_Gen_3[#All],MATCH($B297,CF_Gen_3[[#All],[Incurred]],0),0),0)</f>
        <v>-91944.679737860526</v>
      </c>
      <c r="D297" s="22">
        <f>IF(AND($J297&lt;YEAR($A297),$B297&lt;=$A297),IFERROR(HLOOKUP("Actual_Premium",CF_Gen_3[#All],MATCH($B297,CF_Gen_3[[#All],[Incurred]],0),0),0),0)</f>
        <v>0</v>
      </c>
      <c r="E297" s="21">
        <f>-IFERROR(HLOOKUP("Exp_Claim",CF_Gen_3[#All],MATCH($B297,CF_Gen_3[[#All],[Incurred]],0),0),0)-IFERROR(HLOOKUP("Exp_NPR",CF_Gen_3[#All],MATCH($B297,CF_Gen_3[[#All],[Incurred]],0),0),0)</f>
        <v>184883.3560134276</v>
      </c>
      <c r="F297" s="21">
        <f>-IFERROR(HLOOKUP("Exp_RA",CF_Gen_3[#All],MATCH($B297,CF_Gen_3[[#All],[Incurred]],0),0),0)</f>
        <v>25883.669841879866</v>
      </c>
      <c r="G297" s="21">
        <f>-IFERROR(HLOOKUP("Exp_Expense",CF_Gen_3[#All],MATCH($B297,CF_Gen_3[[#All],[Incurred]],0),0),0)</f>
        <v>41136.546712987642</v>
      </c>
      <c r="H297" s="21">
        <f>-IFERROR(HLOOKUP("Exp_Commission",CF_Gen_3[#All],MATCH($B297,CF_Gen_3[[#All],[Incurred]],0),0),0)-IFERROR(HLOOKUP("Exp_Acquisition",CF_Gen_3[#All],MATCH($B297,CF_Gen_3[[#All],[Incurred]],0),0),0)</f>
        <v>-13289.564076814919</v>
      </c>
      <c r="I297" s="22">
        <f>IF(AND($J297&lt;YEAR($A297),$B297&lt;=$A297),-IFERROR(HLOOKUP("Actual_Commission",CF_Gen_3[#All],MATCH($B297,CF_Gen_3[[#All],[Incurred]],0),0),0)-IFERROR(HLOOKUP("Actual_Acquisition",CF_Gen_3[#All],MATCH($B297,CF_Gen_3[[#All],[Incurred]],0),0),0),0)</f>
        <v>0</v>
      </c>
      <c r="J297" s="27">
        <f>VLOOKUP(L297,ICG[#All],2,0)</f>
        <v>2025</v>
      </c>
      <c r="K297" s="27" t="str">
        <f>VLOOKUP(L297,ICG[#All],3,0)</f>
        <v>IC-Property</v>
      </c>
      <c r="L297" s="27" t="str">
        <f t="shared" si="24"/>
        <v>#2025#IC-Property</v>
      </c>
    </row>
    <row r="298" spans="1:12">
      <c r="A298" s="26">
        <f t="shared" si="22"/>
        <v>45930</v>
      </c>
      <c r="B298" s="26">
        <f t="shared" si="23"/>
        <v>53600</v>
      </c>
      <c r="C298" s="21">
        <f>IFERROR(HLOOKUP("Exp_Premium",CF_Gen_3[#All],MATCH($B298,CF_Gen_3[[#All],[Incurred]],0),0),0)</f>
        <v>-69331.258505035366</v>
      </c>
      <c r="D298" s="22">
        <f>IF(AND($J298&lt;YEAR($A298),$B298&lt;=$A298),IFERROR(HLOOKUP("Actual_Premium",CF_Gen_3[#All],MATCH($B298,CF_Gen_3[[#All],[Incurred]],0),0),0),0)</f>
        <v>0</v>
      </c>
      <c r="E298" s="21">
        <f>-IFERROR(HLOOKUP("Exp_Claim",CF_Gen_3[#All],MATCH($B298,CF_Gen_3[[#All],[Incurred]],0),0),0)-IFERROR(HLOOKUP("Exp_NPR",CF_Gen_3[#All],MATCH($B298,CF_Gen_3[[#All],[Incurred]],0),0),0)</f>
        <v>147378.44665070376</v>
      </c>
      <c r="F298" s="21">
        <f>-IFERROR(HLOOKUP("Exp_RA",CF_Gen_3[#All],MATCH($B298,CF_Gen_3[[#All],[Incurred]],0),0),0)</f>
        <v>20632.982531098529</v>
      </c>
      <c r="G298" s="21">
        <f>-IFERROR(HLOOKUP("Exp_Expense",CF_Gen_3[#All],MATCH($B298,CF_Gen_3[[#All],[Incurred]],0),0),0)</f>
        <v>32791.704379781586</v>
      </c>
      <c r="H298" s="21">
        <f>-IFERROR(HLOOKUP("Exp_Commission",CF_Gen_3[#All],MATCH($B298,CF_Gen_3[[#All],[Incurred]],0),0),0)-IFERROR(HLOOKUP("Exp_Acquisition",CF_Gen_3[#All],MATCH($B298,CF_Gen_3[[#All],[Incurred]],0),0),0)</f>
        <v>-10021.049668733413</v>
      </c>
      <c r="I298" s="22">
        <f>IF(AND($J298&lt;YEAR($A298),$B298&lt;=$A298),-IFERROR(HLOOKUP("Actual_Commission",CF_Gen_3[#All],MATCH($B298,CF_Gen_3[[#All],[Incurred]],0),0),0)-IFERROR(HLOOKUP("Actual_Acquisition",CF_Gen_3[#All],MATCH($B298,CF_Gen_3[[#All],[Incurred]],0),0),0),0)</f>
        <v>0</v>
      </c>
      <c r="J298" s="27">
        <f>VLOOKUP(L298,ICG[#All],2,0)</f>
        <v>2025</v>
      </c>
      <c r="K298" s="27" t="str">
        <f>VLOOKUP(L298,ICG[#All],3,0)</f>
        <v>IC-Property</v>
      </c>
      <c r="L298" s="27" t="str">
        <f t="shared" si="24"/>
        <v>#2025#IC-Property</v>
      </c>
    </row>
    <row r="299" spans="1:12">
      <c r="A299" s="26">
        <f t="shared" si="22"/>
        <v>45930</v>
      </c>
      <c r="B299" s="26">
        <f t="shared" si="23"/>
        <v>53692</v>
      </c>
      <c r="C299" s="21">
        <f>IFERROR(HLOOKUP("Exp_Premium",CF_Gen_3[#All],MATCH($B299,CF_Gen_3[[#All],[Incurred]],0),0),0)</f>
        <v>-51582.456327746309</v>
      </c>
      <c r="D299" s="22">
        <f>IF(AND($J299&lt;YEAR($A299),$B299&lt;=$A299),IFERROR(HLOOKUP("Actual_Premium",CF_Gen_3[#All],MATCH($B299,CF_Gen_3[[#All],[Incurred]],0),0),0),0)</f>
        <v>0</v>
      </c>
      <c r="E299" s="21">
        <f>-IFERROR(HLOOKUP("Exp_Claim",CF_Gen_3[#All],MATCH($B299,CF_Gen_3[[#All],[Incurred]],0),0),0)-IFERROR(HLOOKUP("Exp_NPR",CF_Gen_3[#All],MATCH($B299,CF_Gen_3[[#All],[Incurred]],0),0),0)</f>
        <v>137061.95538515446</v>
      </c>
      <c r="F299" s="21">
        <f>-IFERROR(HLOOKUP("Exp_RA",CF_Gen_3[#All],MATCH($B299,CF_Gen_3[[#All],[Incurred]],0),0),0)</f>
        <v>19188.673753921626</v>
      </c>
      <c r="G299" s="21">
        <f>-IFERROR(HLOOKUP("Exp_Expense",CF_Gen_3[#All],MATCH($B299,CF_Gen_3[[#All],[Incurred]],0),0),0)</f>
        <v>30496.285073196865</v>
      </c>
      <c r="H299" s="21">
        <f>-IFERROR(HLOOKUP("Exp_Commission",CF_Gen_3[#All],MATCH($B299,CF_Gen_3[[#All],[Incurred]],0),0),0)-IFERROR(HLOOKUP("Exp_Acquisition",CF_Gen_3[#All],MATCH($B299,CF_Gen_3[[#All],[Incurred]],0),0),0)</f>
        <v>-7455.6609535376574</v>
      </c>
      <c r="I299" s="22">
        <f>IF(AND($J299&lt;YEAR($A299),$B299&lt;=$A299),-IFERROR(HLOOKUP("Actual_Commission",CF_Gen_3[#All],MATCH($B299,CF_Gen_3[[#All],[Incurred]],0),0),0)-IFERROR(HLOOKUP("Actual_Acquisition",CF_Gen_3[#All],MATCH($B299,CF_Gen_3[[#All],[Incurred]],0),0),0),0)</f>
        <v>0</v>
      </c>
      <c r="J299" s="27">
        <f>VLOOKUP(L299,ICG[#All],2,0)</f>
        <v>2025</v>
      </c>
      <c r="K299" s="27" t="str">
        <f>VLOOKUP(L299,ICG[#All],3,0)</f>
        <v>IC-Property</v>
      </c>
      <c r="L299" s="27" t="str">
        <f t="shared" si="24"/>
        <v>#2025#IC-Property</v>
      </c>
    </row>
    <row r="300" spans="1:12">
      <c r="A300" s="26">
        <f t="shared" si="22"/>
        <v>45930</v>
      </c>
      <c r="B300" s="26">
        <f t="shared" si="23"/>
        <v>53782</v>
      </c>
      <c r="C300" s="21">
        <f>IFERROR(HLOOKUP("Exp_Premium",CF_Gen_3[#All],MATCH($B300,CF_Gen_3[[#All],[Incurred]],0),0),0)</f>
        <v>-35978.763288603048</v>
      </c>
      <c r="D300" s="22">
        <f>IF(AND($J300&lt;YEAR($A300),$B300&lt;=$A300),IFERROR(HLOOKUP("Actual_Premium",CF_Gen_3[#All],MATCH($B300,CF_Gen_3[[#All],[Incurred]],0),0),0),0)</f>
        <v>0</v>
      </c>
      <c r="E300" s="21">
        <f>-IFERROR(HLOOKUP("Exp_Claim",CF_Gen_3[#All],MATCH($B300,CF_Gen_3[[#All],[Incurred]],0),0),0)-IFERROR(HLOOKUP("Exp_NPR",CF_Gen_3[#All],MATCH($B300,CF_Gen_3[[#All],[Incurred]],0),0),0)</f>
        <v>106223.0154234947</v>
      </c>
      <c r="F300" s="21">
        <f>-IFERROR(HLOOKUP("Exp_RA",CF_Gen_3[#All],MATCH($B300,CF_Gen_3[[#All],[Incurred]],0),0),0)</f>
        <v>14871.222159289258</v>
      </c>
      <c r="G300" s="21">
        <f>-IFERROR(HLOOKUP("Exp_Expense",CF_Gen_3[#All],MATCH($B300,CF_Gen_3[[#All],[Incurred]],0),0),0)</f>
        <v>23634.620931727568</v>
      </c>
      <c r="H300" s="21">
        <f>-IFERROR(HLOOKUP("Exp_Commission",CF_Gen_3[#All],MATCH($B300,CF_Gen_3[[#All],[Incurred]],0),0),0)-IFERROR(HLOOKUP("Exp_Acquisition",CF_Gen_3[#All],MATCH($B300,CF_Gen_3[[#All],[Incurred]],0),0),0)</f>
        <v>-5200.3235150925157</v>
      </c>
      <c r="I300" s="22">
        <f>IF(AND($J300&lt;YEAR($A300),$B300&lt;=$A300),-IFERROR(HLOOKUP("Actual_Commission",CF_Gen_3[#All],MATCH($B300,CF_Gen_3[[#All],[Incurred]],0),0),0)-IFERROR(HLOOKUP("Actual_Acquisition",CF_Gen_3[#All],MATCH($B300,CF_Gen_3[[#All],[Incurred]],0),0),0),0)</f>
        <v>0</v>
      </c>
      <c r="J300" s="27">
        <f>VLOOKUP(L300,ICG[#All],2,0)</f>
        <v>2025</v>
      </c>
      <c r="K300" s="27" t="str">
        <f>VLOOKUP(L300,ICG[#All],3,0)</f>
        <v>IC-Property</v>
      </c>
      <c r="L300" s="27" t="str">
        <f t="shared" si="24"/>
        <v>#2025#IC-Property</v>
      </c>
    </row>
    <row r="301" spans="1:12">
      <c r="A301" s="26">
        <f t="shared" si="22"/>
        <v>45930</v>
      </c>
      <c r="B301" s="26">
        <f t="shared" si="23"/>
        <v>53873</v>
      </c>
      <c r="C301" s="21">
        <f>IFERROR(HLOOKUP("Exp_Premium",CF_Gen_3[#All],MATCH($B301,CF_Gen_3[[#All],[Incurred]],0),0),0)</f>
        <v>-24165.736008845048</v>
      </c>
      <c r="D301" s="22">
        <f>IF(AND($J301&lt;YEAR($A301),$B301&lt;=$A301),IFERROR(HLOOKUP("Actual_Premium",CF_Gen_3[#All],MATCH($B301,CF_Gen_3[[#All],[Incurred]],0),0),0),0)</f>
        <v>0</v>
      </c>
      <c r="E301" s="21">
        <f>-IFERROR(HLOOKUP("Exp_Claim",CF_Gen_3[#All],MATCH($B301,CF_Gen_3[[#All],[Incurred]],0),0),0)-IFERROR(HLOOKUP("Exp_NPR",CF_Gen_3[#All],MATCH($B301,CF_Gen_3[[#All],[Incurred]],0),0),0)</f>
        <v>79029.923475080068</v>
      </c>
      <c r="F301" s="21">
        <f>-IFERROR(HLOOKUP("Exp_RA",CF_Gen_3[#All],MATCH($B301,CF_Gen_3[[#All],[Incurred]],0),0),0)</f>
        <v>11064.189286511211</v>
      </c>
      <c r="G301" s="21">
        <f>-IFERROR(HLOOKUP("Exp_Expense",CF_Gen_3[#All],MATCH($B301,CF_Gen_3[[#All],[Incurred]],0),0),0)</f>
        <v>17584.157973205314</v>
      </c>
      <c r="H301" s="21">
        <f>-IFERROR(HLOOKUP("Exp_Commission",CF_Gen_3[#All],MATCH($B301,CF_Gen_3[[#All],[Incurred]],0),0),0)-IFERROR(HLOOKUP("Exp_Acquisition",CF_Gen_3[#All],MATCH($B301,CF_Gen_3[[#All],[Incurred]],0),0),0)</f>
        <v>-3492.8839609704719</v>
      </c>
      <c r="I301" s="22">
        <f>IF(AND($J301&lt;YEAR($A301),$B301&lt;=$A301),-IFERROR(HLOOKUP("Actual_Commission",CF_Gen_3[#All],MATCH($B301,CF_Gen_3[[#All],[Incurred]],0),0),0)-IFERROR(HLOOKUP("Actual_Acquisition",CF_Gen_3[#All],MATCH($B301,CF_Gen_3[[#All],[Incurred]],0),0),0),0)</f>
        <v>0</v>
      </c>
      <c r="J301" s="27">
        <f>VLOOKUP(L301,ICG[#All],2,0)</f>
        <v>2025</v>
      </c>
      <c r="K301" s="27" t="str">
        <f>VLOOKUP(L301,ICG[#All],3,0)</f>
        <v>IC-Property</v>
      </c>
      <c r="L301" s="27" t="str">
        <f t="shared" si="24"/>
        <v>#2025#IC-Property</v>
      </c>
    </row>
    <row r="302" spans="1:12">
      <c r="A302" s="26">
        <f t="shared" si="22"/>
        <v>45930</v>
      </c>
      <c r="B302" s="26">
        <f t="shared" si="23"/>
        <v>53965</v>
      </c>
      <c r="C302" s="21">
        <f>IFERROR(HLOOKUP("Exp_Premium",CF_Gen_3[#All],MATCH($B302,CF_Gen_3[[#All],[Incurred]],0),0),0)</f>
        <v>-15559.016184156386</v>
      </c>
      <c r="D302" s="22">
        <f>IF(AND($J302&lt;YEAR($A302),$B302&lt;=$A302),IFERROR(HLOOKUP("Actual_Premium",CF_Gen_3[#All],MATCH($B302,CF_Gen_3[[#All],[Incurred]],0),0),0),0)</f>
        <v>0</v>
      </c>
      <c r="E302" s="21">
        <f>-IFERROR(HLOOKUP("Exp_Claim",CF_Gen_3[#All],MATCH($B302,CF_Gen_3[[#All],[Incurred]],0),0),0)-IFERROR(HLOOKUP("Exp_NPR",CF_Gen_3[#All],MATCH($B302,CF_Gen_3[[#All],[Incurred]],0),0),0)</f>
        <v>55123.371623868334</v>
      </c>
      <c r="F302" s="21">
        <f>-IFERROR(HLOOKUP("Exp_RA",CF_Gen_3[#All],MATCH($B302,CF_Gen_3[[#All],[Incurred]],0),0),0)</f>
        <v>7717.2720273415671</v>
      </c>
      <c r="G302" s="21">
        <f>-IFERROR(HLOOKUP("Exp_Expense",CF_Gen_3[#All],MATCH($B302,CF_Gen_3[[#All],[Incurred]],0),0),0)</f>
        <v>12264.950186310703</v>
      </c>
      <c r="H302" s="21">
        <f>-IFERROR(HLOOKUP("Exp_Commission",CF_Gen_3[#All],MATCH($B302,CF_Gen_3[[#All],[Incurred]],0),0),0)-IFERROR(HLOOKUP("Exp_Acquisition",CF_Gen_3[#All],MATCH($B302,CF_Gen_3[[#All],[Incurred]],0),0),0)</f>
        <v>-2248.8799041017578</v>
      </c>
      <c r="I302" s="22">
        <f>IF(AND($J302&lt;YEAR($A302),$B302&lt;=$A302),-IFERROR(HLOOKUP("Actual_Commission",CF_Gen_3[#All],MATCH($B302,CF_Gen_3[[#All],[Incurred]],0),0),0)-IFERROR(HLOOKUP("Actual_Acquisition",CF_Gen_3[#All],MATCH($B302,CF_Gen_3[[#All],[Incurred]],0),0),0),0)</f>
        <v>0</v>
      </c>
      <c r="J302" s="27">
        <f>VLOOKUP(L302,ICG[#All],2,0)</f>
        <v>2025</v>
      </c>
      <c r="K302" s="27" t="str">
        <f>VLOOKUP(L302,ICG[#All],3,0)</f>
        <v>IC-Property</v>
      </c>
      <c r="L302" s="27" t="str">
        <f t="shared" si="24"/>
        <v>#2025#IC-Property</v>
      </c>
    </row>
    <row r="303" spans="1:12">
      <c r="A303" s="26">
        <f t="shared" si="22"/>
        <v>45930</v>
      </c>
      <c r="B303" s="26">
        <f t="shared" si="23"/>
        <v>54057</v>
      </c>
      <c r="C303" s="21">
        <f>IFERROR(HLOOKUP("Exp_Premium",CF_Gen_3[#All],MATCH($B303,CF_Gen_3[[#All],[Incurred]],0),0),0)</f>
        <v>-9646.5900341769611</v>
      </c>
      <c r="D303" s="22">
        <f>IF(AND($J303&lt;YEAR($A303),$B303&lt;=$A303),IFERROR(HLOOKUP("Actual_Premium",CF_Gen_3[#All],MATCH($B303,CF_Gen_3[[#All],[Incurred]],0),0),0),0)</f>
        <v>0</v>
      </c>
      <c r="E303" s="21">
        <f>-IFERROR(HLOOKUP("Exp_Claim",CF_Gen_3[#All],MATCH($B303,CF_Gen_3[[#All],[Incurred]],0),0),0)-IFERROR(HLOOKUP("Exp_NPR",CF_Gen_3[#All],MATCH($B303,CF_Gen_3[[#All],[Incurred]],0),0),0)</f>
        <v>51264.735610197546</v>
      </c>
      <c r="F303" s="21">
        <f>-IFERROR(HLOOKUP("Exp_RA",CF_Gen_3[#All],MATCH($B303,CF_Gen_3[[#All],[Incurred]],0),0),0)</f>
        <v>7177.0629854276567</v>
      </c>
      <c r="G303" s="21">
        <f>-IFERROR(HLOOKUP("Exp_Expense",CF_Gen_3[#All],MATCH($B303,CF_Gen_3[[#All],[Incurred]],0),0),0)</f>
        <v>11406.403673268953</v>
      </c>
      <c r="H303" s="21">
        <f>-IFERROR(HLOOKUP("Exp_Commission",CF_Gen_3[#All],MATCH($B303,CF_Gen_3[[#All],[Incurred]],0),0),0)-IFERROR(HLOOKUP("Exp_Acquisition",CF_Gen_3[#All],MATCH($B303,CF_Gen_3[[#All],[Incurred]],0),0),0)</f>
        <v>-1394.30554054309</v>
      </c>
      <c r="I303" s="22">
        <f>IF(AND($J303&lt;YEAR($A303),$B303&lt;=$A303),-IFERROR(HLOOKUP("Actual_Commission",CF_Gen_3[#All],MATCH($B303,CF_Gen_3[[#All],[Incurred]],0),0),0)-IFERROR(HLOOKUP("Actual_Acquisition",CF_Gen_3[#All],MATCH($B303,CF_Gen_3[[#All],[Incurred]],0),0),0),0)</f>
        <v>0</v>
      </c>
      <c r="J303" s="27">
        <f>VLOOKUP(L303,ICG[#All],2,0)</f>
        <v>2025</v>
      </c>
      <c r="K303" s="27" t="str">
        <f>VLOOKUP(L303,ICG[#All],3,0)</f>
        <v>IC-Property</v>
      </c>
      <c r="L303" s="27" t="str">
        <f t="shared" si="24"/>
        <v>#2025#IC-Property</v>
      </c>
    </row>
    <row r="304" spans="1:12">
      <c r="A304" s="26">
        <f t="shared" si="22"/>
        <v>45930</v>
      </c>
      <c r="B304" s="26">
        <f t="shared" si="23"/>
        <v>54148</v>
      </c>
      <c r="C304" s="21">
        <f>IFERROR(HLOOKUP("Exp_Premium",CF_Gen_3[#All],MATCH($B304,CF_Gen_3[[#All],[Incurred]],0),0),0)</f>
        <v>-4485.6643658922858</v>
      </c>
      <c r="D304" s="22">
        <f>IF(AND($J304&lt;YEAR($A304),$B304&lt;=$A304),IFERROR(HLOOKUP("Actual_Premium",CF_Gen_3[#All],MATCH($B304,CF_Gen_3[[#All],[Incurred]],0),0),0),0)</f>
        <v>0</v>
      </c>
      <c r="E304" s="21">
        <f>-IFERROR(HLOOKUP("Exp_Claim",CF_Gen_3[#All],MATCH($B304,CF_Gen_3[[#All],[Incurred]],0),0),0)-IFERROR(HLOOKUP("Exp_NPR",CF_Gen_3[#All],MATCH($B304,CF_Gen_3[[#All],[Incurred]],0),0),0)</f>
        <v>31784.136078322481</v>
      </c>
      <c r="F304" s="21">
        <f>-IFERROR(HLOOKUP("Exp_RA",CF_Gen_3[#All],MATCH($B304,CF_Gen_3[[#All],[Incurred]],0),0),0)</f>
        <v>4449.7790509651477</v>
      </c>
      <c r="G304" s="21">
        <f>-IFERROR(HLOOKUP("Exp_Expense",CF_Gen_3[#All],MATCH($B304,CF_Gen_3[[#All],[Incurred]],0),0),0)</f>
        <v>7071.9702774267516</v>
      </c>
      <c r="H304" s="21">
        <f>-IFERROR(HLOOKUP("Exp_Commission",CF_Gen_3[#All],MATCH($B304,CF_Gen_3[[#All],[Incurred]],0),0),0)-IFERROR(HLOOKUP("Exp_Acquisition",CF_Gen_3[#All],MATCH($B304,CF_Gen_3[[#All],[Incurred]],0),0),0)</f>
        <v>-648.35207635253676</v>
      </c>
      <c r="I304" s="22">
        <f>IF(AND($J304&lt;YEAR($A304),$B304&lt;=$A304),-IFERROR(HLOOKUP("Actual_Commission",CF_Gen_3[#All],MATCH($B304,CF_Gen_3[[#All],[Incurred]],0),0),0)-IFERROR(HLOOKUP("Actual_Acquisition",CF_Gen_3[#All],MATCH($B304,CF_Gen_3[[#All],[Incurred]],0),0),0),0)</f>
        <v>0</v>
      </c>
      <c r="J304" s="27">
        <f>VLOOKUP(L304,ICG[#All],2,0)</f>
        <v>2025</v>
      </c>
      <c r="K304" s="27" t="str">
        <f>VLOOKUP(L304,ICG[#All],3,0)</f>
        <v>IC-Property</v>
      </c>
      <c r="L304" s="27" t="str">
        <f t="shared" si="24"/>
        <v>#2025#IC-Property</v>
      </c>
    </row>
    <row r="305" spans="1:12">
      <c r="A305" s="26">
        <f t="shared" si="22"/>
        <v>45930</v>
      </c>
      <c r="B305" s="26">
        <f t="shared" si="23"/>
        <v>54239</v>
      </c>
      <c r="C305" s="21">
        <f>IFERROR(HLOOKUP("Exp_Premium",CF_Gen_3[#All],MATCH($B305,CF_Gen_3[[#All],[Incurred]],0),0),0)</f>
        <v>-1390.5559534266088</v>
      </c>
      <c r="D305" s="22">
        <f>IF(AND($J305&lt;YEAR($A305),$B305&lt;=$A305),IFERROR(HLOOKUP("Actual_Premium",CF_Gen_3[#All],MATCH($B305,CF_Gen_3[[#All],[Incurred]],0),0),0),0)</f>
        <v>0</v>
      </c>
      <c r="E305" s="21">
        <f>-IFERROR(HLOOKUP("Exp_Claim",CF_Gen_3[#All],MATCH($B305,CF_Gen_3[[#All],[Incurred]],0),0),0)-IFERROR(HLOOKUP("Exp_NPR",CF_Gen_3[#All],MATCH($B305,CF_Gen_3[[#All],[Incurred]],0),0),0)</f>
        <v>14779.623276419952</v>
      </c>
      <c r="F305" s="21">
        <f>-IFERROR(HLOOKUP("Exp_RA",CF_Gen_3[#All],MATCH($B305,CF_Gen_3[[#All],[Incurred]],0),0),0)</f>
        <v>2069.1472586987934</v>
      </c>
      <c r="G305" s="21">
        <f>-IFERROR(HLOOKUP("Exp_Expense",CF_Gen_3[#All],MATCH($B305,CF_Gen_3[[#All],[Incurred]],0),0),0)</f>
        <v>3288.4661790034393</v>
      </c>
      <c r="H305" s="21">
        <f>-IFERROR(HLOOKUP("Exp_Commission",CF_Gen_3[#All],MATCH($B305,CF_Gen_3[[#All],[Incurred]],0),0),0)-IFERROR(HLOOKUP("Exp_Acquisition",CF_Gen_3[#All],MATCH($B305,CF_Gen_3[[#All],[Incurred]],0),0),0)</f>
        <v>-200.98914366928639</v>
      </c>
      <c r="I305" s="22">
        <f>IF(AND($J305&lt;YEAR($A305),$B305&lt;=$A305),-IFERROR(HLOOKUP("Actual_Commission",CF_Gen_3[#All],MATCH($B305,CF_Gen_3[[#All],[Incurred]],0),0),0)-IFERROR(HLOOKUP("Actual_Acquisition",CF_Gen_3[#All],MATCH($B305,CF_Gen_3[[#All],[Incurred]],0),0),0),0)</f>
        <v>0</v>
      </c>
      <c r="J305" s="27">
        <f>VLOOKUP(L305,ICG[#All],2,0)</f>
        <v>2025</v>
      </c>
      <c r="K305" s="27" t="str">
        <f>VLOOKUP(L305,ICG[#All],3,0)</f>
        <v>IC-Property</v>
      </c>
      <c r="L305" s="27" t="str">
        <f t="shared" si="24"/>
        <v>#2025#IC-Property</v>
      </c>
    </row>
    <row r="306" spans="1:12">
      <c r="A306" s="26">
        <f t="shared" si="22"/>
        <v>45930</v>
      </c>
      <c r="B306" s="26">
        <f t="shared" si="23"/>
        <v>54331</v>
      </c>
      <c r="C306" s="21">
        <f>IFERROR(HLOOKUP("Exp_Premium",CF_Gen_3[#All],MATCH($B306,CF_Gen_3[[#All],[Incurred]],0),0),0)</f>
        <v>0</v>
      </c>
      <c r="D306" s="22">
        <f>IF(AND($J306&lt;YEAR($A306),$B306&lt;=$A306),IFERROR(HLOOKUP("Actual_Premium",CF_Gen_3[#All],MATCH($B306,CF_Gen_3[[#All],[Incurred]],0),0),0),0)</f>
        <v>0</v>
      </c>
      <c r="E306" s="21">
        <f>-IFERROR(HLOOKUP("Exp_Claim",CF_Gen_3[#All],MATCH($B306,CF_Gen_3[[#All],[Incurred]],0),0),0)-IFERROR(HLOOKUP("Exp_NPR",CF_Gen_3[#All],MATCH($B306,CF_Gen_3[[#All],[Incurred]],0),0),0)</f>
        <v>0</v>
      </c>
      <c r="F306" s="21">
        <f>-IFERROR(HLOOKUP("Exp_RA",CF_Gen_3[#All],MATCH($B306,CF_Gen_3[[#All],[Incurred]],0),0),0)</f>
        <v>0</v>
      </c>
      <c r="G306" s="21">
        <f>-IFERROR(HLOOKUP("Exp_Expense",CF_Gen_3[#All],MATCH($B306,CF_Gen_3[[#All],[Incurred]],0),0),0)</f>
        <v>0</v>
      </c>
      <c r="H306" s="21">
        <f>-IFERROR(HLOOKUP("Exp_Commission",CF_Gen_3[#All],MATCH($B306,CF_Gen_3[[#All],[Incurred]],0),0),0)-IFERROR(HLOOKUP("Exp_Acquisition",CF_Gen_3[#All],MATCH($B306,CF_Gen_3[[#All],[Incurred]],0),0),0)</f>
        <v>0</v>
      </c>
      <c r="I306" s="22">
        <f>IF(AND($J306&lt;YEAR($A306),$B306&lt;=$A306),-IFERROR(HLOOKUP("Actual_Commission",CF_Gen_3[#All],MATCH($B306,CF_Gen_3[[#All],[Incurred]],0),0),0)-IFERROR(HLOOKUP("Actual_Acquisition",CF_Gen_3[#All],MATCH($B306,CF_Gen_3[[#All],[Incurred]],0),0),0),0)</f>
        <v>0</v>
      </c>
      <c r="J306" s="27">
        <f>VLOOKUP(L306,ICG[#All],2,0)</f>
        <v>2025</v>
      </c>
      <c r="K306" s="27" t="str">
        <f>VLOOKUP(L306,ICG[#All],3,0)</f>
        <v>IC-Property</v>
      </c>
      <c r="L306" s="27" t="str">
        <f t="shared" si="24"/>
        <v>#2025#IC-Property</v>
      </c>
    </row>
    <row r="307" spans="1:12">
      <c r="A307" s="26">
        <f t="shared" si="22"/>
        <v>45930</v>
      </c>
      <c r="B307" s="26">
        <f t="shared" si="23"/>
        <v>54423</v>
      </c>
      <c r="C307" s="21">
        <f>IFERROR(HLOOKUP("Exp_Premium",CF_Gen_3[#All],MATCH($B307,CF_Gen_3[[#All],[Incurred]],0),0),0)</f>
        <v>0</v>
      </c>
      <c r="D307" s="22">
        <f>IF(AND($J307&lt;YEAR($A307),$B307&lt;=$A307),IFERROR(HLOOKUP("Actual_Premium",CF_Gen_3[#All],MATCH($B307,CF_Gen_3[[#All],[Incurred]],0),0),0),0)</f>
        <v>0</v>
      </c>
      <c r="E307" s="21">
        <f>-IFERROR(HLOOKUP("Exp_Claim",CF_Gen_3[#All],MATCH($B307,CF_Gen_3[[#All],[Incurred]],0),0),0)-IFERROR(HLOOKUP("Exp_NPR",CF_Gen_3[#All],MATCH($B307,CF_Gen_3[[#All],[Incurred]],0),0),0)</f>
        <v>0</v>
      </c>
      <c r="F307" s="21">
        <f>-IFERROR(HLOOKUP("Exp_RA",CF_Gen_3[#All],MATCH($B307,CF_Gen_3[[#All],[Incurred]],0),0),0)</f>
        <v>0</v>
      </c>
      <c r="G307" s="21">
        <f>-IFERROR(HLOOKUP("Exp_Expense",CF_Gen_3[#All],MATCH($B307,CF_Gen_3[[#All],[Incurred]],0),0),0)</f>
        <v>0</v>
      </c>
      <c r="H307" s="21">
        <f>-IFERROR(HLOOKUP("Exp_Commission",CF_Gen_3[#All],MATCH($B307,CF_Gen_3[[#All],[Incurred]],0),0),0)-IFERROR(HLOOKUP("Exp_Acquisition",CF_Gen_3[#All],MATCH($B307,CF_Gen_3[[#All],[Incurred]],0),0),0)</f>
        <v>0</v>
      </c>
      <c r="I307" s="22">
        <f>IF(AND($J307&lt;YEAR($A307),$B307&lt;=$A307),-IFERROR(HLOOKUP("Actual_Commission",CF_Gen_3[#All],MATCH($B307,CF_Gen_3[[#All],[Incurred]],0),0),0)-IFERROR(HLOOKUP("Actual_Acquisition",CF_Gen_3[#All],MATCH($B307,CF_Gen_3[[#All],[Incurred]],0),0),0),0)</f>
        <v>0</v>
      </c>
      <c r="J307" s="27">
        <f>VLOOKUP(L307,ICG[#All],2,0)</f>
        <v>2025</v>
      </c>
      <c r="K307" s="27" t="str">
        <f>VLOOKUP(L307,ICG[#All],3,0)</f>
        <v>IC-Property</v>
      </c>
      <c r="L307" s="27" t="str">
        <f t="shared" si="24"/>
        <v>#2025#IC-Property</v>
      </c>
    </row>
    <row r="308" spans="1:12">
      <c r="A308" s="26">
        <f t="shared" ref="A308:A315" si="25">ValuationDate</f>
        <v>45930</v>
      </c>
      <c r="B308" s="26">
        <f t="shared" si="23"/>
        <v>54513</v>
      </c>
      <c r="C308" s="21">
        <f>IFERROR(HLOOKUP("Exp_Premium",CF_Gen_3[#All],MATCH($B308,CF_Gen_3[[#All],[Incurred]],0),0),0)</f>
        <v>0</v>
      </c>
      <c r="D308" s="22">
        <f>IF(AND($J308&lt;YEAR($A308),$B308&lt;=$A308),IFERROR(HLOOKUP("Actual_Premium",CF_Gen_3[#All],MATCH($B308,CF_Gen_3[[#All],[Incurred]],0),0),0),0)</f>
        <v>0</v>
      </c>
      <c r="E308" s="21">
        <f>-IFERROR(HLOOKUP("Exp_Claim",CF_Gen_3[#All],MATCH($B308,CF_Gen_3[[#All],[Incurred]],0),0),0)-IFERROR(HLOOKUP("Exp_NPR",CF_Gen_3[#All],MATCH($B308,CF_Gen_3[[#All],[Incurred]],0),0),0)</f>
        <v>0</v>
      </c>
      <c r="F308" s="21">
        <f>-IFERROR(HLOOKUP("Exp_RA",CF_Gen_3[#All],MATCH($B308,CF_Gen_3[[#All],[Incurred]],0),0),0)</f>
        <v>0</v>
      </c>
      <c r="G308" s="21">
        <f>-IFERROR(HLOOKUP("Exp_Expense",CF_Gen_3[#All],MATCH($B308,CF_Gen_3[[#All],[Incurred]],0),0),0)</f>
        <v>0</v>
      </c>
      <c r="H308" s="21">
        <f>-IFERROR(HLOOKUP("Exp_Commission",CF_Gen_3[#All],MATCH($B308,CF_Gen_3[[#All],[Incurred]],0),0),0)-IFERROR(HLOOKUP("Exp_Acquisition",CF_Gen_3[#All],MATCH($B308,CF_Gen_3[[#All],[Incurred]],0),0),0)</f>
        <v>0</v>
      </c>
      <c r="I308" s="22">
        <f>IF(AND($J308&lt;YEAR($A308),$B308&lt;=$A308),-IFERROR(HLOOKUP("Actual_Commission",CF_Gen_3[#All],MATCH($B308,CF_Gen_3[[#All],[Incurred]],0),0),0)-IFERROR(HLOOKUP("Actual_Acquisition",CF_Gen_3[#All],MATCH($B308,CF_Gen_3[[#All],[Incurred]],0),0),0),0)</f>
        <v>0</v>
      </c>
      <c r="J308" s="27">
        <f>VLOOKUP(L308,ICG[#All],2,0)</f>
        <v>2025</v>
      </c>
      <c r="K308" s="27" t="str">
        <f>VLOOKUP(L308,ICG[#All],3,0)</f>
        <v>IC-Property</v>
      </c>
      <c r="L308" s="27" t="str">
        <f t="shared" si="24"/>
        <v>#2025#IC-Property</v>
      </c>
    </row>
    <row r="309" spans="1:12">
      <c r="A309" s="26">
        <f t="shared" si="25"/>
        <v>45930</v>
      </c>
      <c r="B309" s="26">
        <f t="shared" si="23"/>
        <v>54604</v>
      </c>
      <c r="C309" s="21">
        <f>IFERROR(HLOOKUP("Exp_Premium",CF_Gen_3[#All],MATCH($B309,CF_Gen_3[[#All],[Incurred]],0),0),0)</f>
        <v>0</v>
      </c>
      <c r="D309" s="22">
        <f>IF(AND($J309&lt;YEAR($A309),$B309&lt;=$A309),IFERROR(HLOOKUP("Actual_Premium",CF_Gen_3[#All],MATCH($B309,CF_Gen_3[[#All],[Incurred]],0),0),0),0)</f>
        <v>0</v>
      </c>
      <c r="E309" s="21">
        <f>-IFERROR(HLOOKUP("Exp_Claim",CF_Gen_3[#All],MATCH($B309,CF_Gen_3[[#All],[Incurred]],0),0),0)-IFERROR(HLOOKUP("Exp_NPR",CF_Gen_3[#All],MATCH($B309,CF_Gen_3[[#All],[Incurred]],0),0),0)</f>
        <v>0</v>
      </c>
      <c r="F309" s="21">
        <f>-IFERROR(HLOOKUP("Exp_RA",CF_Gen_3[#All],MATCH($B309,CF_Gen_3[[#All],[Incurred]],0),0),0)</f>
        <v>0</v>
      </c>
      <c r="G309" s="21">
        <f>-IFERROR(HLOOKUP("Exp_Expense",CF_Gen_3[#All],MATCH($B309,CF_Gen_3[[#All],[Incurred]],0),0),0)</f>
        <v>0</v>
      </c>
      <c r="H309" s="21">
        <f>-IFERROR(HLOOKUP("Exp_Commission",CF_Gen_3[#All],MATCH($B309,CF_Gen_3[[#All],[Incurred]],0),0),0)-IFERROR(HLOOKUP("Exp_Acquisition",CF_Gen_3[#All],MATCH($B309,CF_Gen_3[[#All],[Incurred]],0),0),0)</f>
        <v>0</v>
      </c>
      <c r="I309" s="22">
        <f>IF(AND($J309&lt;YEAR($A309),$B309&lt;=$A309),-IFERROR(HLOOKUP("Actual_Commission",CF_Gen_3[#All],MATCH($B309,CF_Gen_3[[#All],[Incurred]],0),0),0)-IFERROR(HLOOKUP("Actual_Acquisition",CF_Gen_3[#All],MATCH($B309,CF_Gen_3[[#All],[Incurred]],0),0),0),0)</f>
        <v>0</v>
      </c>
      <c r="J309" s="27">
        <f>VLOOKUP(L309,ICG[#All],2,0)</f>
        <v>2025</v>
      </c>
      <c r="K309" s="27" t="str">
        <f>VLOOKUP(L309,ICG[#All],3,0)</f>
        <v>IC-Property</v>
      </c>
      <c r="L309" s="27" t="str">
        <f t="shared" si="24"/>
        <v>#2025#IC-Property</v>
      </c>
    </row>
    <row r="310" spans="1:12">
      <c r="A310" s="26">
        <f t="shared" si="25"/>
        <v>45930</v>
      </c>
      <c r="B310" s="26">
        <f t="shared" si="23"/>
        <v>54696</v>
      </c>
      <c r="C310" s="21">
        <f>IFERROR(HLOOKUP("Exp_Premium",CF_Gen_3[#All],MATCH($B310,CF_Gen_3[[#All],[Incurred]],0),0),0)</f>
        <v>0</v>
      </c>
      <c r="D310" s="22">
        <f>IF(AND($J310&lt;YEAR($A310),$B310&lt;=$A310),IFERROR(HLOOKUP("Actual_Premium",CF_Gen_3[#All],MATCH($B310,CF_Gen_3[[#All],[Incurred]],0),0),0),0)</f>
        <v>0</v>
      </c>
      <c r="E310" s="21">
        <f>-IFERROR(HLOOKUP("Exp_Claim",CF_Gen_3[#All],MATCH($B310,CF_Gen_3[[#All],[Incurred]],0),0),0)-IFERROR(HLOOKUP("Exp_NPR",CF_Gen_3[#All],MATCH($B310,CF_Gen_3[[#All],[Incurred]],0),0),0)</f>
        <v>0</v>
      </c>
      <c r="F310" s="21">
        <f>-IFERROR(HLOOKUP("Exp_RA",CF_Gen_3[#All],MATCH($B310,CF_Gen_3[[#All],[Incurred]],0),0),0)</f>
        <v>0</v>
      </c>
      <c r="G310" s="21">
        <f>-IFERROR(HLOOKUP("Exp_Expense",CF_Gen_3[#All],MATCH($B310,CF_Gen_3[[#All],[Incurred]],0),0),0)</f>
        <v>0</v>
      </c>
      <c r="H310" s="21">
        <f>-IFERROR(HLOOKUP("Exp_Commission",CF_Gen_3[#All],MATCH($B310,CF_Gen_3[[#All],[Incurred]],0),0),0)-IFERROR(HLOOKUP("Exp_Acquisition",CF_Gen_3[#All],MATCH($B310,CF_Gen_3[[#All],[Incurred]],0),0),0)</f>
        <v>0</v>
      </c>
      <c r="I310" s="22">
        <f>IF(AND($J310&lt;YEAR($A310),$B310&lt;=$A310),-IFERROR(HLOOKUP("Actual_Commission",CF_Gen_3[#All],MATCH($B310,CF_Gen_3[[#All],[Incurred]],0),0),0)-IFERROR(HLOOKUP("Actual_Acquisition",CF_Gen_3[#All],MATCH($B310,CF_Gen_3[[#All],[Incurred]],0),0),0),0)</f>
        <v>0</v>
      </c>
      <c r="J310" s="27">
        <f>VLOOKUP(L310,ICG[#All],2,0)</f>
        <v>2025</v>
      </c>
      <c r="K310" s="27" t="str">
        <f>VLOOKUP(L310,ICG[#All],3,0)</f>
        <v>IC-Property</v>
      </c>
      <c r="L310" s="27" t="str">
        <f t="shared" si="24"/>
        <v>#2025#IC-Property</v>
      </c>
    </row>
    <row r="311" spans="1:12">
      <c r="A311" s="26">
        <f t="shared" si="25"/>
        <v>45930</v>
      </c>
      <c r="B311" s="26">
        <f t="shared" si="23"/>
        <v>54788</v>
      </c>
      <c r="C311" s="21">
        <f>IFERROR(HLOOKUP("Exp_Premium",CF_Gen_3[#All],MATCH($B311,CF_Gen_3[[#All],[Incurred]],0),0),0)</f>
        <v>0</v>
      </c>
      <c r="D311" s="22">
        <f>IF(AND($J311&lt;YEAR($A311),$B311&lt;=$A311),IFERROR(HLOOKUP("Actual_Premium",CF_Gen_3[#All],MATCH($B311,CF_Gen_3[[#All],[Incurred]],0),0),0),0)</f>
        <v>0</v>
      </c>
      <c r="E311" s="21">
        <f>-IFERROR(HLOOKUP("Exp_Claim",CF_Gen_3[#All],MATCH($B311,CF_Gen_3[[#All],[Incurred]],0),0),0)-IFERROR(HLOOKUP("Exp_NPR",CF_Gen_3[#All],MATCH($B311,CF_Gen_3[[#All],[Incurred]],0),0),0)</f>
        <v>0</v>
      </c>
      <c r="F311" s="21">
        <f>-IFERROR(HLOOKUP("Exp_RA",CF_Gen_3[#All],MATCH($B311,CF_Gen_3[[#All],[Incurred]],0),0),0)</f>
        <v>0</v>
      </c>
      <c r="G311" s="21">
        <f>-IFERROR(HLOOKUP("Exp_Expense",CF_Gen_3[#All],MATCH($B311,CF_Gen_3[[#All],[Incurred]],0),0),0)</f>
        <v>0</v>
      </c>
      <c r="H311" s="21">
        <f>-IFERROR(HLOOKUP("Exp_Commission",CF_Gen_3[#All],MATCH($B311,CF_Gen_3[[#All],[Incurred]],0),0),0)-IFERROR(HLOOKUP("Exp_Acquisition",CF_Gen_3[#All],MATCH($B311,CF_Gen_3[[#All],[Incurred]],0),0),0)</f>
        <v>0</v>
      </c>
      <c r="I311" s="22">
        <f>IF(AND($J311&lt;YEAR($A311),$B311&lt;=$A311),-IFERROR(HLOOKUP("Actual_Commission",CF_Gen_3[#All],MATCH($B311,CF_Gen_3[[#All],[Incurred]],0),0),0)-IFERROR(HLOOKUP("Actual_Acquisition",CF_Gen_3[#All],MATCH($B311,CF_Gen_3[[#All],[Incurred]],0),0),0),0)</f>
        <v>0</v>
      </c>
      <c r="J311" s="27">
        <f>VLOOKUP(L311,ICG[#All],2,0)</f>
        <v>2025</v>
      </c>
      <c r="K311" s="27" t="str">
        <f>VLOOKUP(L311,ICG[#All],3,0)</f>
        <v>IC-Property</v>
      </c>
      <c r="L311" s="27" t="str">
        <f t="shared" si="24"/>
        <v>#2025#IC-Property</v>
      </c>
    </row>
    <row r="312" spans="1:12">
      <c r="A312" s="26">
        <f t="shared" si="25"/>
        <v>45930</v>
      </c>
      <c r="B312" s="26">
        <f t="shared" si="23"/>
        <v>54878</v>
      </c>
      <c r="C312" s="21">
        <f>IFERROR(HLOOKUP("Exp_Premium",CF_Gen_3[#All],MATCH($B312,CF_Gen_3[[#All],[Incurred]],0),0),0)</f>
        <v>0</v>
      </c>
      <c r="D312" s="22">
        <f>IF(AND($J312&lt;YEAR($A312),$B312&lt;=$A312),IFERROR(HLOOKUP("Actual_Premium",CF_Gen_3[#All],MATCH($B312,CF_Gen_3[[#All],[Incurred]],0),0),0),0)</f>
        <v>0</v>
      </c>
      <c r="E312" s="21">
        <f>-IFERROR(HLOOKUP("Exp_Claim",CF_Gen_3[#All],MATCH($B312,CF_Gen_3[[#All],[Incurred]],0),0),0)-IFERROR(HLOOKUP("Exp_NPR",CF_Gen_3[#All],MATCH($B312,CF_Gen_3[[#All],[Incurred]],0),0),0)</f>
        <v>0</v>
      </c>
      <c r="F312" s="21">
        <f>-IFERROR(HLOOKUP("Exp_RA",CF_Gen_3[#All],MATCH($B312,CF_Gen_3[[#All],[Incurred]],0),0),0)</f>
        <v>0</v>
      </c>
      <c r="G312" s="21">
        <f>-IFERROR(HLOOKUP("Exp_Expense",CF_Gen_3[#All],MATCH($B312,CF_Gen_3[[#All],[Incurred]],0),0),0)</f>
        <v>0</v>
      </c>
      <c r="H312" s="21">
        <f>-IFERROR(HLOOKUP("Exp_Commission",CF_Gen_3[#All],MATCH($B312,CF_Gen_3[[#All],[Incurred]],0),0),0)-IFERROR(HLOOKUP("Exp_Acquisition",CF_Gen_3[#All],MATCH($B312,CF_Gen_3[[#All],[Incurred]],0),0),0)</f>
        <v>0</v>
      </c>
      <c r="I312" s="22">
        <f>IF(AND($J312&lt;YEAR($A312),$B312&lt;=$A312),-IFERROR(HLOOKUP("Actual_Commission",CF_Gen_3[#All],MATCH($B312,CF_Gen_3[[#All],[Incurred]],0),0),0)-IFERROR(HLOOKUP("Actual_Acquisition",CF_Gen_3[#All],MATCH($B312,CF_Gen_3[[#All],[Incurred]],0),0),0),0)</f>
        <v>0</v>
      </c>
      <c r="J312" s="27">
        <f>VLOOKUP(L312,ICG[#All],2,0)</f>
        <v>2025</v>
      </c>
      <c r="K312" s="27" t="str">
        <f>VLOOKUP(L312,ICG[#All],3,0)</f>
        <v>IC-Property</v>
      </c>
      <c r="L312" s="27" t="str">
        <f t="shared" si="24"/>
        <v>#2025#IC-Property</v>
      </c>
    </row>
    <row r="313" spans="1:12">
      <c r="A313" s="26">
        <f t="shared" si="25"/>
        <v>45930</v>
      </c>
      <c r="B313" s="26">
        <f t="shared" si="23"/>
        <v>54969</v>
      </c>
      <c r="C313" s="21">
        <f>IFERROR(HLOOKUP("Exp_Premium",CF_Gen_3[#All],MATCH($B313,CF_Gen_3[[#All],[Incurred]],0),0),0)</f>
        <v>0</v>
      </c>
      <c r="D313" s="22">
        <f>IF(AND($J313&lt;YEAR($A313),$B313&lt;=$A313),IFERROR(HLOOKUP("Actual_Premium",CF_Gen_3[#All],MATCH($B313,CF_Gen_3[[#All],[Incurred]],0),0),0),0)</f>
        <v>0</v>
      </c>
      <c r="E313" s="21">
        <f>-IFERROR(HLOOKUP("Exp_Claim",CF_Gen_3[#All],MATCH($B313,CF_Gen_3[[#All],[Incurred]],0),0),0)-IFERROR(HLOOKUP("Exp_NPR",CF_Gen_3[#All],MATCH($B313,CF_Gen_3[[#All],[Incurred]],0),0),0)</f>
        <v>0</v>
      </c>
      <c r="F313" s="21">
        <f>-IFERROR(HLOOKUP("Exp_RA",CF_Gen_3[#All],MATCH($B313,CF_Gen_3[[#All],[Incurred]],0),0),0)</f>
        <v>0</v>
      </c>
      <c r="G313" s="21">
        <f>-IFERROR(HLOOKUP("Exp_Expense",CF_Gen_3[#All],MATCH($B313,CF_Gen_3[[#All],[Incurred]],0),0),0)</f>
        <v>0</v>
      </c>
      <c r="H313" s="21">
        <f>-IFERROR(HLOOKUP("Exp_Commission",CF_Gen_3[#All],MATCH($B313,CF_Gen_3[[#All],[Incurred]],0),0),0)-IFERROR(HLOOKUP("Exp_Acquisition",CF_Gen_3[#All],MATCH($B313,CF_Gen_3[[#All],[Incurred]],0),0),0)</f>
        <v>0</v>
      </c>
      <c r="I313" s="22">
        <f>IF(AND($J313&lt;YEAR($A313),$B313&lt;=$A313),-IFERROR(HLOOKUP("Actual_Commission",CF_Gen_3[#All],MATCH($B313,CF_Gen_3[[#All],[Incurred]],0),0),0)-IFERROR(HLOOKUP("Actual_Acquisition",CF_Gen_3[#All],MATCH($B313,CF_Gen_3[[#All],[Incurred]],0),0),0),0)</f>
        <v>0</v>
      </c>
      <c r="J313" s="27">
        <f>VLOOKUP(L313,ICG[#All],2,0)</f>
        <v>2025</v>
      </c>
      <c r="K313" s="27" t="str">
        <f>VLOOKUP(L313,ICG[#All],3,0)</f>
        <v>IC-Property</v>
      </c>
      <c r="L313" s="27" t="str">
        <f t="shared" si="24"/>
        <v>#2025#IC-Property</v>
      </c>
    </row>
    <row r="314" spans="1:12">
      <c r="A314" s="26">
        <f t="shared" si="25"/>
        <v>45930</v>
      </c>
      <c r="B314" s="26">
        <f t="shared" si="23"/>
        <v>55061</v>
      </c>
      <c r="C314" s="21">
        <f>IFERROR(HLOOKUP("Exp_Premium",CF_Gen_3[#All],MATCH($B314,CF_Gen_3[[#All],[Incurred]],0),0),0)</f>
        <v>0</v>
      </c>
      <c r="D314" s="22">
        <f>IF(AND($J314&lt;YEAR($A314),$B314&lt;=$A314),IFERROR(HLOOKUP("Actual_Premium",CF_Gen_3[#All],MATCH($B314,CF_Gen_3[[#All],[Incurred]],0),0),0),0)</f>
        <v>0</v>
      </c>
      <c r="E314" s="21">
        <f>-IFERROR(HLOOKUP("Exp_Claim",CF_Gen_3[#All],MATCH($B314,CF_Gen_3[[#All],[Incurred]],0),0),0)-IFERROR(HLOOKUP("Exp_NPR",CF_Gen_3[#All],MATCH($B314,CF_Gen_3[[#All],[Incurred]],0),0),0)</f>
        <v>0</v>
      </c>
      <c r="F314" s="21">
        <f>-IFERROR(HLOOKUP("Exp_RA",CF_Gen_3[#All],MATCH($B314,CF_Gen_3[[#All],[Incurred]],0),0),0)</f>
        <v>0</v>
      </c>
      <c r="G314" s="21">
        <f>-IFERROR(HLOOKUP("Exp_Expense",CF_Gen_3[#All],MATCH($B314,CF_Gen_3[[#All],[Incurred]],0),0),0)</f>
        <v>0</v>
      </c>
      <c r="H314" s="21">
        <f>-IFERROR(HLOOKUP("Exp_Commission",CF_Gen_3[#All],MATCH($B314,CF_Gen_3[[#All],[Incurred]],0),0),0)-IFERROR(HLOOKUP("Exp_Acquisition",CF_Gen_3[#All],MATCH($B314,CF_Gen_3[[#All],[Incurred]],0),0),0)</f>
        <v>0</v>
      </c>
      <c r="I314" s="22">
        <f>IF(AND($J314&lt;YEAR($A314),$B314&lt;=$A314),-IFERROR(HLOOKUP("Actual_Commission",CF_Gen_3[#All],MATCH($B314,CF_Gen_3[[#All],[Incurred]],0),0),0)-IFERROR(HLOOKUP("Actual_Acquisition",CF_Gen_3[#All],MATCH($B314,CF_Gen_3[[#All],[Incurred]],0),0),0),0)</f>
        <v>0</v>
      </c>
      <c r="J314" s="27">
        <f>VLOOKUP(L314,ICG[#All],2,0)</f>
        <v>2025</v>
      </c>
      <c r="K314" s="27" t="str">
        <f>VLOOKUP(L314,ICG[#All],3,0)</f>
        <v>IC-Property</v>
      </c>
      <c r="L314" s="27" t="str">
        <f t="shared" si="24"/>
        <v>#2025#IC-Property</v>
      </c>
    </row>
    <row r="315" spans="1:12">
      <c r="A315" s="26">
        <f t="shared" si="25"/>
        <v>45930</v>
      </c>
      <c r="B315" s="26">
        <f t="shared" si="23"/>
        <v>55153</v>
      </c>
      <c r="C315" s="21">
        <f>IFERROR(HLOOKUP("Exp_Premium",CF_Gen_3[#All],MATCH($B315,CF_Gen_3[[#All],[Incurred]],0),0),0)</f>
        <v>0</v>
      </c>
      <c r="D315" s="22">
        <f>IF(AND($J315&lt;YEAR($A315),$B315&lt;=$A315),IFERROR(HLOOKUP("Actual_Premium",CF_Gen_3[#All],MATCH($B315,CF_Gen_3[[#All],[Incurred]],0),0),0),0)</f>
        <v>0</v>
      </c>
      <c r="E315" s="21">
        <f>-IFERROR(HLOOKUP("Exp_Claim",CF_Gen_3[#All],MATCH($B315,CF_Gen_3[[#All],[Incurred]],0),0),0)-IFERROR(HLOOKUP("Exp_NPR",CF_Gen_3[#All],MATCH($B315,CF_Gen_3[[#All],[Incurred]],0),0),0)</f>
        <v>0</v>
      </c>
      <c r="F315" s="21">
        <f>-IFERROR(HLOOKUP("Exp_RA",CF_Gen_3[#All],MATCH($B315,CF_Gen_3[[#All],[Incurred]],0),0),0)</f>
        <v>0</v>
      </c>
      <c r="G315" s="21">
        <f>-IFERROR(HLOOKUP("Exp_Expense",CF_Gen_3[#All],MATCH($B315,CF_Gen_3[[#All],[Incurred]],0),0),0)</f>
        <v>0</v>
      </c>
      <c r="H315" s="21">
        <f>-IFERROR(HLOOKUP("Exp_Commission",CF_Gen_3[#All],MATCH($B315,CF_Gen_3[[#All],[Incurred]],0),0),0)-IFERROR(HLOOKUP("Exp_Acquisition",CF_Gen_3[#All],MATCH($B315,CF_Gen_3[[#All],[Incurred]],0),0),0)</f>
        <v>0</v>
      </c>
      <c r="I315" s="22">
        <f>IF(AND($J315&lt;YEAR($A315),$B315&lt;=$A315),-IFERROR(HLOOKUP("Actual_Commission",CF_Gen_3[#All],MATCH($B315,CF_Gen_3[[#All],[Incurred]],0),0),0)-IFERROR(HLOOKUP("Actual_Acquisition",CF_Gen_3[#All],MATCH($B315,CF_Gen_3[[#All],[Incurred]],0),0),0),0)</f>
        <v>0</v>
      </c>
      <c r="J315" s="27">
        <f>VLOOKUP(L315,ICG[#All],2,0)</f>
        <v>2025</v>
      </c>
      <c r="K315" s="27" t="str">
        <f>VLOOKUP(L315,ICG[#All],3,0)</f>
        <v>IC-Property</v>
      </c>
      <c r="L315" s="27" t="str">
        <f t="shared" si="24"/>
        <v>#2025#IC-Property</v>
      </c>
    </row>
    <row r="316" spans="1:1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spans="1:12">
      <c r="A317" s="26">
        <f t="shared" ref="A317:A348" si="26">ValuationDate</f>
        <v>45930</v>
      </c>
      <c r="B317" s="26">
        <f>DATE(YEAR(A317),3,31)</f>
        <v>45747</v>
      </c>
      <c r="C317" s="21">
        <f>IFERROR(HLOOKUP("Exp_Premium",CF_Gen_4[#All],MATCH($B317,CF_Gen_4[[#All],[Incurred]],0),0),0)</f>
        <v>-11287109074.600513</v>
      </c>
      <c r="D317" s="22">
        <f>IF(AND($J317&lt;YEAR($A317),$B317&lt;=$A317),IFERROR(HLOOKUP("Actual_Premium",CF_Gen_4[#All],MATCH($B317,CF_Gen_4[[#All],[Incurred]],0),0),0),0)</f>
        <v>0</v>
      </c>
      <c r="E317" s="21">
        <f>-IFERROR(HLOOKUP("Exp_Claim",CF_Gen_4[#All],MATCH($B317,CF_Gen_4[[#All],[Incurred]],0),0),0)-IFERROR(HLOOKUP("Exp_NPR",CF_Gen_4[#All],MATCH($B317,CF_Gen_4[[#All],[Incurred]],0),0),0)</f>
        <v>-120525618.49045224</v>
      </c>
      <c r="F317" s="21">
        <f>-IFERROR(HLOOKUP("Exp_RA",CF_Gen_4[#All],MATCH($B317,CF_Gen_4[[#All],[Incurred]],0),0),0)</f>
        <v>-16119681.485348551</v>
      </c>
      <c r="G317" s="21">
        <f>-IFERROR(HLOOKUP("Exp_Expense",CF_Gen_4[#All],MATCH($B317,CF_Gen_4[[#All],[Incurred]],0),0),0)</f>
        <v>0</v>
      </c>
      <c r="H317" s="21">
        <f>-IFERROR(HLOOKUP("Exp_Commission",CF_Gen_4[#All],MATCH($B317,CF_Gen_4[[#All],[Incurred]],0),0),0)-IFERROR(HLOOKUP("Exp_Acquisition",CF_Gen_4[#All],MATCH($B317,CF_Gen_4[[#All],[Incurred]],0),0),0)</f>
        <v>-3668310449.2451673</v>
      </c>
      <c r="I317" s="22">
        <f>IF(AND($J317&lt;YEAR($A317),$B317&lt;=$A317),-IFERROR(HLOOKUP("Actual_Commission",CF_Gen_4[#All],MATCH($B317,CF_Gen_4[[#All],[Incurred]],0),0),0)-IFERROR(HLOOKUP("Actual_Acquisition",CF_Gen_4[#All],MATCH($B317,CF_Gen_4[[#All],[Incurred]],0),0),0),0)</f>
        <v>0</v>
      </c>
      <c r="J317" s="27">
        <f>VLOOKUP(L317,ICG[#All],2,0)</f>
        <v>2025</v>
      </c>
      <c r="K317" s="27" t="str">
        <f>VLOOKUP(L317,ICG[#All],3,0)</f>
        <v>RC-Property</v>
      </c>
      <c r="L317" s="27" t="str">
        <f>'CF_Gen_4'!$A$2</f>
        <v>#2025#RC-Property</v>
      </c>
    </row>
    <row r="318" spans="1:12">
      <c r="A318" s="26">
        <f t="shared" si="26"/>
        <v>45930</v>
      </c>
      <c r="B318" s="26">
        <f t="shared" ref="B318:B349" si="27">EOMONTH(B317,3)</f>
        <v>45838</v>
      </c>
      <c r="C318" s="21">
        <f>IFERROR(HLOOKUP("Exp_Premium",CF_Gen_4[#All],MATCH($B318,CF_Gen_4[[#All],[Incurred]],0),0),0)</f>
        <v>-15948619308.103546</v>
      </c>
      <c r="D318" s="22">
        <f>IF(AND($J318&lt;YEAR($A318),$B318&lt;=$A318),IFERROR(HLOOKUP("Actual_Premium",CF_Gen_4[#All],MATCH($B318,CF_Gen_4[[#All],[Incurred]],0),0),0),0)</f>
        <v>0</v>
      </c>
      <c r="E318" s="21">
        <f>-IFERROR(HLOOKUP("Exp_Claim",CF_Gen_4[#All],MATCH($B318,CF_Gen_4[[#All],[Incurred]],0),0),0)-IFERROR(HLOOKUP("Exp_NPR",CF_Gen_4[#All],MATCH($B318,CF_Gen_4[[#All],[Incurred]],0),0),0)</f>
        <v>-224177650.39224115</v>
      </c>
      <c r="F318" s="21">
        <f>-IFERROR(HLOOKUP("Exp_RA",CF_Gen_4[#All],MATCH($B318,CF_Gen_4[[#All],[Incurred]],0),0),0)</f>
        <v>-29982607.562748305</v>
      </c>
      <c r="G318" s="21">
        <f>-IFERROR(HLOOKUP("Exp_Expense",CF_Gen_4[#All],MATCH($B318,CF_Gen_4[[#All],[Incurred]],0),0),0)</f>
        <v>0</v>
      </c>
      <c r="H318" s="21">
        <f>-IFERROR(HLOOKUP("Exp_Commission",CF_Gen_4[#All],MATCH($B318,CF_Gen_4[[#All],[Incurred]],0),0),0)-IFERROR(HLOOKUP("Exp_Acquisition",CF_Gen_4[#All],MATCH($B318,CF_Gen_4[[#All],[Incurred]],0),0),0)</f>
        <v>-5183301275.1336536</v>
      </c>
      <c r="I318" s="22">
        <f>IF(AND($J318&lt;YEAR($A318),$B318&lt;=$A318),-IFERROR(HLOOKUP("Actual_Commission",CF_Gen_4[#All],MATCH($B318,CF_Gen_4[[#All],[Incurred]],0),0),0)-IFERROR(HLOOKUP("Actual_Acquisition",CF_Gen_4[#All],MATCH($B318,CF_Gen_4[[#All],[Incurred]],0),0),0),0)</f>
        <v>0</v>
      </c>
      <c r="J318" s="27">
        <f>VLOOKUP(L318,ICG[#All],2,0)</f>
        <v>2025</v>
      </c>
      <c r="K318" s="27" t="str">
        <f>VLOOKUP(L318,ICG[#All],3,0)</f>
        <v>RC-Property</v>
      </c>
      <c r="L318" s="27" t="str">
        <f t="shared" ref="L318:L381" si="28">L317</f>
        <v>#2025#RC-Property</v>
      </c>
    </row>
    <row r="319" spans="1:12">
      <c r="A319" s="26">
        <f t="shared" si="26"/>
        <v>45930</v>
      </c>
      <c r="B319" s="26">
        <f t="shared" si="27"/>
        <v>45930</v>
      </c>
      <c r="C319" s="21">
        <f>IFERROR(HLOOKUP("Exp_Premium",CF_Gen_4[#All],MATCH($B319,CF_Gen_4[[#All],[Incurred]],0),0),0)</f>
        <v>-23289589058.639343</v>
      </c>
      <c r="D319" s="22">
        <f>IF(AND($J319&lt;YEAR($A319),$B319&lt;=$A319),IFERROR(HLOOKUP("Actual_Premium",CF_Gen_4[#All],MATCH($B319,CF_Gen_4[[#All],[Incurred]],0),0),0),0)</f>
        <v>0</v>
      </c>
      <c r="E319" s="21">
        <f>-IFERROR(HLOOKUP("Exp_Claim",CF_Gen_4[#All],MATCH($B319,CF_Gen_4[[#All],[Incurred]],0),0),0)-IFERROR(HLOOKUP("Exp_NPR",CF_Gen_4[#All],MATCH($B319,CF_Gen_4[[#All],[Incurred]],0),0),0)</f>
        <v>-312727822.29717636</v>
      </c>
      <c r="F319" s="21">
        <f>-IFERROR(HLOOKUP("Exp_RA",CF_Gen_4[#All],MATCH($B319,CF_Gen_4[[#All],[Incurred]],0),0),0)</f>
        <v>-41825737.550033882</v>
      </c>
      <c r="G319" s="21">
        <f>-IFERROR(HLOOKUP("Exp_Expense",CF_Gen_4[#All],MATCH($B319,CF_Gen_4[[#All],[Incurred]],0),0),0)</f>
        <v>0</v>
      </c>
      <c r="H319" s="21">
        <f>-IFERROR(HLOOKUP("Exp_Commission",CF_Gen_4[#All],MATCH($B319,CF_Gen_4[[#All],[Incurred]],0),0),0)-IFERROR(HLOOKUP("Exp_Acquisition",CF_Gen_4[#All],MATCH($B319,CF_Gen_4[[#All],[Incurred]],0),0),0)</f>
        <v>-7569116444.0577869</v>
      </c>
      <c r="I319" s="22">
        <f>IF(AND($J319&lt;YEAR($A319),$B319&lt;=$A319),-IFERROR(HLOOKUP("Actual_Commission",CF_Gen_4[#All],MATCH($B319,CF_Gen_4[[#All],[Incurred]],0),0),0)-IFERROR(HLOOKUP("Actual_Acquisition",CF_Gen_4[#All],MATCH($B319,CF_Gen_4[[#All],[Incurred]],0),0),0),0)</f>
        <v>0</v>
      </c>
      <c r="J319" s="27">
        <f>VLOOKUP(L319,ICG[#All],2,0)</f>
        <v>2025</v>
      </c>
      <c r="K319" s="27" t="str">
        <f>VLOOKUP(L319,ICG[#All],3,0)</f>
        <v>RC-Property</v>
      </c>
      <c r="L319" s="27" t="str">
        <f t="shared" si="28"/>
        <v>#2025#RC-Property</v>
      </c>
    </row>
    <row r="320" spans="1:12">
      <c r="A320" s="26">
        <f t="shared" si="26"/>
        <v>45930</v>
      </c>
      <c r="B320" s="26">
        <f t="shared" si="27"/>
        <v>46022</v>
      </c>
      <c r="C320" s="21">
        <f>IFERROR(HLOOKUP("Exp_Premium",CF_Gen_4[#All],MATCH($B320,CF_Gen_4[[#All],[Incurred]],0),0),0)</f>
        <v>1363146507.1974597</v>
      </c>
      <c r="D320" s="22">
        <f>IF(AND($J320&lt;YEAR($A320),$B320&lt;=$A320),IFERROR(HLOOKUP("Actual_Premium",CF_Gen_4[#All],MATCH($B320,CF_Gen_4[[#All],[Incurred]],0),0),0),0)</f>
        <v>0</v>
      </c>
      <c r="E320" s="21">
        <f>-IFERROR(HLOOKUP("Exp_Claim",CF_Gen_4[#All],MATCH($B320,CF_Gen_4[[#All],[Incurred]],0),0),0)-IFERROR(HLOOKUP("Exp_NPR",CF_Gen_4[#All],MATCH($B320,CF_Gen_4[[#All],[Incurred]],0),0),0)</f>
        <v>-290836874.73637402</v>
      </c>
      <c r="F320" s="21">
        <f>-IFERROR(HLOOKUP("Exp_RA",CF_Gen_4[#All],MATCH($B320,CF_Gen_4[[#All],[Incurred]],0),0),0)</f>
        <v>-38897935.921531506</v>
      </c>
      <c r="G320" s="21">
        <f>-IFERROR(HLOOKUP("Exp_Expense",CF_Gen_4[#All],MATCH($B320,CF_Gen_4[[#All],[Incurred]],0),0),0)</f>
        <v>0</v>
      </c>
      <c r="H320" s="21">
        <f>-IFERROR(HLOOKUP("Exp_Commission",CF_Gen_4[#All],MATCH($B320,CF_Gen_4[[#All],[Incurred]],0),0),0)-IFERROR(HLOOKUP("Exp_Acquisition",CF_Gen_4[#All],MATCH($B320,CF_Gen_4[[#All],[Incurred]],0),0),0)</f>
        <v>443022614.83917487</v>
      </c>
      <c r="I320" s="22">
        <f>IF(AND($J320&lt;YEAR($A320),$B320&lt;=$A320),-IFERROR(HLOOKUP("Actual_Commission",CF_Gen_4[#All],MATCH($B320,CF_Gen_4[[#All],[Incurred]],0),0),0)-IFERROR(HLOOKUP("Actual_Acquisition",CF_Gen_4[#All],MATCH($B320,CF_Gen_4[[#All],[Incurred]],0),0),0),0)</f>
        <v>0</v>
      </c>
      <c r="J320" s="27">
        <f>VLOOKUP(L320,ICG[#All],2,0)</f>
        <v>2025</v>
      </c>
      <c r="K320" s="27" t="str">
        <f>VLOOKUP(L320,ICG[#All],3,0)</f>
        <v>RC-Property</v>
      </c>
      <c r="L320" s="27" t="str">
        <f t="shared" si="28"/>
        <v>#2025#RC-Property</v>
      </c>
    </row>
    <row r="321" spans="1:12">
      <c r="A321" s="26">
        <f t="shared" si="26"/>
        <v>45930</v>
      </c>
      <c r="B321" s="26">
        <f t="shared" si="27"/>
        <v>46112</v>
      </c>
      <c r="C321" s="21">
        <f>IFERROR(HLOOKUP("Exp_Premium",CF_Gen_4[#All],MATCH($B321,CF_Gen_4[[#All],[Incurred]],0),0),0)</f>
        <v>1240166985.3524716</v>
      </c>
      <c r="D321" s="22">
        <f>IF(AND($J321&lt;YEAR($A321),$B321&lt;=$A321),IFERROR(HLOOKUP("Actual_Premium",CF_Gen_4[#All],MATCH($B321,CF_Gen_4[[#All],[Incurred]],0),0),0),0)</f>
        <v>0</v>
      </c>
      <c r="E321" s="21">
        <f>-IFERROR(HLOOKUP("Exp_Claim",CF_Gen_4[#All],MATCH($B321,CF_Gen_4[[#All],[Incurred]],0),0),0)-IFERROR(HLOOKUP("Exp_NPR",CF_Gen_4[#All],MATCH($B321,CF_Gen_4[[#All],[Incurred]],0),0),0)</f>
        <v>-266558318.23664197</v>
      </c>
      <c r="F321" s="21">
        <f>-IFERROR(HLOOKUP("Exp_RA",CF_Gen_4[#All],MATCH($B321,CF_Gen_4[[#All],[Incurred]],0),0),0)</f>
        <v>-35650803.879386276</v>
      </c>
      <c r="G321" s="21">
        <f>-IFERROR(HLOOKUP("Exp_Expense",CF_Gen_4[#All],MATCH($B321,CF_Gen_4[[#All],[Incurred]],0),0),0)</f>
        <v>0</v>
      </c>
      <c r="H321" s="21">
        <f>-IFERROR(HLOOKUP("Exp_Commission",CF_Gen_4[#All],MATCH($B321,CF_Gen_4[[#All],[Incurred]],0),0),0)-IFERROR(HLOOKUP("Exp_Acquisition",CF_Gen_4[#All],MATCH($B321,CF_Gen_4[[#All],[Incurred]],0),0),0)</f>
        <v>403054270.23955369</v>
      </c>
      <c r="I321" s="22">
        <f>IF(AND($J321&lt;YEAR($A321),$B321&lt;=$A321),-IFERROR(HLOOKUP("Actual_Commission",CF_Gen_4[#All],MATCH($B321,CF_Gen_4[[#All],[Incurred]],0),0),0)-IFERROR(HLOOKUP("Actual_Acquisition",CF_Gen_4[#All],MATCH($B321,CF_Gen_4[[#All],[Incurred]],0),0),0),0)</f>
        <v>0</v>
      </c>
      <c r="J321" s="27">
        <f>VLOOKUP(L321,ICG[#All],2,0)</f>
        <v>2025</v>
      </c>
      <c r="K321" s="27" t="str">
        <f>VLOOKUP(L321,ICG[#All],3,0)</f>
        <v>RC-Property</v>
      </c>
      <c r="L321" s="27" t="str">
        <f t="shared" si="28"/>
        <v>#2025#RC-Property</v>
      </c>
    </row>
    <row r="322" spans="1:12">
      <c r="A322" s="26">
        <f t="shared" si="26"/>
        <v>45930</v>
      </c>
      <c r="B322" s="26">
        <f t="shared" si="27"/>
        <v>46203</v>
      </c>
      <c r="C322" s="21">
        <f>IFERROR(HLOOKUP("Exp_Premium",CF_Gen_4[#All],MATCH($B322,CF_Gen_4[[#All],[Incurred]],0),0),0)</f>
        <v>1128096629.6616342</v>
      </c>
      <c r="D322" s="22">
        <f>IF(AND($J322&lt;YEAR($A322),$B322&lt;=$A322),IFERROR(HLOOKUP("Actual_Premium",CF_Gen_4[#All],MATCH($B322,CF_Gen_4[[#All],[Incurred]],0),0),0),0)</f>
        <v>0</v>
      </c>
      <c r="E322" s="21">
        <f>-IFERROR(HLOOKUP("Exp_Claim",CF_Gen_4[#All],MATCH($B322,CF_Gen_4[[#All],[Incurred]],0),0),0)-IFERROR(HLOOKUP("Exp_NPR",CF_Gen_4[#All],MATCH($B322,CF_Gen_4[[#All],[Incurred]],0),0),0)</f>
        <v>-244253658.96066409</v>
      </c>
      <c r="F322" s="21">
        <f>-IFERROR(HLOOKUP("Exp_RA",CF_Gen_4[#All],MATCH($B322,CF_Gen_4[[#All],[Incurred]],0),0),0)</f>
        <v>-32667670.437125858</v>
      </c>
      <c r="G322" s="21">
        <f>-IFERROR(HLOOKUP("Exp_Expense",CF_Gen_4[#All],MATCH($B322,CF_Gen_4[[#All],[Incurred]],0),0),0)</f>
        <v>0</v>
      </c>
      <c r="H322" s="21">
        <f>-IFERROR(HLOOKUP("Exp_Commission",CF_Gen_4[#All],MATCH($B322,CF_Gen_4[[#All],[Incurred]],0),0),0)-IFERROR(HLOOKUP("Exp_Acquisition",CF_Gen_4[#All],MATCH($B322,CF_Gen_4[[#All],[Incurred]],0),0),0)</f>
        <v>366631404.64003152</v>
      </c>
      <c r="I322" s="22">
        <f>IF(AND($J322&lt;YEAR($A322),$B322&lt;=$A322),-IFERROR(HLOOKUP("Actual_Commission",CF_Gen_4[#All],MATCH($B322,CF_Gen_4[[#All],[Incurred]],0),0),0)-IFERROR(HLOOKUP("Actual_Acquisition",CF_Gen_4[#All],MATCH($B322,CF_Gen_4[[#All],[Incurred]],0),0),0),0)</f>
        <v>0</v>
      </c>
      <c r="J322" s="27">
        <f>VLOOKUP(L322,ICG[#All],2,0)</f>
        <v>2025</v>
      </c>
      <c r="K322" s="27" t="str">
        <f>VLOOKUP(L322,ICG[#All],3,0)</f>
        <v>RC-Property</v>
      </c>
      <c r="L322" s="27" t="str">
        <f t="shared" si="28"/>
        <v>#2025#RC-Property</v>
      </c>
    </row>
    <row r="323" spans="1:12">
      <c r="A323" s="26">
        <f t="shared" si="26"/>
        <v>45930</v>
      </c>
      <c r="B323" s="26">
        <f t="shared" si="27"/>
        <v>46295</v>
      </c>
      <c r="C323" s="21">
        <f>IFERROR(HLOOKUP("Exp_Premium",CF_Gen_4[#All],MATCH($B323,CF_Gen_4[[#All],[Incurred]],0),0),0)</f>
        <v>1025984754.9517286</v>
      </c>
      <c r="D323" s="22">
        <f>IF(AND($J323&lt;YEAR($A323),$B323&lt;=$A323),IFERROR(HLOOKUP("Actual_Premium",CF_Gen_4[#All],MATCH($B323,CF_Gen_4[[#All],[Incurred]],0),0),0),0)</f>
        <v>0</v>
      </c>
      <c r="E323" s="21">
        <f>-IFERROR(HLOOKUP("Exp_Claim",CF_Gen_4[#All],MATCH($B323,CF_Gen_4[[#All],[Incurred]],0),0),0)-IFERROR(HLOOKUP("Exp_NPR",CF_Gen_4[#All],MATCH($B323,CF_Gen_4[[#All],[Incurred]],0),0),0)</f>
        <v>-223765516.22396359</v>
      </c>
      <c r="F323" s="21">
        <f>-IFERROR(HLOOKUP("Exp_RA",CF_Gen_4[#All],MATCH($B323,CF_Gen_4[[#All],[Incurred]],0),0),0)</f>
        <v>-29927486.737772908</v>
      </c>
      <c r="G323" s="21">
        <f>-IFERROR(HLOOKUP("Exp_Expense",CF_Gen_4[#All],MATCH($B323,CF_Gen_4[[#All],[Incurred]],0),0),0)</f>
        <v>0</v>
      </c>
      <c r="H323" s="21">
        <f>-IFERROR(HLOOKUP("Exp_Commission",CF_Gen_4[#All],MATCH($B323,CF_Gen_4[[#All],[Incurred]],0),0),0)-IFERROR(HLOOKUP("Exp_Acquisition",CF_Gen_4[#All],MATCH($B323,CF_Gen_4[[#All],[Incurred]],0),0),0)</f>
        <v>333445045.35931212</v>
      </c>
      <c r="I323" s="22">
        <f>IF(AND($J323&lt;YEAR($A323),$B323&lt;=$A323),-IFERROR(HLOOKUP("Actual_Commission",CF_Gen_4[#All],MATCH($B323,CF_Gen_4[[#All],[Incurred]],0),0),0)-IFERROR(HLOOKUP("Actual_Acquisition",CF_Gen_4[#All],MATCH($B323,CF_Gen_4[[#All],[Incurred]],0),0),0),0)</f>
        <v>0</v>
      </c>
      <c r="J323" s="27">
        <f>VLOOKUP(L323,ICG[#All],2,0)</f>
        <v>2025</v>
      </c>
      <c r="K323" s="27" t="str">
        <f>VLOOKUP(L323,ICG[#All],3,0)</f>
        <v>RC-Property</v>
      </c>
      <c r="L323" s="27" t="str">
        <f t="shared" si="28"/>
        <v>#2025#RC-Property</v>
      </c>
    </row>
    <row r="324" spans="1:12">
      <c r="A324" s="26">
        <f t="shared" si="26"/>
        <v>45930</v>
      </c>
      <c r="B324" s="26">
        <f t="shared" si="27"/>
        <v>46387</v>
      </c>
      <c r="C324" s="21">
        <f>IFERROR(HLOOKUP("Exp_Premium",CF_Gen_4[#All],MATCH($B324,CF_Gen_4[[#All],[Incurred]],0),0),0)</f>
        <v>932962137.16943872</v>
      </c>
      <c r="D324" s="22">
        <f>IF(AND($J324&lt;YEAR($A324),$B324&lt;=$A324),IFERROR(HLOOKUP("Actual_Premium",CF_Gen_4[#All],MATCH($B324,CF_Gen_4[[#All],[Incurred]],0),0),0),0)</f>
        <v>0</v>
      </c>
      <c r="E324" s="21">
        <f>-IFERROR(HLOOKUP("Exp_Claim",CF_Gen_4[#All],MATCH($B324,CF_Gen_4[[#All],[Incurred]],0),0),0)-IFERROR(HLOOKUP("Exp_NPR",CF_Gen_4[#All],MATCH($B324,CF_Gen_4[[#All],[Incurred]],0),0),0)</f>
        <v>-208101930.08828616</v>
      </c>
      <c r="F324" s="21">
        <f>-IFERROR(HLOOKUP("Exp_RA",CF_Gen_4[#All],MATCH($B324,CF_Gen_4[[#All],[Incurred]],0),0),0)</f>
        <v>-27832562.666128807</v>
      </c>
      <c r="G324" s="21">
        <f>-IFERROR(HLOOKUP("Exp_Expense",CF_Gen_4[#All],MATCH($B324,CF_Gen_4[[#All],[Incurred]],0),0),0)</f>
        <v>0</v>
      </c>
      <c r="H324" s="21">
        <f>-IFERROR(HLOOKUP("Exp_Commission",CF_Gen_4[#All],MATCH($B324,CF_Gen_4[[#All],[Incurred]],0),0),0)-IFERROR(HLOOKUP("Exp_Acquisition",CF_Gen_4[#All],MATCH($B324,CF_Gen_4[[#All],[Incurred]],0),0),0)</f>
        <v>303212694.58006775</v>
      </c>
      <c r="I324" s="22">
        <f>IF(AND($J324&lt;YEAR($A324),$B324&lt;=$A324),-IFERROR(HLOOKUP("Actual_Commission",CF_Gen_4[#All],MATCH($B324,CF_Gen_4[[#All],[Incurred]],0),0),0)-IFERROR(HLOOKUP("Actual_Acquisition",CF_Gen_4[#All],MATCH($B324,CF_Gen_4[[#All],[Incurred]],0),0),0),0)</f>
        <v>0</v>
      </c>
      <c r="J324" s="27">
        <f>VLOOKUP(L324,ICG[#All],2,0)</f>
        <v>2025</v>
      </c>
      <c r="K324" s="27" t="str">
        <f>VLOOKUP(L324,ICG[#All],3,0)</f>
        <v>RC-Property</v>
      </c>
      <c r="L324" s="27" t="str">
        <f t="shared" si="28"/>
        <v>#2025#RC-Property</v>
      </c>
    </row>
    <row r="325" spans="1:12">
      <c r="A325" s="26">
        <f t="shared" si="26"/>
        <v>45930</v>
      </c>
      <c r="B325" s="26">
        <f t="shared" si="27"/>
        <v>46477</v>
      </c>
      <c r="C325" s="21">
        <f>IFERROR(HLOOKUP("Exp_Premium",CF_Gen_4[#All],MATCH($B325,CF_Gen_4[[#All],[Incurred]],0),0),0)</f>
        <v>847935360.57740557</v>
      </c>
      <c r="D325" s="22">
        <f>IF(AND($J325&lt;YEAR($A325),$B325&lt;=$A325),IFERROR(HLOOKUP("Actual_Premium",CF_Gen_4[#All],MATCH($B325,CF_Gen_4[[#All],[Incurred]],0),0),0),0)</f>
        <v>0</v>
      </c>
      <c r="E325" s="21">
        <f>-IFERROR(HLOOKUP("Exp_Claim",CF_Gen_4[#All],MATCH($B325,CF_Gen_4[[#All],[Incurred]],0),0),0)-IFERROR(HLOOKUP("Exp_NPR",CF_Gen_4[#All],MATCH($B325,CF_Gen_4[[#All],[Incurred]],0),0),0)</f>
        <v>-190602449.6035893</v>
      </c>
      <c r="F325" s="21">
        <f>-IFERROR(HLOOKUP("Exp_RA",CF_Gen_4[#All],MATCH($B325,CF_Gen_4[[#All],[Incurred]],0),0),0)</f>
        <v>-25492097.169204332</v>
      </c>
      <c r="G325" s="21">
        <f>-IFERROR(HLOOKUP("Exp_Expense",CF_Gen_4[#All],MATCH($B325,CF_Gen_4[[#All],[Incurred]],0),0),0)</f>
        <v>0</v>
      </c>
      <c r="H325" s="21">
        <f>-IFERROR(HLOOKUP("Exp_Commission",CF_Gen_4[#All],MATCH($B325,CF_Gen_4[[#All],[Incurred]],0),0),0)-IFERROR(HLOOKUP("Exp_Acquisition",CF_Gen_4[#All],MATCH($B325,CF_Gen_4[[#All],[Incurred]],0),0),0)</f>
        <v>275578992.18765706</v>
      </c>
      <c r="I325" s="22">
        <f>IF(AND($J325&lt;YEAR($A325),$B325&lt;=$A325),-IFERROR(HLOOKUP("Actual_Commission",CF_Gen_4[#All],MATCH($B325,CF_Gen_4[[#All],[Incurred]],0),0),0)-IFERROR(HLOOKUP("Actual_Acquisition",CF_Gen_4[#All],MATCH($B325,CF_Gen_4[[#All],[Incurred]],0),0),0),0)</f>
        <v>0</v>
      </c>
      <c r="J325" s="27">
        <f>VLOOKUP(L325,ICG[#All],2,0)</f>
        <v>2025</v>
      </c>
      <c r="K325" s="27" t="str">
        <f>VLOOKUP(L325,ICG[#All],3,0)</f>
        <v>RC-Property</v>
      </c>
      <c r="L325" s="27" t="str">
        <f t="shared" si="28"/>
        <v>#2025#RC-Property</v>
      </c>
    </row>
    <row r="326" spans="1:12">
      <c r="A326" s="26">
        <f t="shared" si="26"/>
        <v>45930</v>
      </c>
      <c r="B326" s="26">
        <f t="shared" si="27"/>
        <v>46568</v>
      </c>
      <c r="C326" s="21">
        <f>IFERROR(HLOOKUP("Exp_Premium",CF_Gen_4[#All],MATCH($B326,CF_Gen_4[[#All],[Incurred]],0),0),0)</f>
        <v>770518682.88917029</v>
      </c>
      <c r="D326" s="22">
        <f>IF(AND($J326&lt;YEAR($A326),$B326&lt;=$A326),IFERROR(HLOOKUP("Actual_Premium",CF_Gen_4[#All],MATCH($B326,CF_Gen_4[[#All],[Incurred]],0),0),0),0)</f>
        <v>0</v>
      </c>
      <c r="E326" s="21">
        <f>-IFERROR(HLOOKUP("Exp_Claim",CF_Gen_4[#All],MATCH($B326,CF_Gen_4[[#All],[Incurred]],0),0),0)-IFERROR(HLOOKUP("Exp_NPR",CF_Gen_4[#All],MATCH($B326,CF_Gen_4[[#All],[Incurred]],0),0),0)</f>
        <v>-174533196.92931747</v>
      </c>
      <c r="F326" s="21">
        <f>-IFERROR(HLOOKUP("Exp_RA",CF_Gen_4[#All],MATCH($B326,CF_Gen_4[[#All],[Incurred]],0),0),0)</f>
        <v>-23342917.28478526</v>
      </c>
      <c r="G326" s="21">
        <f>-IFERROR(HLOOKUP("Exp_Expense",CF_Gen_4[#All],MATCH($B326,CF_Gen_4[[#All],[Incurred]],0),0),0)</f>
        <v>0</v>
      </c>
      <c r="H326" s="21">
        <f>-IFERROR(HLOOKUP("Exp_Commission",CF_Gen_4[#All],MATCH($B326,CF_Gen_4[[#All],[Incurred]],0),0),0)-IFERROR(HLOOKUP("Exp_Acquisition",CF_Gen_4[#All],MATCH($B326,CF_Gen_4[[#All],[Incurred]],0),0),0)</f>
        <v>250418571.93898055</v>
      </c>
      <c r="I326" s="22">
        <f>IF(AND($J326&lt;YEAR($A326),$B326&lt;=$A326),-IFERROR(HLOOKUP("Actual_Commission",CF_Gen_4[#All],MATCH($B326,CF_Gen_4[[#All],[Incurred]],0),0),0)-IFERROR(HLOOKUP("Actual_Acquisition",CF_Gen_4[#All],MATCH($B326,CF_Gen_4[[#All],[Incurred]],0),0),0),0)</f>
        <v>0</v>
      </c>
      <c r="J326" s="27">
        <f>VLOOKUP(L326,ICG[#All],2,0)</f>
        <v>2025</v>
      </c>
      <c r="K326" s="27" t="str">
        <f>VLOOKUP(L326,ICG[#All],3,0)</f>
        <v>RC-Property</v>
      </c>
      <c r="L326" s="27" t="str">
        <f t="shared" si="28"/>
        <v>#2025#RC-Property</v>
      </c>
    </row>
    <row r="327" spans="1:12">
      <c r="A327" s="26">
        <f t="shared" si="26"/>
        <v>45930</v>
      </c>
      <c r="B327" s="26">
        <f t="shared" si="27"/>
        <v>46660</v>
      </c>
      <c r="C327" s="21">
        <f>IFERROR(HLOOKUP("Exp_Premium",CF_Gen_4[#All],MATCH($B327,CF_Gen_4[[#All],[Incurred]],0),0),0)</f>
        <v>700043870.93778908</v>
      </c>
      <c r="D327" s="22">
        <f>IF(AND($J327&lt;YEAR($A327),$B327&lt;=$A327),IFERROR(HLOOKUP("Actual_Premium",CF_Gen_4[#All],MATCH($B327,CF_Gen_4[[#All],[Incurred]],0),0),0),0)</f>
        <v>0</v>
      </c>
      <c r="E327" s="21">
        <f>-IFERROR(HLOOKUP("Exp_Claim",CF_Gen_4[#All],MATCH($B327,CF_Gen_4[[#All],[Incurred]],0),0),0)-IFERROR(HLOOKUP("Exp_NPR",CF_Gen_4[#All],MATCH($B327,CF_Gen_4[[#All],[Incurred]],0),0),0)</f>
        <v>-159779687.62638611</v>
      </c>
      <c r="F327" s="21">
        <f>-IFERROR(HLOOKUP("Exp_RA",CF_Gen_4[#All],MATCH($B327,CF_Gen_4[[#All],[Incurred]],0),0),0)</f>
        <v>-21369711.308055755</v>
      </c>
      <c r="G327" s="21">
        <f>-IFERROR(HLOOKUP("Exp_Expense",CF_Gen_4[#All],MATCH($B327,CF_Gen_4[[#All],[Incurred]],0),0),0)</f>
        <v>0</v>
      </c>
      <c r="H327" s="21">
        <f>-IFERROR(HLOOKUP("Exp_Commission",CF_Gen_4[#All],MATCH($B327,CF_Gen_4[[#All],[Incurred]],0),0),0)-IFERROR(HLOOKUP("Exp_Acquisition",CF_Gen_4[#All],MATCH($B327,CF_Gen_4[[#All],[Incurred]],0),0),0)</f>
        <v>227514258.05478162</v>
      </c>
      <c r="I327" s="22">
        <f>IF(AND($J327&lt;YEAR($A327),$B327&lt;=$A327),-IFERROR(HLOOKUP("Actual_Commission",CF_Gen_4[#All],MATCH($B327,CF_Gen_4[[#All],[Incurred]],0),0),0)-IFERROR(HLOOKUP("Actual_Acquisition",CF_Gen_4[#All],MATCH($B327,CF_Gen_4[[#All],[Incurred]],0),0),0),0)</f>
        <v>0</v>
      </c>
      <c r="J327" s="27">
        <f>VLOOKUP(L327,ICG[#All],2,0)</f>
        <v>2025</v>
      </c>
      <c r="K327" s="27" t="str">
        <f>VLOOKUP(L327,ICG[#All],3,0)</f>
        <v>RC-Property</v>
      </c>
      <c r="L327" s="27" t="str">
        <f t="shared" si="28"/>
        <v>#2025#RC-Property</v>
      </c>
    </row>
    <row r="328" spans="1:12">
      <c r="A328" s="26">
        <f t="shared" si="26"/>
        <v>45930</v>
      </c>
      <c r="B328" s="26">
        <f t="shared" si="27"/>
        <v>46752</v>
      </c>
      <c r="C328" s="21">
        <f>IFERROR(HLOOKUP("Exp_Premium",CF_Gen_4[#All],MATCH($B328,CF_Gen_4[[#All],[Incurred]],0),0),0)</f>
        <v>635900316.25186133</v>
      </c>
      <c r="D328" s="22">
        <f>IF(AND($J328&lt;YEAR($A328),$B328&lt;=$A328),IFERROR(HLOOKUP("Actual_Premium",CF_Gen_4[#All],MATCH($B328,CF_Gen_4[[#All],[Incurred]],0),0),0),0)</f>
        <v>0</v>
      </c>
      <c r="E328" s="21">
        <f>-IFERROR(HLOOKUP("Exp_Claim",CF_Gen_4[#All],MATCH($B328,CF_Gen_4[[#All],[Incurred]],0),0),0)-IFERROR(HLOOKUP("Exp_NPR",CF_Gen_4[#All],MATCH($B328,CF_Gen_4[[#All],[Incurred]],0),0),0)</f>
        <v>-148595109.49253905</v>
      </c>
      <c r="F328" s="21">
        <f>-IFERROR(HLOOKUP("Exp_RA",CF_Gen_4[#All],MATCH($B328,CF_Gen_4[[#All],[Incurred]],0),0),0)</f>
        <v>-19873831.516491849</v>
      </c>
      <c r="G328" s="21">
        <f>-IFERROR(HLOOKUP("Exp_Expense",CF_Gen_4[#All],MATCH($B328,CF_Gen_4[[#All],[Incurred]],0),0),0)</f>
        <v>0</v>
      </c>
      <c r="H328" s="21">
        <f>-IFERROR(HLOOKUP("Exp_Commission",CF_Gen_4[#All],MATCH($B328,CF_Gen_4[[#All],[Incurred]],0),0),0)-IFERROR(HLOOKUP("Exp_Acquisition",CF_Gen_4[#All],MATCH($B328,CF_Gen_4[[#All],[Incurred]],0),0),0)</f>
        <v>206667602.78185508</v>
      </c>
      <c r="I328" s="22">
        <f>IF(AND($J328&lt;YEAR($A328),$B328&lt;=$A328),-IFERROR(HLOOKUP("Actual_Commission",CF_Gen_4[#All],MATCH($B328,CF_Gen_4[[#All],[Incurred]],0),0),0)-IFERROR(HLOOKUP("Actual_Acquisition",CF_Gen_4[#All],MATCH($B328,CF_Gen_4[[#All],[Incurred]],0),0),0),0)</f>
        <v>0</v>
      </c>
      <c r="J328" s="27">
        <f>VLOOKUP(L328,ICG[#All],2,0)</f>
        <v>2025</v>
      </c>
      <c r="K328" s="27" t="str">
        <f>VLOOKUP(L328,ICG[#All],3,0)</f>
        <v>RC-Property</v>
      </c>
      <c r="L328" s="27" t="str">
        <f t="shared" si="28"/>
        <v>#2025#RC-Property</v>
      </c>
    </row>
    <row r="329" spans="1:12">
      <c r="A329" s="26">
        <f t="shared" si="26"/>
        <v>45930</v>
      </c>
      <c r="B329" s="26">
        <f t="shared" si="27"/>
        <v>46843</v>
      </c>
      <c r="C329" s="21">
        <f>IFERROR(HLOOKUP("Exp_Premium",CF_Gen_4[#All],MATCH($B329,CF_Gen_4[[#All],[Incurred]],0),0),0)</f>
        <v>577306644.25436831</v>
      </c>
      <c r="D329" s="22">
        <f>IF(AND($J329&lt;YEAR($A329),$B329&lt;=$A329),IFERROR(HLOOKUP("Actual_Premium",CF_Gen_4[#All],MATCH($B329,CF_Gen_4[[#All],[Incurred]],0),0),0),0)</f>
        <v>0</v>
      </c>
      <c r="E329" s="21">
        <f>-IFERROR(HLOOKUP("Exp_Claim",CF_Gen_4[#All],MATCH($B329,CF_Gen_4[[#All],[Incurred]],0),0),0)-IFERROR(HLOOKUP("Exp_NPR",CF_Gen_4[#All],MATCH($B329,CF_Gen_4[[#All],[Incurred]],0),0),0)</f>
        <v>-135999904.97364765</v>
      </c>
      <c r="F329" s="21">
        <f>-IFERROR(HLOOKUP("Exp_RA",CF_Gen_4[#All],MATCH($B329,CF_Gen_4[[#All],[Incurred]],0),0),0)</f>
        <v>-18189287.702236827</v>
      </c>
      <c r="G329" s="21">
        <f>-IFERROR(HLOOKUP("Exp_Expense",CF_Gen_4[#All],MATCH($B329,CF_Gen_4[[#All],[Incurred]],0),0),0)</f>
        <v>0</v>
      </c>
      <c r="H329" s="21">
        <f>-IFERROR(HLOOKUP("Exp_Commission",CF_Gen_4[#All],MATCH($B329,CF_Gen_4[[#All],[Incurred]],0),0),0)-IFERROR(HLOOKUP("Exp_Acquisition",CF_Gen_4[#All],MATCH($B329,CF_Gen_4[[#All],[Incurred]],0),0),0)</f>
        <v>187624659.38266984</v>
      </c>
      <c r="I329" s="22">
        <f>IF(AND($J329&lt;YEAR($A329),$B329&lt;=$A329),-IFERROR(HLOOKUP("Actual_Commission",CF_Gen_4[#All],MATCH($B329,CF_Gen_4[[#All],[Incurred]],0),0),0)-IFERROR(HLOOKUP("Actual_Acquisition",CF_Gen_4[#All],MATCH($B329,CF_Gen_4[[#All],[Incurred]],0),0),0),0)</f>
        <v>0</v>
      </c>
      <c r="J329" s="27">
        <f>VLOOKUP(L329,ICG[#All],2,0)</f>
        <v>2025</v>
      </c>
      <c r="K329" s="27" t="str">
        <f>VLOOKUP(L329,ICG[#All],3,0)</f>
        <v>RC-Property</v>
      </c>
      <c r="L329" s="27" t="str">
        <f t="shared" si="28"/>
        <v>#2025#RC-Property</v>
      </c>
    </row>
    <row r="330" spans="1:12">
      <c r="A330" s="26">
        <f t="shared" si="26"/>
        <v>45930</v>
      </c>
      <c r="B330" s="26">
        <f t="shared" si="27"/>
        <v>46934</v>
      </c>
      <c r="C330" s="21">
        <f>IFERROR(HLOOKUP("Exp_Premium",CF_Gen_4[#All],MATCH($B330,CF_Gen_4[[#All],[Incurred]],0),0),0)</f>
        <v>524008031.99910736</v>
      </c>
      <c r="D330" s="22">
        <f>IF(AND($J330&lt;YEAR($A330),$B330&lt;=$A330),IFERROR(HLOOKUP("Actual_Premium",CF_Gen_4[#All],MATCH($B330,CF_Gen_4[[#All],[Incurred]],0),0),0),0)</f>
        <v>0</v>
      </c>
      <c r="E330" s="21">
        <f>-IFERROR(HLOOKUP("Exp_Claim",CF_Gen_4[#All],MATCH($B330,CF_Gen_4[[#All],[Incurred]],0),0),0)-IFERROR(HLOOKUP("Exp_NPR",CF_Gen_4[#All],MATCH($B330,CF_Gen_4[[#All],[Incurred]],0),0),0)</f>
        <v>-124439913.05088757</v>
      </c>
      <c r="F330" s="21">
        <f>-IFERROR(HLOOKUP("Exp_RA",CF_Gen_4[#All],MATCH($B330,CF_Gen_4[[#All],[Incurred]],0),0),0)</f>
        <v>-16643198.247546693</v>
      </c>
      <c r="G330" s="21">
        <f>-IFERROR(HLOOKUP("Exp_Expense",CF_Gen_4[#All],MATCH($B330,CF_Gen_4[[#All],[Incurred]],0),0),0)</f>
        <v>0</v>
      </c>
      <c r="H330" s="21">
        <f>-IFERROR(HLOOKUP("Exp_Commission",CF_Gen_4[#All],MATCH($B330,CF_Gen_4[[#All],[Incurred]],0),0),0)-IFERROR(HLOOKUP("Exp_Acquisition",CF_Gen_4[#All],MATCH($B330,CF_Gen_4[[#All],[Incurred]],0),0),0)</f>
        <v>170302610.39970997</v>
      </c>
      <c r="I330" s="22">
        <f>IF(AND($J330&lt;YEAR($A330),$B330&lt;=$A330),-IFERROR(HLOOKUP("Actual_Commission",CF_Gen_4[#All],MATCH($B330,CF_Gen_4[[#All],[Incurred]],0),0),0)-IFERROR(HLOOKUP("Actual_Acquisition",CF_Gen_4[#All],MATCH($B330,CF_Gen_4[[#All],[Incurred]],0),0),0),0)</f>
        <v>0</v>
      </c>
      <c r="J330" s="27">
        <f>VLOOKUP(L330,ICG[#All],2,0)</f>
        <v>2025</v>
      </c>
      <c r="K330" s="27" t="str">
        <f>VLOOKUP(L330,ICG[#All],3,0)</f>
        <v>RC-Property</v>
      </c>
      <c r="L330" s="27" t="str">
        <f t="shared" si="28"/>
        <v>#2025#RC-Property</v>
      </c>
    </row>
    <row r="331" spans="1:12">
      <c r="A331" s="26">
        <f t="shared" si="26"/>
        <v>45930</v>
      </c>
      <c r="B331" s="26">
        <f t="shared" si="27"/>
        <v>47026</v>
      </c>
      <c r="C331" s="21">
        <f>IFERROR(HLOOKUP("Exp_Premium",CF_Gen_4[#All],MATCH($B331,CF_Gen_4[[#All],[Incurred]],0),0),0)</f>
        <v>475535730.11009836</v>
      </c>
      <c r="D331" s="22">
        <f>IF(AND($J331&lt;YEAR($A331),$B331&lt;=$A331),IFERROR(HLOOKUP("Actual_Premium",CF_Gen_4[#All],MATCH($B331,CF_Gen_4[[#All],[Incurred]],0),0),0),0)</f>
        <v>0</v>
      </c>
      <c r="E331" s="21">
        <f>-IFERROR(HLOOKUP("Exp_Claim",CF_Gen_4[#All],MATCH($B331,CF_Gen_4[[#All],[Incurred]],0),0),0)-IFERROR(HLOOKUP("Exp_NPR",CF_Gen_4[#All],MATCH($B331,CF_Gen_4[[#All],[Incurred]],0),0),0)</f>
        <v>-113831920.46294306</v>
      </c>
      <c r="F331" s="21">
        <f>-IFERROR(HLOOKUP("Exp_RA",CF_Gen_4[#All],MATCH($B331,CF_Gen_4[[#All],[Incurred]],0),0),0)</f>
        <v>-15224433.806772221</v>
      </c>
      <c r="G331" s="21">
        <f>-IFERROR(HLOOKUP("Exp_Expense",CF_Gen_4[#All],MATCH($B331,CF_Gen_4[[#All],[Incurred]],0),0),0)</f>
        <v>0</v>
      </c>
      <c r="H331" s="21">
        <f>-IFERROR(HLOOKUP("Exp_Commission",CF_Gen_4[#All],MATCH($B331,CF_Gen_4[[#All],[Incurred]],0),0),0)-IFERROR(HLOOKUP("Exp_Acquisition",CF_Gen_4[#All],MATCH($B331,CF_Gen_4[[#All],[Incurred]],0),0),0)</f>
        <v>154549112.28578204</v>
      </c>
      <c r="I331" s="22">
        <f>IF(AND($J331&lt;YEAR($A331),$B331&lt;=$A331),-IFERROR(HLOOKUP("Actual_Commission",CF_Gen_4[#All],MATCH($B331,CF_Gen_4[[#All],[Incurred]],0),0),0)-IFERROR(HLOOKUP("Actual_Acquisition",CF_Gen_4[#All],MATCH($B331,CF_Gen_4[[#All],[Incurred]],0),0),0),0)</f>
        <v>0</v>
      </c>
      <c r="J331" s="27">
        <f>VLOOKUP(L331,ICG[#All],2,0)</f>
        <v>2025</v>
      </c>
      <c r="K331" s="27" t="str">
        <f>VLOOKUP(L331,ICG[#All],3,0)</f>
        <v>RC-Property</v>
      </c>
      <c r="L331" s="27" t="str">
        <f t="shared" si="28"/>
        <v>#2025#RC-Property</v>
      </c>
    </row>
    <row r="332" spans="1:12">
      <c r="A332" s="26">
        <f t="shared" si="26"/>
        <v>45930</v>
      </c>
      <c r="B332" s="26">
        <f t="shared" si="27"/>
        <v>47118</v>
      </c>
      <c r="C332" s="21">
        <f>IFERROR(HLOOKUP("Exp_Premium",CF_Gen_4[#All],MATCH($B332,CF_Gen_4[[#All],[Incurred]],0),0),0)</f>
        <v>431461686.83160144</v>
      </c>
      <c r="D332" s="22">
        <f>IF(AND($J332&lt;YEAR($A332),$B332&lt;=$A332),IFERROR(HLOOKUP("Actual_Premium",CF_Gen_4[#All],MATCH($B332,CF_Gen_4[[#All],[Incurred]],0),0),0),0)</f>
        <v>0</v>
      </c>
      <c r="E332" s="21">
        <f>-IFERROR(HLOOKUP("Exp_Claim",CF_Gen_4[#All],MATCH($B332,CF_Gen_4[[#All],[Incurred]],0),0),0)-IFERROR(HLOOKUP("Exp_NPR",CF_Gen_4[#All],MATCH($B332,CF_Gen_4[[#All],[Incurred]],0),0),0)</f>
        <v>-105863686.03053704</v>
      </c>
      <c r="F332" s="21">
        <f>-IFERROR(HLOOKUP("Exp_RA",CF_Gen_4[#All],MATCH($B332,CF_Gen_4[[#All],[Incurred]],0),0),0)</f>
        <v>-14158723.440298164</v>
      </c>
      <c r="G332" s="21">
        <f>-IFERROR(HLOOKUP("Exp_Expense",CF_Gen_4[#All],MATCH($B332,CF_Gen_4[[#All],[Incurred]],0),0),0)</f>
        <v>0</v>
      </c>
      <c r="H332" s="21">
        <f>-IFERROR(HLOOKUP("Exp_Commission",CF_Gen_4[#All],MATCH($B332,CF_Gen_4[[#All],[Incurred]],0),0),0)-IFERROR(HLOOKUP("Exp_Acquisition",CF_Gen_4[#All],MATCH($B332,CF_Gen_4[[#All],[Incurred]],0),0),0)</f>
        <v>140225048.22027057</v>
      </c>
      <c r="I332" s="22">
        <f>IF(AND($J332&lt;YEAR($A332),$B332&lt;=$A332),-IFERROR(HLOOKUP("Actual_Commission",CF_Gen_4[#All],MATCH($B332,CF_Gen_4[[#All],[Incurred]],0),0),0)-IFERROR(HLOOKUP("Actual_Acquisition",CF_Gen_4[#All],MATCH($B332,CF_Gen_4[[#All],[Incurred]],0),0),0),0)</f>
        <v>0</v>
      </c>
      <c r="J332" s="27">
        <f>VLOOKUP(L332,ICG[#All],2,0)</f>
        <v>2025</v>
      </c>
      <c r="K332" s="27" t="str">
        <f>VLOOKUP(L332,ICG[#All],3,0)</f>
        <v>RC-Property</v>
      </c>
      <c r="L332" s="27" t="str">
        <f t="shared" si="28"/>
        <v>#2025#RC-Property</v>
      </c>
    </row>
    <row r="333" spans="1:12">
      <c r="A333" s="26">
        <f t="shared" si="26"/>
        <v>45930</v>
      </c>
      <c r="B333" s="26">
        <f t="shared" si="27"/>
        <v>47208</v>
      </c>
      <c r="C333" s="21">
        <f>IFERROR(HLOOKUP("Exp_Premium",CF_Gen_4[#All],MATCH($B333,CF_Gen_4[[#All],[Incurred]],0),0),0)</f>
        <v>391227884.53455448</v>
      </c>
      <c r="D333" s="22">
        <f>IF(AND($J333&lt;YEAR($A333),$B333&lt;=$A333),IFERROR(HLOOKUP("Actual_Premium",CF_Gen_4[#All],MATCH($B333,CF_Gen_4[[#All],[Incurred]],0),0),0),0)</f>
        <v>0</v>
      </c>
      <c r="E333" s="21">
        <f>-IFERROR(HLOOKUP("Exp_Claim",CF_Gen_4[#All],MATCH($B333,CF_Gen_4[[#All],[Incurred]],0),0),0)-IFERROR(HLOOKUP("Exp_NPR",CF_Gen_4[#All],MATCH($B333,CF_Gen_4[[#All],[Incurred]],0),0),0)</f>
        <v>-96812340.87492609</v>
      </c>
      <c r="F333" s="21">
        <f>-IFERROR(HLOOKUP("Exp_RA",CF_Gen_4[#All],MATCH($B333,CF_Gen_4[[#All],[Incurred]],0),0),0)</f>
        <v>-12948152.586152667</v>
      </c>
      <c r="G333" s="21">
        <f>-IFERROR(HLOOKUP("Exp_Expense",CF_Gen_4[#All],MATCH($B333,CF_Gen_4[[#All],[Incurred]],0),0),0)</f>
        <v>0</v>
      </c>
      <c r="H333" s="21">
        <f>-IFERROR(HLOOKUP("Exp_Commission",CF_Gen_4[#All],MATCH($B333,CF_Gen_4[[#All],[Incurred]],0),0),0)-IFERROR(HLOOKUP("Exp_Acquisition",CF_Gen_4[#All],MATCH($B333,CF_Gen_4[[#All],[Incurred]],0),0),0)</f>
        <v>127149062.47373031</v>
      </c>
      <c r="I333" s="22">
        <f>IF(AND($J333&lt;YEAR($A333),$B333&lt;=$A333),-IFERROR(HLOOKUP("Actual_Commission",CF_Gen_4[#All],MATCH($B333,CF_Gen_4[[#All],[Incurred]],0),0),0)-IFERROR(HLOOKUP("Actual_Acquisition",CF_Gen_4[#All],MATCH($B333,CF_Gen_4[[#All],[Incurred]],0),0),0),0)</f>
        <v>0</v>
      </c>
      <c r="J333" s="27">
        <f>VLOOKUP(L333,ICG[#All],2,0)</f>
        <v>2025</v>
      </c>
      <c r="K333" s="27" t="str">
        <f>VLOOKUP(L333,ICG[#All],3,0)</f>
        <v>RC-Property</v>
      </c>
      <c r="L333" s="27" t="str">
        <f t="shared" si="28"/>
        <v>#2025#RC-Property</v>
      </c>
    </row>
    <row r="334" spans="1:12">
      <c r="A334" s="26">
        <f t="shared" si="26"/>
        <v>45930</v>
      </c>
      <c r="B334" s="26">
        <f t="shared" si="27"/>
        <v>47299</v>
      </c>
      <c r="C334" s="21">
        <f>IFERROR(HLOOKUP("Exp_Premium",CF_Gen_4[#All],MATCH($B334,CF_Gen_4[[#All],[Incurred]],0),0),0)</f>
        <v>354668140.29901135</v>
      </c>
      <c r="D334" s="22">
        <f>IF(AND($J334&lt;YEAR($A334),$B334&lt;=$A334),IFERROR(HLOOKUP("Actual_Premium",CF_Gen_4[#All],MATCH($B334,CF_Gen_4[[#All],[Incurred]],0),0),0),0)</f>
        <v>0</v>
      </c>
      <c r="E334" s="21">
        <f>-IFERROR(HLOOKUP("Exp_Claim",CF_Gen_4[#All],MATCH($B334,CF_Gen_4[[#All],[Incurred]],0),0),0)-IFERROR(HLOOKUP("Exp_NPR",CF_Gen_4[#All],MATCH($B334,CF_Gen_4[[#All],[Incurred]],0),0),0)</f>
        <v>-88509451.979551107</v>
      </c>
      <c r="F334" s="21">
        <f>-IFERROR(HLOOKUP("Exp_RA",CF_Gen_4[#All],MATCH($B334,CF_Gen_4[[#All],[Incurred]],0),0),0)</f>
        <v>-11837683.906730086</v>
      </c>
      <c r="G334" s="21">
        <f>-IFERROR(HLOOKUP("Exp_Expense",CF_Gen_4[#All],MATCH($B334,CF_Gen_4[[#All],[Incurred]],0),0),0)</f>
        <v>0</v>
      </c>
      <c r="H334" s="21">
        <f>-IFERROR(HLOOKUP("Exp_Commission",CF_Gen_4[#All],MATCH($B334,CF_Gen_4[[#All],[Incurred]],0),0),0)-IFERROR(HLOOKUP("Exp_Acquisition",CF_Gen_4[#All],MATCH($B334,CF_Gen_4[[#All],[Incurred]],0),0),0)</f>
        <v>115267145.59717874</v>
      </c>
      <c r="I334" s="22">
        <f>IF(AND($J334&lt;YEAR($A334),$B334&lt;=$A334),-IFERROR(HLOOKUP("Actual_Commission",CF_Gen_4[#All],MATCH($B334,CF_Gen_4[[#All],[Incurred]],0),0),0)-IFERROR(HLOOKUP("Actual_Acquisition",CF_Gen_4[#All],MATCH($B334,CF_Gen_4[[#All],[Incurred]],0),0),0),0)</f>
        <v>0</v>
      </c>
      <c r="J334" s="27">
        <f>VLOOKUP(L334,ICG[#All],2,0)</f>
        <v>2025</v>
      </c>
      <c r="K334" s="27" t="str">
        <f>VLOOKUP(L334,ICG[#All],3,0)</f>
        <v>RC-Property</v>
      </c>
      <c r="L334" s="27" t="str">
        <f t="shared" si="28"/>
        <v>#2025#RC-Property</v>
      </c>
    </row>
    <row r="335" spans="1:12">
      <c r="A335" s="26">
        <f t="shared" si="26"/>
        <v>45930</v>
      </c>
      <c r="B335" s="26">
        <f t="shared" si="27"/>
        <v>47391</v>
      </c>
      <c r="C335" s="21">
        <f>IFERROR(HLOOKUP("Exp_Premium",CF_Gen_4[#All],MATCH($B335,CF_Gen_4[[#All],[Incurred]],0),0),0)</f>
        <v>321454347.46723932</v>
      </c>
      <c r="D335" s="22">
        <f>IF(AND($J335&lt;YEAR($A335),$B335&lt;=$A335),IFERROR(HLOOKUP("Actual_Premium",CF_Gen_4[#All],MATCH($B335,CF_Gen_4[[#All],[Incurred]],0),0),0),0)</f>
        <v>0</v>
      </c>
      <c r="E335" s="21">
        <f>-IFERROR(HLOOKUP("Exp_Claim",CF_Gen_4[#All],MATCH($B335,CF_Gen_4[[#All],[Incurred]],0),0),0)-IFERROR(HLOOKUP("Exp_NPR",CF_Gen_4[#All],MATCH($B335,CF_Gen_4[[#All],[Incurred]],0),0),0)</f>
        <v>-80894587.059241414</v>
      </c>
      <c r="F335" s="21">
        <f>-IFERROR(HLOOKUP("Exp_RA",CF_Gen_4[#All],MATCH($B335,CF_Gen_4[[#All],[Incurred]],0),0),0)</f>
        <v>-10819234.89475451</v>
      </c>
      <c r="G335" s="21">
        <f>-IFERROR(HLOOKUP("Exp_Expense",CF_Gen_4[#All],MATCH($B335,CF_Gen_4[[#All],[Incurred]],0),0),0)</f>
        <v>0</v>
      </c>
      <c r="H335" s="21">
        <f>-IFERROR(HLOOKUP("Exp_Commission",CF_Gen_4[#All],MATCH($B335,CF_Gen_4[[#All],[Incurred]],0),0),0)-IFERROR(HLOOKUP("Exp_Acquisition",CF_Gen_4[#All],MATCH($B335,CF_Gen_4[[#All],[Incurred]],0),0),0)</f>
        <v>104472662.92685284</v>
      </c>
      <c r="I335" s="22">
        <f>IF(AND($J335&lt;YEAR($A335),$B335&lt;=$A335),-IFERROR(HLOOKUP("Actual_Commission",CF_Gen_4[#All],MATCH($B335,CF_Gen_4[[#All],[Incurred]],0),0),0)-IFERROR(HLOOKUP("Actual_Acquisition",CF_Gen_4[#All],MATCH($B335,CF_Gen_4[[#All],[Incurred]],0),0),0),0)</f>
        <v>0</v>
      </c>
      <c r="J335" s="27">
        <f>VLOOKUP(L335,ICG[#All],2,0)</f>
        <v>2025</v>
      </c>
      <c r="K335" s="27" t="str">
        <f>VLOOKUP(L335,ICG[#All],3,0)</f>
        <v>RC-Property</v>
      </c>
      <c r="L335" s="27" t="str">
        <f t="shared" si="28"/>
        <v>#2025#RC-Property</v>
      </c>
    </row>
    <row r="336" spans="1:12">
      <c r="A336" s="26">
        <f t="shared" si="26"/>
        <v>45930</v>
      </c>
      <c r="B336" s="26">
        <f t="shared" si="27"/>
        <v>47483</v>
      </c>
      <c r="C336" s="21">
        <f>IFERROR(HLOOKUP("Exp_Premium",CF_Gen_4[#All],MATCH($B336,CF_Gen_4[[#All],[Incurred]],0),0),0)</f>
        <v>291287093.32031375</v>
      </c>
      <c r="D336" s="22">
        <f>IF(AND($J336&lt;YEAR($A336),$B336&lt;=$A336),IFERROR(HLOOKUP("Actual_Premium",CF_Gen_4[#All],MATCH($B336,CF_Gen_4[[#All],[Incurred]],0),0),0),0)</f>
        <v>0</v>
      </c>
      <c r="E336" s="21">
        <f>-IFERROR(HLOOKUP("Exp_Claim",CF_Gen_4[#All],MATCH($B336,CF_Gen_4[[#All],[Incurred]],0),0),0)-IFERROR(HLOOKUP("Exp_NPR",CF_Gen_4[#All],MATCH($B336,CF_Gen_4[[#All],[Incurred]],0),0),0)</f>
        <v>-75231965.965094507</v>
      </c>
      <c r="F336" s="21">
        <f>-IFERROR(HLOOKUP("Exp_RA",CF_Gen_4[#All],MATCH($B336,CF_Gen_4[[#All],[Incurred]],0),0),0)</f>
        <v>-10061888.452121696</v>
      </c>
      <c r="G336" s="21">
        <f>-IFERROR(HLOOKUP("Exp_Expense",CF_Gen_4[#All],MATCH($B336,CF_Gen_4[[#All],[Incurred]],0),0),0)</f>
        <v>0</v>
      </c>
      <c r="H336" s="21">
        <f>-IFERROR(HLOOKUP("Exp_Commission",CF_Gen_4[#All],MATCH($B336,CF_Gen_4[[#All],[Incurred]],0),0),0)-IFERROR(HLOOKUP("Exp_Acquisition",CF_Gen_4[#All],MATCH($B336,CF_Gen_4[[#All],[Incurred]],0),0),0)</f>
        <v>94668305.32910201</v>
      </c>
      <c r="I336" s="22">
        <f>IF(AND($J336&lt;YEAR($A336),$B336&lt;=$A336),-IFERROR(HLOOKUP("Actual_Commission",CF_Gen_4[#All],MATCH($B336,CF_Gen_4[[#All],[Incurred]],0),0),0)-IFERROR(HLOOKUP("Actual_Acquisition",CF_Gen_4[#All],MATCH($B336,CF_Gen_4[[#All],[Incurred]],0),0),0),0)</f>
        <v>0</v>
      </c>
      <c r="J336" s="27">
        <f>VLOOKUP(L336,ICG[#All],2,0)</f>
        <v>2025</v>
      </c>
      <c r="K336" s="27" t="str">
        <f>VLOOKUP(L336,ICG[#All],3,0)</f>
        <v>RC-Property</v>
      </c>
      <c r="L336" s="27" t="str">
        <f t="shared" si="28"/>
        <v>#2025#RC-Property</v>
      </c>
    </row>
    <row r="337" spans="1:12">
      <c r="A337" s="26">
        <f t="shared" si="26"/>
        <v>45930</v>
      </c>
      <c r="B337" s="26">
        <f t="shared" si="27"/>
        <v>47573</v>
      </c>
      <c r="C337" s="21">
        <f>IFERROR(HLOOKUP("Exp_Premium",CF_Gen_4[#All],MATCH($B337,CF_Gen_4[[#All],[Incurred]],0),0),0)</f>
        <v>263768128.4513683</v>
      </c>
      <c r="D337" s="22">
        <f>IF(AND($J337&lt;YEAR($A337),$B337&lt;=$A337),IFERROR(HLOOKUP("Actual_Premium",CF_Gen_4[#All],MATCH($B337,CF_Gen_4[[#All],[Incurred]],0),0),0),0)</f>
        <v>0</v>
      </c>
      <c r="E337" s="21">
        <f>-IFERROR(HLOOKUP("Exp_Claim",CF_Gen_4[#All],MATCH($B337,CF_Gen_4[[#All],[Incurred]],0),0),0)-IFERROR(HLOOKUP("Exp_NPR",CF_Gen_4[#All],MATCH($B337,CF_Gen_4[[#All],[Incurred]],0),0),0)</f>
        <v>-68738259.429160029</v>
      </c>
      <c r="F337" s="21">
        <f>-IFERROR(HLOOKUP("Exp_RA",CF_Gen_4[#All],MATCH($B337,CF_Gen_4[[#All],[Incurred]],0),0),0)</f>
        <v>-9193388.6067806631</v>
      </c>
      <c r="G337" s="21">
        <f>-IFERROR(HLOOKUP("Exp_Expense",CF_Gen_4[#All],MATCH($B337,CF_Gen_4[[#All],[Incurred]],0),0),0)</f>
        <v>0</v>
      </c>
      <c r="H337" s="21">
        <f>-IFERROR(HLOOKUP("Exp_Commission",CF_Gen_4[#All],MATCH($B337,CF_Gen_4[[#All],[Incurred]],0),0),0)-IFERROR(HLOOKUP("Exp_Acquisition",CF_Gen_4[#All],MATCH($B337,CF_Gen_4[[#All],[Incurred]],0),0),0)</f>
        <v>85724641.746694729</v>
      </c>
      <c r="I337" s="22">
        <f>IF(AND($J337&lt;YEAR($A337),$B337&lt;=$A337),-IFERROR(HLOOKUP("Actual_Commission",CF_Gen_4[#All],MATCH($B337,CF_Gen_4[[#All],[Incurred]],0),0),0)-IFERROR(HLOOKUP("Actual_Acquisition",CF_Gen_4[#All],MATCH($B337,CF_Gen_4[[#All],[Incurred]],0),0),0),0)</f>
        <v>0</v>
      </c>
      <c r="J337" s="27">
        <f>VLOOKUP(L337,ICG[#All],2,0)</f>
        <v>2025</v>
      </c>
      <c r="K337" s="27" t="str">
        <f>VLOOKUP(L337,ICG[#All],3,0)</f>
        <v>RC-Property</v>
      </c>
      <c r="L337" s="27" t="str">
        <f t="shared" si="28"/>
        <v>#2025#RC-Property</v>
      </c>
    </row>
    <row r="338" spans="1:12">
      <c r="A338" s="26">
        <f t="shared" si="26"/>
        <v>45930</v>
      </c>
      <c r="B338" s="26">
        <f t="shared" si="27"/>
        <v>47664</v>
      </c>
      <c r="C338" s="21">
        <f>IFERROR(HLOOKUP("Exp_Premium",CF_Gen_4[#All],MATCH($B338,CF_Gen_4[[#All],[Incurred]],0),0),0)</f>
        <v>238790825.02177</v>
      </c>
      <c r="D338" s="22">
        <f>IF(AND($J338&lt;YEAR($A338),$B338&lt;=$A338),IFERROR(HLOOKUP("Actual_Premium",CF_Gen_4[#All],MATCH($B338,CF_Gen_4[[#All],[Incurred]],0),0),0),0)</f>
        <v>0</v>
      </c>
      <c r="E338" s="21">
        <f>-IFERROR(HLOOKUP("Exp_Claim",CF_Gen_4[#All],MATCH($B338,CF_Gen_4[[#All],[Incurred]],0),0),0)-IFERROR(HLOOKUP("Exp_NPR",CF_Gen_4[#All],MATCH($B338,CF_Gen_4[[#All],[Incurred]],0),0),0)</f>
        <v>-62785035.175027408</v>
      </c>
      <c r="F338" s="21">
        <f>-IFERROR(HLOOKUP("Exp_RA",CF_Gen_4[#All],MATCH($B338,CF_Gen_4[[#All],[Incurred]],0),0),0)</f>
        <v>-8397175.4863719791</v>
      </c>
      <c r="G338" s="21">
        <f>-IFERROR(HLOOKUP("Exp_Expense",CF_Gen_4[#All],MATCH($B338,CF_Gen_4[[#All],[Incurred]],0),0),0)</f>
        <v>0</v>
      </c>
      <c r="H338" s="21">
        <f>-IFERROR(HLOOKUP("Exp_Commission",CF_Gen_4[#All],MATCH($B338,CF_Gen_4[[#All],[Incurred]],0),0),0)-IFERROR(HLOOKUP("Exp_Acquisition",CF_Gen_4[#All],MATCH($B338,CF_Gen_4[[#All],[Incurred]],0),0),0)</f>
        <v>77607018.132075295</v>
      </c>
      <c r="I338" s="22">
        <f>IF(AND($J338&lt;YEAR($A338),$B338&lt;=$A338),-IFERROR(HLOOKUP("Actual_Commission",CF_Gen_4[#All],MATCH($B338,CF_Gen_4[[#All],[Incurred]],0),0),0)-IFERROR(HLOOKUP("Actual_Acquisition",CF_Gen_4[#All],MATCH($B338,CF_Gen_4[[#All],[Incurred]],0),0),0),0)</f>
        <v>0</v>
      </c>
      <c r="J338" s="27">
        <f>VLOOKUP(L338,ICG[#All],2,0)</f>
        <v>2025</v>
      </c>
      <c r="K338" s="27" t="str">
        <f>VLOOKUP(L338,ICG[#All],3,0)</f>
        <v>RC-Property</v>
      </c>
      <c r="L338" s="27" t="str">
        <f t="shared" si="28"/>
        <v>#2025#RC-Property</v>
      </c>
    </row>
    <row r="339" spans="1:12">
      <c r="A339" s="26">
        <f t="shared" si="26"/>
        <v>45930</v>
      </c>
      <c r="B339" s="26">
        <f t="shared" si="27"/>
        <v>47756</v>
      </c>
      <c r="C339" s="21">
        <f>IFERROR(HLOOKUP("Exp_Premium",CF_Gen_4[#All],MATCH($B339,CF_Gen_4[[#All],[Incurred]],0),0),0)</f>
        <v>216126051.43982056</v>
      </c>
      <c r="D339" s="22">
        <f>IF(AND($J339&lt;YEAR($A339),$B339&lt;=$A339),IFERROR(HLOOKUP("Actual_Premium",CF_Gen_4[#All],MATCH($B339,CF_Gen_4[[#All],[Incurred]],0),0),0),0)</f>
        <v>0</v>
      </c>
      <c r="E339" s="21">
        <f>-IFERROR(HLOOKUP("Exp_Claim",CF_Gen_4[#All],MATCH($B339,CF_Gen_4[[#All],[Incurred]],0),0),0)-IFERROR(HLOOKUP("Exp_NPR",CF_Gen_4[#All],MATCH($B339,CF_Gen_4[[#All],[Incurred]],0),0),0)</f>
        <v>-57328444.845270485</v>
      </c>
      <c r="F339" s="21">
        <f>-IFERROR(HLOOKUP("Exp_RA",CF_Gen_4[#All],MATCH($B339,CF_Gen_4[[#All],[Incurred]],0),0),0)</f>
        <v>-7667384.5986472871</v>
      </c>
      <c r="G339" s="21">
        <f>-IFERROR(HLOOKUP("Exp_Expense",CF_Gen_4[#All],MATCH($B339,CF_Gen_4[[#All],[Incurred]],0),0),0)</f>
        <v>0</v>
      </c>
      <c r="H339" s="21">
        <f>-IFERROR(HLOOKUP("Exp_Commission",CF_Gen_4[#All],MATCH($B339,CF_Gen_4[[#All],[Incurred]],0),0),0)-IFERROR(HLOOKUP("Exp_Acquisition",CF_Gen_4[#All],MATCH($B339,CF_Gen_4[[#All],[Incurred]],0),0),0)</f>
        <v>70240966.717941731</v>
      </c>
      <c r="I339" s="22">
        <f>IF(AND($J339&lt;YEAR($A339),$B339&lt;=$A339),-IFERROR(HLOOKUP("Actual_Commission",CF_Gen_4[#All],MATCH($B339,CF_Gen_4[[#All],[Incurred]],0),0),0)-IFERROR(HLOOKUP("Actual_Acquisition",CF_Gen_4[#All],MATCH($B339,CF_Gen_4[[#All],[Incurred]],0),0),0),0)</f>
        <v>0</v>
      </c>
      <c r="J339" s="27">
        <f>VLOOKUP(L339,ICG[#All],2,0)</f>
        <v>2025</v>
      </c>
      <c r="K339" s="27" t="str">
        <f>VLOOKUP(L339,ICG[#All],3,0)</f>
        <v>RC-Property</v>
      </c>
      <c r="L339" s="27" t="str">
        <f t="shared" si="28"/>
        <v>#2025#RC-Property</v>
      </c>
    </row>
    <row r="340" spans="1:12">
      <c r="A340" s="26">
        <f t="shared" si="26"/>
        <v>45930</v>
      </c>
      <c r="B340" s="26">
        <f t="shared" si="27"/>
        <v>47848</v>
      </c>
      <c r="C340" s="21">
        <f>IFERROR(HLOOKUP("Exp_Premium",CF_Gen_4[#All],MATCH($B340,CF_Gen_4[[#All],[Incurred]],0),0),0)</f>
        <v>195564870.32987005</v>
      </c>
      <c r="D340" s="22">
        <f>IF(AND($J340&lt;YEAR($A340),$B340&lt;=$A340),IFERROR(HLOOKUP("Actual_Premium",CF_Gen_4[#All],MATCH($B340,CF_Gen_4[[#All],[Incurred]],0),0),0),0)</f>
        <v>0</v>
      </c>
      <c r="E340" s="21">
        <f>-IFERROR(HLOOKUP("Exp_Claim",CF_Gen_4[#All],MATCH($B340,CF_Gen_4[[#All],[Incurred]],0),0),0)-IFERROR(HLOOKUP("Exp_NPR",CF_Gen_4[#All],MATCH($B340,CF_Gen_4[[#All],[Incurred]],0),0),0)</f>
        <v>-53315453.706101544</v>
      </c>
      <c r="F340" s="21">
        <f>-IFERROR(HLOOKUP("Exp_RA",CF_Gen_4[#All],MATCH($B340,CF_Gen_4[[#All],[Incurred]],0),0),0)</f>
        <v>-7130667.6767419763</v>
      </c>
      <c r="G340" s="21">
        <f>-IFERROR(HLOOKUP("Exp_Expense",CF_Gen_4[#All],MATCH($B340,CF_Gen_4[[#All],[Incurred]],0),0),0)</f>
        <v>0</v>
      </c>
      <c r="H340" s="21">
        <f>-IFERROR(HLOOKUP("Exp_Commission",CF_Gen_4[#All],MATCH($B340,CF_Gen_4[[#All],[Incurred]],0),0),0)-IFERROR(HLOOKUP("Exp_Acquisition",CF_Gen_4[#All],MATCH($B340,CF_Gen_4[[#All],[Incurred]],0),0),0)</f>
        <v>63558582.857207812</v>
      </c>
      <c r="I340" s="22">
        <f>IF(AND($J340&lt;YEAR($A340),$B340&lt;=$A340),-IFERROR(HLOOKUP("Actual_Commission",CF_Gen_4[#All],MATCH($B340,CF_Gen_4[[#All],[Incurred]],0),0),0)-IFERROR(HLOOKUP("Actual_Acquisition",CF_Gen_4[#All],MATCH($B340,CF_Gen_4[[#All],[Incurred]],0),0),0),0)</f>
        <v>0</v>
      </c>
      <c r="J340" s="27">
        <f>VLOOKUP(L340,ICG[#All],2,0)</f>
        <v>2025</v>
      </c>
      <c r="K340" s="27" t="str">
        <f>VLOOKUP(L340,ICG[#All],3,0)</f>
        <v>RC-Property</v>
      </c>
      <c r="L340" s="27" t="str">
        <f t="shared" si="28"/>
        <v>#2025#RC-Property</v>
      </c>
    </row>
    <row r="341" spans="1:12">
      <c r="A341" s="26">
        <f t="shared" si="26"/>
        <v>45930</v>
      </c>
      <c r="B341" s="26">
        <f t="shared" si="27"/>
        <v>47938</v>
      </c>
      <c r="C341" s="21">
        <f>IFERROR(HLOOKUP("Exp_Premium",CF_Gen_4[#All],MATCH($B341,CF_Gen_4[[#All],[Incurred]],0),0),0)</f>
        <v>176823236.92325753</v>
      </c>
      <c r="D341" s="22">
        <f>IF(AND($J341&lt;YEAR($A341),$B341&lt;=$A341),IFERROR(HLOOKUP("Actual_Premium",CF_Gen_4[#All],MATCH($B341,CF_Gen_4[[#All],[Incurred]],0),0),0),0)</f>
        <v>0</v>
      </c>
      <c r="E341" s="21">
        <f>-IFERROR(HLOOKUP("Exp_Claim",CF_Gen_4[#All],MATCH($B341,CF_Gen_4[[#All],[Incurred]],0),0),0)-IFERROR(HLOOKUP("Exp_NPR",CF_Gen_4[#All],MATCH($B341,CF_Gen_4[[#All],[Incurred]],0),0),0)</f>
        <v>-48665161.355069347</v>
      </c>
      <c r="F341" s="21">
        <f>-IFERROR(HLOOKUP("Exp_RA",CF_Gen_4[#All],MATCH($B341,CF_Gen_4[[#All],[Incurred]],0),0),0)</f>
        <v>-6508714.9960483694</v>
      </c>
      <c r="G341" s="21">
        <f>-IFERROR(HLOOKUP("Exp_Expense",CF_Gen_4[#All],MATCH($B341,CF_Gen_4[[#All],[Incurred]],0),0),0)</f>
        <v>0</v>
      </c>
      <c r="H341" s="21">
        <f>-IFERROR(HLOOKUP("Exp_Commission",CF_Gen_4[#All],MATCH($B341,CF_Gen_4[[#All],[Incurred]],0),0),0)-IFERROR(HLOOKUP("Exp_Acquisition",CF_Gen_4[#All],MATCH($B341,CF_Gen_4[[#All],[Incurred]],0),0),0)</f>
        <v>57467552.000058718</v>
      </c>
      <c r="I341" s="22">
        <f>IF(AND($J341&lt;YEAR($A341),$B341&lt;=$A341),-IFERROR(HLOOKUP("Actual_Commission",CF_Gen_4[#All],MATCH($B341,CF_Gen_4[[#All],[Incurred]],0),0),0)-IFERROR(HLOOKUP("Actual_Acquisition",CF_Gen_4[#All],MATCH($B341,CF_Gen_4[[#All],[Incurred]],0),0),0),0)</f>
        <v>0</v>
      </c>
      <c r="J341" s="27">
        <f>VLOOKUP(L341,ICG[#All],2,0)</f>
        <v>2025</v>
      </c>
      <c r="K341" s="27" t="str">
        <f>VLOOKUP(L341,ICG[#All],3,0)</f>
        <v>RC-Property</v>
      </c>
      <c r="L341" s="27" t="str">
        <f t="shared" si="28"/>
        <v>#2025#RC-Property</v>
      </c>
    </row>
    <row r="342" spans="1:12">
      <c r="A342" s="26">
        <f t="shared" si="26"/>
        <v>45930</v>
      </c>
      <c r="B342" s="26">
        <f t="shared" si="27"/>
        <v>48029</v>
      </c>
      <c r="C342" s="21">
        <f>IFERROR(HLOOKUP("Exp_Premium",CF_Gen_4[#All],MATCH($B342,CF_Gen_4[[#All],[Incurred]],0),0),0)</f>
        <v>159834172.58839276</v>
      </c>
      <c r="D342" s="22">
        <f>IF(AND($J342&lt;YEAR($A342),$B342&lt;=$A342),IFERROR(HLOOKUP("Actual_Premium",CF_Gen_4[#All],MATCH($B342,CF_Gen_4[[#All],[Incurred]],0),0),0),0)</f>
        <v>0</v>
      </c>
      <c r="E342" s="21">
        <f>-IFERROR(HLOOKUP("Exp_Claim",CF_Gen_4[#All],MATCH($B342,CF_Gen_4[[#All],[Incurred]],0),0),0)-IFERROR(HLOOKUP("Exp_NPR",CF_Gen_4[#All],MATCH($B342,CF_Gen_4[[#All],[Incurred]],0),0),0)</f>
        <v>-44404664.210021764</v>
      </c>
      <c r="F342" s="21">
        <f>-IFERROR(HLOOKUP("Exp_RA",CF_Gen_4[#All],MATCH($B342,CF_Gen_4[[#All],[Incurred]],0),0),0)</f>
        <v>-5938895.4190358333</v>
      </c>
      <c r="G342" s="21">
        <f>-IFERROR(HLOOKUP("Exp_Expense",CF_Gen_4[#All],MATCH($B342,CF_Gen_4[[#All],[Incurred]],0),0),0)</f>
        <v>0</v>
      </c>
      <c r="H342" s="21">
        <f>-IFERROR(HLOOKUP("Exp_Commission",CF_Gen_4[#All],MATCH($B342,CF_Gen_4[[#All],[Incurred]],0),0),0)-IFERROR(HLOOKUP("Exp_Acquisition",CF_Gen_4[#All],MATCH($B342,CF_Gen_4[[#All],[Incurred]],0),0),0)</f>
        <v>51946106.091227673</v>
      </c>
      <c r="I342" s="22">
        <f>IF(AND($J342&lt;YEAR($A342),$B342&lt;=$A342),-IFERROR(HLOOKUP("Actual_Commission",CF_Gen_4[#All],MATCH($B342,CF_Gen_4[[#All],[Incurred]],0),0),0)-IFERROR(HLOOKUP("Actual_Acquisition",CF_Gen_4[#All],MATCH($B342,CF_Gen_4[[#All],[Incurred]],0),0),0),0)</f>
        <v>0</v>
      </c>
      <c r="J342" s="27">
        <f>VLOOKUP(L342,ICG[#All],2,0)</f>
        <v>2025</v>
      </c>
      <c r="K342" s="27" t="str">
        <f>VLOOKUP(L342,ICG[#All],3,0)</f>
        <v>RC-Property</v>
      </c>
      <c r="L342" s="27" t="str">
        <f t="shared" si="28"/>
        <v>#2025#RC-Property</v>
      </c>
    </row>
    <row r="343" spans="1:12">
      <c r="A343" s="26">
        <f t="shared" si="26"/>
        <v>45930</v>
      </c>
      <c r="B343" s="26">
        <f t="shared" si="27"/>
        <v>48121</v>
      </c>
      <c r="C343" s="21">
        <f>IFERROR(HLOOKUP("Exp_Premium",CF_Gen_4[#All],MATCH($B343,CF_Gen_4[[#All],[Incurred]],0),0),0)</f>
        <v>144438061.08076283</v>
      </c>
      <c r="D343" s="22">
        <f>IF(AND($J343&lt;YEAR($A343),$B343&lt;=$A343),IFERROR(HLOOKUP("Actual_Premium",CF_Gen_4[#All],MATCH($B343,CF_Gen_4[[#All],[Incurred]],0),0),0),0)</f>
        <v>0</v>
      </c>
      <c r="E343" s="21">
        <f>-IFERROR(HLOOKUP("Exp_Claim",CF_Gen_4[#All],MATCH($B343,CF_Gen_4[[#All],[Incurred]],0),0),0)-IFERROR(HLOOKUP("Exp_NPR",CF_Gen_4[#All],MATCH($B343,CF_Gen_4[[#All],[Incurred]],0),0),0)</f>
        <v>-40502177.374641001</v>
      </c>
      <c r="F343" s="21">
        <f>-IFERROR(HLOOKUP("Exp_RA",CF_Gen_4[#All],MATCH($B343,CF_Gen_4[[#All],[Incurred]],0),0),0)</f>
        <v>-5416957.8793244138</v>
      </c>
      <c r="G343" s="21">
        <f>-IFERROR(HLOOKUP("Exp_Expense",CF_Gen_4[#All],MATCH($B343,CF_Gen_4[[#All],[Incurred]],0),0),0)</f>
        <v>0</v>
      </c>
      <c r="H343" s="21">
        <f>-IFERROR(HLOOKUP("Exp_Commission",CF_Gen_4[#All],MATCH($B343,CF_Gen_4[[#All],[Incurred]],0),0),0)-IFERROR(HLOOKUP("Exp_Acquisition",CF_Gen_4[#All],MATCH($B343,CF_Gen_4[[#All],[Incurred]],0),0),0)</f>
        <v>46942369.851247966</v>
      </c>
      <c r="I343" s="22">
        <f>IF(AND($J343&lt;YEAR($A343),$B343&lt;=$A343),-IFERROR(HLOOKUP("Actual_Commission",CF_Gen_4[#All],MATCH($B343,CF_Gen_4[[#All],[Incurred]],0),0),0)-IFERROR(HLOOKUP("Actual_Acquisition",CF_Gen_4[#All],MATCH($B343,CF_Gen_4[[#All],[Incurred]],0),0),0),0)</f>
        <v>0</v>
      </c>
      <c r="J343" s="27">
        <f>VLOOKUP(L343,ICG[#All],2,0)</f>
        <v>2025</v>
      </c>
      <c r="K343" s="27" t="str">
        <f>VLOOKUP(L343,ICG[#All],3,0)</f>
        <v>RC-Property</v>
      </c>
      <c r="L343" s="27" t="str">
        <f t="shared" si="28"/>
        <v>#2025#RC-Property</v>
      </c>
    </row>
    <row r="344" spans="1:12">
      <c r="A344" s="26">
        <f t="shared" si="26"/>
        <v>45930</v>
      </c>
      <c r="B344" s="26">
        <f t="shared" si="27"/>
        <v>48213</v>
      </c>
      <c r="C344" s="21">
        <f>IFERROR(HLOOKUP("Exp_Premium",CF_Gen_4[#All],MATCH($B344,CF_Gen_4[[#All],[Incurred]],0),0),0)</f>
        <v>130489471.18210629</v>
      </c>
      <c r="D344" s="22">
        <f>IF(AND($J344&lt;YEAR($A344),$B344&lt;=$A344),IFERROR(HLOOKUP("Actual_Premium",CF_Gen_4[#All],MATCH($B344,CF_Gen_4[[#All],[Incurred]],0),0),0),0)</f>
        <v>0</v>
      </c>
      <c r="E344" s="21">
        <f>-IFERROR(HLOOKUP("Exp_Claim",CF_Gen_4[#All],MATCH($B344,CF_Gen_4[[#All],[Incurred]],0),0),0)-IFERROR(HLOOKUP("Exp_NPR",CF_Gen_4[#All],MATCH($B344,CF_Gen_4[[#All],[Incurred]],0),0),0)</f>
        <v>-37667024.958416119</v>
      </c>
      <c r="F344" s="21">
        <f>-IFERROR(HLOOKUP("Exp_RA",CF_Gen_4[#All],MATCH($B344,CF_Gen_4[[#All],[Incurred]],0),0),0)</f>
        <v>-5037770.8277717037</v>
      </c>
      <c r="G344" s="21">
        <f>-IFERROR(HLOOKUP("Exp_Expense",CF_Gen_4[#All],MATCH($B344,CF_Gen_4[[#All],[Incurred]],0),0),0)</f>
        <v>0</v>
      </c>
      <c r="H344" s="21">
        <f>-IFERROR(HLOOKUP("Exp_Commission",CF_Gen_4[#All],MATCH($B344,CF_Gen_4[[#All],[Incurred]],0),0),0)-IFERROR(HLOOKUP("Exp_Acquisition",CF_Gen_4[#All],MATCH($B344,CF_Gen_4[[#All],[Incurred]],0),0),0)</f>
        <v>42409078.134184584</v>
      </c>
      <c r="I344" s="22">
        <f>IF(AND($J344&lt;YEAR($A344),$B344&lt;=$A344),-IFERROR(HLOOKUP("Actual_Commission",CF_Gen_4[#All],MATCH($B344,CF_Gen_4[[#All],[Incurred]],0),0),0)-IFERROR(HLOOKUP("Actual_Acquisition",CF_Gen_4[#All],MATCH($B344,CF_Gen_4[[#All],[Incurred]],0),0),0),0)</f>
        <v>0</v>
      </c>
      <c r="J344" s="27">
        <f>VLOOKUP(L344,ICG[#All],2,0)</f>
        <v>2025</v>
      </c>
      <c r="K344" s="27" t="str">
        <f>VLOOKUP(L344,ICG[#All],3,0)</f>
        <v>RC-Property</v>
      </c>
      <c r="L344" s="27" t="str">
        <f t="shared" si="28"/>
        <v>#2025#RC-Property</v>
      </c>
    </row>
    <row r="345" spans="1:12">
      <c r="A345" s="26">
        <f t="shared" si="26"/>
        <v>45930</v>
      </c>
      <c r="B345" s="26">
        <f t="shared" si="27"/>
        <v>48304</v>
      </c>
      <c r="C345" s="21">
        <f>IFERROR(HLOOKUP("Exp_Premium",CF_Gen_4[#All],MATCH($B345,CF_Gen_4[[#All],[Incurred]],0),0),0)</f>
        <v>117785937.36996596</v>
      </c>
      <c r="D345" s="22">
        <f>IF(AND($J345&lt;YEAR($A345),$B345&lt;=$A345),IFERROR(HLOOKUP("Actual_Premium",CF_Gen_4[#All],MATCH($B345,CF_Gen_4[[#All],[Incurred]],0),0),0),0)</f>
        <v>0</v>
      </c>
      <c r="E345" s="21">
        <f>-IFERROR(HLOOKUP("Exp_Claim",CF_Gen_4[#All],MATCH($B345,CF_Gen_4[[#All],[Incurred]],0),0),0)-IFERROR(HLOOKUP("Exp_NPR",CF_Gen_4[#All],MATCH($B345,CF_Gen_4[[#All],[Incurred]],0),0),0)</f>
        <v>-34343463.932673529</v>
      </c>
      <c r="F345" s="21">
        <f>-IFERROR(HLOOKUP("Exp_RA",CF_Gen_4[#All],MATCH($B345,CF_Gen_4[[#All],[Incurred]],0),0),0)</f>
        <v>-4593261.6370859658</v>
      </c>
      <c r="G345" s="21">
        <f>-IFERROR(HLOOKUP("Exp_Expense",CF_Gen_4[#All],MATCH($B345,CF_Gen_4[[#All],[Incurred]],0),0),0)</f>
        <v>0</v>
      </c>
      <c r="H345" s="21">
        <f>-IFERROR(HLOOKUP("Exp_Commission",CF_Gen_4[#All],MATCH($B345,CF_Gen_4[[#All],[Incurred]],0),0),0)-IFERROR(HLOOKUP("Exp_Acquisition",CF_Gen_4[#All],MATCH($B345,CF_Gen_4[[#All],[Incurred]],0),0),0)</f>
        <v>38280429.645238958</v>
      </c>
      <c r="I345" s="22">
        <f>IF(AND($J345&lt;YEAR($A345),$B345&lt;=$A345),-IFERROR(HLOOKUP("Actual_Commission",CF_Gen_4[#All],MATCH($B345,CF_Gen_4[[#All],[Incurred]],0),0),0)-IFERROR(HLOOKUP("Actual_Acquisition",CF_Gen_4[#All],MATCH($B345,CF_Gen_4[[#All],[Incurred]],0),0),0),0)</f>
        <v>0</v>
      </c>
      <c r="J345" s="27">
        <f>VLOOKUP(L345,ICG[#All],2,0)</f>
        <v>2025</v>
      </c>
      <c r="K345" s="27" t="str">
        <f>VLOOKUP(L345,ICG[#All],3,0)</f>
        <v>RC-Property</v>
      </c>
      <c r="L345" s="27" t="str">
        <f t="shared" si="28"/>
        <v>#2025#RC-Property</v>
      </c>
    </row>
    <row r="346" spans="1:12">
      <c r="A346" s="26">
        <f t="shared" si="26"/>
        <v>45930</v>
      </c>
      <c r="B346" s="26">
        <f t="shared" si="27"/>
        <v>48395</v>
      </c>
      <c r="C346" s="21">
        <f>IFERROR(HLOOKUP("Exp_Premium",CF_Gen_4[#All],MATCH($B346,CF_Gen_4[[#All],[Incurred]],0),0),0)</f>
        <v>106286586.58609244</v>
      </c>
      <c r="D346" s="22">
        <f>IF(AND($J346&lt;YEAR($A346),$B346&lt;=$A346),IFERROR(HLOOKUP("Actual_Premium",CF_Gen_4[#All],MATCH($B346,CF_Gen_4[[#All],[Incurred]],0),0),0),0)</f>
        <v>0</v>
      </c>
      <c r="E346" s="21">
        <f>-IFERROR(HLOOKUP("Exp_Claim",CF_Gen_4[#All],MATCH($B346,CF_Gen_4[[#All],[Incurred]],0),0),0)-IFERROR(HLOOKUP("Exp_NPR",CF_Gen_4[#All],MATCH($B346,CF_Gen_4[[#All],[Incurred]],0),0),0)</f>
        <v>-31300633.028238647</v>
      </c>
      <c r="F346" s="21">
        <f>-IFERROR(HLOOKUP("Exp_RA",CF_Gen_4[#All],MATCH($B346,CF_Gen_4[[#All],[Incurred]],0),0),0)</f>
        <v>-4186298.6560401483</v>
      </c>
      <c r="G346" s="21">
        <f>-IFERROR(HLOOKUP("Exp_Expense",CF_Gen_4[#All],MATCH($B346,CF_Gen_4[[#All],[Incurred]],0),0),0)</f>
        <v>0</v>
      </c>
      <c r="H346" s="21">
        <f>-IFERROR(HLOOKUP("Exp_Commission",CF_Gen_4[#All],MATCH($B346,CF_Gen_4[[#All],[Incurred]],0),0),0)-IFERROR(HLOOKUP("Exp_Acquisition",CF_Gen_4[#All],MATCH($B346,CF_Gen_4[[#All],[Incurred]],0),0),0)</f>
        <v>34543140.640480064</v>
      </c>
      <c r="I346" s="22">
        <f>IF(AND($J346&lt;YEAR($A346),$B346&lt;=$A346),-IFERROR(HLOOKUP("Actual_Commission",CF_Gen_4[#All],MATCH($B346,CF_Gen_4[[#All],[Incurred]],0),0),0)-IFERROR(HLOOKUP("Actual_Acquisition",CF_Gen_4[#All],MATCH($B346,CF_Gen_4[[#All],[Incurred]],0),0),0),0)</f>
        <v>0</v>
      </c>
      <c r="J346" s="27">
        <f>VLOOKUP(L346,ICG[#All],2,0)</f>
        <v>2025</v>
      </c>
      <c r="K346" s="27" t="str">
        <f>VLOOKUP(L346,ICG[#All],3,0)</f>
        <v>RC-Property</v>
      </c>
      <c r="L346" s="27" t="str">
        <f t="shared" si="28"/>
        <v>#2025#RC-Property</v>
      </c>
    </row>
    <row r="347" spans="1:12">
      <c r="A347" s="26">
        <f t="shared" si="26"/>
        <v>45930</v>
      </c>
      <c r="B347" s="26">
        <f t="shared" si="27"/>
        <v>48487</v>
      </c>
      <c r="C347" s="21">
        <f>IFERROR(HLOOKUP("Exp_Premium",CF_Gen_4[#All],MATCH($B347,CF_Gen_4[[#All],[Incurred]],0),0),0)</f>
        <v>95880524.452972755</v>
      </c>
      <c r="D347" s="22">
        <f>IF(AND($J347&lt;YEAR($A347),$B347&lt;=$A347),IFERROR(HLOOKUP("Actual_Premium",CF_Gen_4[#All],MATCH($B347,CF_Gen_4[[#All],[Incurred]],0),0),0),0)</f>
        <v>0</v>
      </c>
      <c r="E347" s="21">
        <f>-IFERROR(HLOOKUP("Exp_Claim",CF_Gen_4[#All],MATCH($B347,CF_Gen_4[[#All],[Incurred]],0),0),0)-IFERROR(HLOOKUP("Exp_NPR",CF_Gen_4[#All],MATCH($B347,CF_Gen_4[[#All],[Incurred]],0),0),0)</f>
        <v>-28515515.477154553</v>
      </c>
      <c r="F347" s="21">
        <f>-IFERROR(HLOOKUP("Exp_RA",CF_Gen_4[#All],MATCH($B347,CF_Gen_4[[#All],[Incurred]],0),0),0)</f>
        <v>-3813803.5103190248</v>
      </c>
      <c r="G347" s="21">
        <f>-IFERROR(HLOOKUP("Exp_Expense",CF_Gen_4[#All],MATCH($B347,CF_Gen_4[[#All],[Incurred]],0),0),0)</f>
        <v>0</v>
      </c>
      <c r="H347" s="21">
        <f>-IFERROR(HLOOKUP("Exp_Commission",CF_Gen_4[#All],MATCH($B347,CF_Gen_4[[#All],[Incurred]],0),0),0)-IFERROR(HLOOKUP("Exp_Acquisition",CF_Gen_4[#All],MATCH($B347,CF_Gen_4[[#All],[Incurred]],0),0),0)</f>
        <v>31161170.447216161</v>
      </c>
      <c r="I347" s="22">
        <f>IF(AND($J347&lt;YEAR($A347),$B347&lt;=$A347),-IFERROR(HLOOKUP("Actual_Commission",CF_Gen_4[#All],MATCH($B347,CF_Gen_4[[#All],[Incurred]],0),0),0)-IFERROR(HLOOKUP("Actual_Acquisition",CF_Gen_4[#All],MATCH($B347,CF_Gen_4[[#All],[Incurred]],0),0),0),0)</f>
        <v>0</v>
      </c>
      <c r="J347" s="27">
        <f>VLOOKUP(L347,ICG[#All],2,0)</f>
        <v>2025</v>
      </c>
      <c r="K347" s="27" t="str">
        <f>VLOOKUP(L347,ICG[#All],3,0)</f>
        <v>RC-Property</v>
      </c>
      <c r="L347" s="27" t="str">
        <f t="shared" si="28"/>
        <v>#2025#RC-Property</v>
      </c>
    </row>
    <row r="348" spans="1:12">
      <c r="A348" s="26">
        <f t="shared" si="26"/>
        <v>45930</v>
      </c>
      <c r="B348" s="26">
        <f t="shared" si="27"/>
        <v>48579</v>
      </c>
      <c r="C348" s="21">
        <f>IFERROR(HLOOKUP("Exp_Premium",CF_Gen_4[#All],MATCH($B348,CF_Gen_4[[#All],[Incurred]],0),0),0)</f>
        <v>86466800.233953595</v>
      </c>
      <c r="D348" s="22">
        <f>IF(AND($J348&lt;YEAR($A348),$B348&lt;=$A348),IFERROR(HLOOKUP("Actual_Premium",CF_Gen_4[#All],MATCH($B348,CF_Gen_4[[#All],[Incurred]],0),0),0),0)</f>
        <v>0</v>
      </c>
      <c r="E348" s="21">
        <f>-IFERROR(HLOOKUP("Exp_Claim",CF_Gen_4[#All],MATCH($B348,CF_Gen_4[[#All],[Incurred]],0),0),0)-IFERROR(HLOOKUP("Exp_NPR",CF_Gen_4[#All],MATCH($B348,CF_Gen_4[[#All],[Incurred]],0),0),0)</f>
        <v>-26519429.39375373</v>
      </c>
      <c r="F348" s="21">
        <f>-IFERROR(HLOOKUP("Exp_RA",CF_Gen_4[#All],MATCH($B348,CF_Gen_4[[#All],[Incurred]],0),0),0)</f>
        <v>-3546837.2645966923</v>
      </c>
      <c r="G348" s="21">
        <f>-IFERROR(HLOOKUP("Exp_Expense",CF_Gen_4[#All],MATCH($B348,CF_Gen_4[[#All],[Incurred]],0),0),0)</f>
        <v>0</v>
      </c>
      <c r="H348" s="21">
        <f>-IFERROR(HLOOKUP("Exp_Commission",CF_Gen_4[#All],MATCH($B348,CF_Gen_4[[#All],[Incurred]],0),0),0)-IFERROR(HLOOKUP("Exp_Acquisition",CF_Gen_4[#All],MATCH($B348,CF_Gen_4[[#All],[Incurred]],0),0),0)</f>
        <v>28101710.076034933</v>
      </c>
      <c r="I348" s="22">
        <f>IF(AND($J348&lt;YEAR($A348),$B348&lt;=$A348),-IFERROR(HLOOKUP("Actual_Commission",CF_Gen_4[#All],MATCH($B348,CF_Gen_4[[#All],[Incurred]],0),0),0)-IFERROR(HLOOKUP("Actual_Acquisition",CF_Gen_4[#All],MATCH($B348,CF_Gen_4[[#All],[Incurred]],0),0),0),0)</f>
        <v>0</v>
      </c>
      <c r="J348" s="27">
        <f>VLOOKUP(L348,ICG[#All],2,0)</f>
        <v>2025</v>
      </c>
      <c r="K348" s="27" t="str">
        <f>VLOOKUP(L348,ICG[#All],3,0)</f>
        <v>RC-Property</v>
      </c>
      <c r="L348" s="27" t="str">
        <f t="shared" si="28"/>
        <v>#2025#RC-Property</v>
      </c>
    </row>
    <row r="349" spans="1:12">
      <c r="A349" s="26">
        <f t="shared" ref="A349:A380" si="29">ValuationDate</f>
        <v>45930</v>
      </c>
      <c r="B349" s="26">
        <f t="shared" si="27"/>
        <v>48669</v>
      </c>
      <c r="C349" s="21">
        <f>IFERROR(HLOOKUP("Exp_Premium",CF_Gen_4[#All],MATCH($B349,CF_Gen_4[[#All],[Incurred]],0),0),0)</f>
        <v>77901182.835777566</v>
      </c>
      <c r="D349" s="22">
        <f>IF(AND($J349&lt;YEAR($A349),$B349&lt;=$A349),IFERROR(HLOOKUP("Actual_Premium",CF_Gen_4[#All],MATCH($B349,CF_Gen_4[[#All],[Incurred]],0),0),0),0)</f>
        <v>0</v>
      </c>
      <c r="E349" s="21">
        <f>-IFERROR(HLOOKUP("Exp_Claim",CF_Gen_4[#All],MATCH($B349,CF_Gen_4[[#All],[Incurred]],0),0),0)-IFERROR(HLOOKUP("Exp_NPR",CF_Gen_4[#All],MATCH($B349,CF_Gen_4[[#All],[Incurred]],0),0),0)</f>
        <v>-24149255.391686995</v>
      </c>
      <c r="F349" s="21">
        <f>-IFERROR(HLOOKUP("Exp_RA",CF_Gen_4[#All],MATCH($B349,CF_Gen_4[[#All],[Incurred]],0),0),0)</f>
        <v>-3229838.6840733639</v>
      </c>
      <c r="G349" s="21">
        <f>-IFERROR(HLOOKUP("Exp_Expense",CF_Gen_4[#All],MATCH($B349,CF_Gen_4[[#All],[Incurred]],0),0),0)</f>
        <v>0</v>
      </c>
      <c r="H349" s="21">
        <f>-IFERROR(HLOOKUP("Exp_Commission",CF_Gen_4[#All],MATCH($B349,CF_Gen_4[[#All],[Incurred]],0),0),0)-IFERROR(HLOOKUP("Exp_Acquisition",CF_Gen_4[#All],MATCH($B349,CF_Gen_4[[#All],[Incurred]],0),0),0)</f>
        <v>25317884.421627726</v>
      </c>
      <c r="I349" s="22">
        <f>IF(AND($J349&lt;YEAR($A349),$B349&lt;=$A349),-IFERROR(HLOOKUP("Actual_Commission",CF_Gen_4[#All],MATCH($B349,CF_Gen_4[[#All],[Incurred]],0),0),0)-IFERROR(HLOOKUP("Actual_Acquisition",CF_Gen_4[#All],MATCH($B349,CF_Gen_4[[#All],[Incurred]],0),0),0),0)</f>
        <v>0</v>
      </c>
      <c r="J349" s="27">
        <f>VLOOKUP(L349,ICG[#All],2,0)</f>
        <v>2025</v>
      </c>
      <c r="K349" s="27" t="str">
        <f>VLOOKUP(L349,ICG[#All],3,0)</f>
        <v>RC-Property</v>
      </c>
      <c r="L349" s="27" t="str">
        <f t="shared" si="28"/>
        <v>#2025#RC-Property</v>
      </c>
    </row>
    <row r="350" spans="1:12">
      <c r="A350" s="26">
        <f t="shared" si="29"/>
        <v>45930</v>
      </c>
      <c r="B350" s="26">
        <f t="shared" ref="B350:B381" si="30">EOMONTH(B349,3)</f>
        <v>48760</v>
      </c>
      <c r="C350" s="21">
        <f>IFERROR(HLOOKUP("Exp_Premium",CF_Gen_4[#All],MATCH($B350,CF_Gen_4[[#All],[Incurred]],0),0),0)</f>
        <v>70159752.791472167</v>
      </c>
      <c r="D350" s="22">
        <f>IF(AND($J350&lt;YEAR($A350),$B350&lt;=$A350),IFERROR(HLOOKUP("Actual_Premium",CF_Gen_4[#All],MATCH($B350,CF_Gen_4[[#All],[Incurred]],0),0),0),0)</f>
        <v>0</v>
      </c>
      <c r="E350" s="21">
        <f>-IFERROR(HLOOKUP("Exp_Claim",CF_Gen_4[#All],MATCH($B350,CF_Gen_4[[#All],[Incurred]],0),0),0)-IFERROR(HLOOKUP("Exp_NPR",CF_Gen_4[#All],MATCH($B350,CF_Gen_4[[#All],[Incurred]],0),0),0)</f>
        <v>-21980960.545880198</v>
      </c>
      <c r="F350" s="21">
        <f>-IFERROR(HLOOKUP("Exp_RA",CF_Gen_4[#All],MATCH($B350,CF_Gen_4[[#All],[Incurred]],0),0),0)</f>
        <v>-2939840.4022267754</v>
      </c>
      <c r="G350" s="21">
        <f>-IFERROR(HLOOKUP("Exp_Expense",CF_Gen_4[#All],MATCH($B350,CF_Gen_4[[#All],[Incurred]],0),0),0)</f>
        <v>0</v>
      </c>
      <c r="H350" s="21">
        <f>-IFERROR(HLOOKUP("Exp_Commission",CF_Gen_4[#All],MATCH($B350,CF_Gen_4[[#All],[Incurred]],0),0),0)-IFERROR(HLOOKUP("Exp_Acquisition",CF_Gen_4[#All],MATCH($B350,CF_Gen_4[[#All],[Incurred]],0),0),0)</f>
        <v>22801919.65722847</v>
      </c>
      <c r="I350" s="22">
        <f>IF(AND($J350&lt;YEAR($A350),$B350&lt;=$A350),-IFERROR(HLOOKUP("Actual_Commission",CF_Gen_4[#All],MATCH($B350,CF_Gen_4[[#All],[Incurred]],0),0),0)-IFERROR(HLOOKUP("Actual_Acquisition",CF_Gen_4[#All],MATCH($B350,CF_Gen_4[[#All],[Incurred]],0),0),0),0)</f>
        <v>0</v>
      </c>
      <c r="J350" s="27">
        <f>VLOOKUP(L350,ICG[#All],2,0)</f>
        <v>2025</v>
      </c>
      <c r="K350" s="27" t="str">
        <f>VLOOKUP(L350,ICG[#All],3,0)</f>
        <v>RC-Property</v>
      </c>
      <c r="L350" s="27" t="str">
        <f t="shared" si="28"/>
        <v>#2025#RC-Property</v>
      </c>
    </row>
    <row r="351" spans="1:12">
      <c r="A351" s="26">
        <f t="shared" si="29"/>
        <v>45930</v>
      </c>
      <c r="B351" s="26">
        <f t="shared" si="30"/>
        <v>48852</v>
      </c>
      <c r="C351" s="21">
        <f>IFERROR(HLOOKUP("Exp_Premium",CF_Gen_4[#All],MATCH($B351,CF_Gen_4[[#All],[Incurred]],0),0),0)</f>
        <v>63165687.219997481</v>
      </c>
      <c r="D351" s="22">
        <f>IF(AND($J351&lt;YEAR($A351),$B351&lt;=$A351),IFERROR(HLOOKUP("Actual_Premium",CF_Gen_4[#All],MATCH($B351,CF_Gen_4[[#All],[Incurred]],0),0),0),0)</f>
        <v>0</v>
      </c>
      <c r="E351" s="21">
        <f>-IFERROR(HLOOKUP("Exp_Claim",CF_Gen_4[#All],MATCH($B351,CF_Gen_4[[#All],[Incurred]],0),0),0)-IFERROR(HLOOKUP("Exp_NPR",CF_Gen_4[#All],MATCH($B351,CF_Gen_4[[#All],[Incurred]],0),0),0)</f>
        <v>-19997895.627067097</v>
      </c>
      <c r="F351" s="21">
        <f>-IFERROR(HLOOKUP("Exp_RA",CF_Gen_4[#All],MATCH($B351,CF_Gen_4[[#All],[Incurred]],0),0),0)</f>
        <v>-2674615.6702867518</v>
      </c>
      <c r="G351" s="21">
        <f>-IFERROR(HLOOKUP("Exp_Expense",CF_Gen_4[#All],MATCH($B351,CF_Gen_4[[#All],[Incurred]],0),0),0)</f>
        <v>0</v>
      </c>
      <c r="H351" s="21">
        <f>-IFERROR(HLOOKUP("Exp_Commission",CF_Gen_4[#All],MATCH($B351,CF_Gen_4[[#All],[Incurred]],0),0),0)-IFERROR(HLOOKUP("Exp_Acquisition",CF_Gen_4[#All],MATCH($B351,CF_Gen_4[[#All],[Incurred]],0),0),0)</f>
        <v>20528848.346499201</v>
      </c>
      <c r="I351" s="22">
        <f>IF(AND($J351&lt;YEAR($A351),$B351&lt;=$A351),-IFERROR(HLOOKUP("Actual_Commission",CF_Gen_4[#All],MATCH($B351,CF_Gen_4[[#All],[Incurred]],0),0),0)-IFERROR(HLOOKUP("Actual_Acquisition",CF_Gen_4[#All],MATCH($B351,CF_Gen_4[[#All],[Incurred]],0),0),0),0)</f>
        <v>0</v>
      </c>
      <c r="J351" s="27">
        <f>VLOOKUP(L351,ICG[#All],2,0)</f>
        <v>2025</v>
      </c>
      <c r="K351" s="27" t="str">
        <f>VLOOKUP(L351,ICG[#All],3,0)</f>
        <v>RC-Property</v>
      </c>
      <c r="L351" s="27" t="str">
        <f t="shared" si="28"/>
        <v>#2025#RC-Property</v>
      </c>
    </row>
    <row r="352" spans="1:12">
      <c r="A352" s="26">
        <f t="shared" si="29"/>
        <v>45930</v>
      </c>
      <c r="B352" s="26">
        <f t="shared" si="30"/>
        <v>48944</v>
      </c>
      <c r="C352" s="21">
        <f>IFERROR(HLOOKUP("Exp_Premium",CF_Gen_4[#All],MATCH($B352,CF_Gen_4[[#All],[Incurred]],0),0),0)</f>
        <v>56849118.497997746</v>
      </c>
      <c r="D352" s="22">
        <f>IF(AND($J352&lt;YEAR($A352),$B352&lt;=$A352),IFERROR(HLOOKUP("Actual_Premium",CF_Gen_4[#All],MATCH($B352,CF_Gen_4[[#All],[Incurred]],0),0),0),0)</f>
        <v>0</v>
      </c>
      <c r="E352" s="21">
        <f>-IFERROR(HLOOKUP("Exp_Claim",CF_Gen_4[#All],MATCH($B352,CF_Gen_4[[#All],[Incurred]],0),0),0)-IFERROR(HLOOKUP("Exp_NPR",CF_Gen_4[#All],MATCH($B352,CF_Gen_4[[#All],[Incurred]],0),0),0)</f>
        <v>-18598042.933172397</v>
      </c>
      <c r="F352" s="21">
        <f>-IFERROR(HLOOKUP("Exp_RA",CF_Gen_4[#All],MATCH($B352,CF_Gen_4[[#All],[Incurred]],0),0),0)</f>
        <v>-2487392.5733666788</v>
      </c>
      <c r="G352" s="21">
        <f>-IFERROR(HLOOKUP("Exp_Expense",CF_Gen_4[#All],MATCH($B352,CF_Gen_4[[#All],[Incurred]],0),0),0)</f>
        <v>0</v>
      </c>
      <c r="H352" s="21">
        <f>-IFERROR(HLOOKUP("Exp_Commission",CF_Gen_4[#All],MATCH($B352,CF_Gen_4[[#All],[Incurred]],0),0),0)-IFERROR(HLOOKUP("Exp_Acquisition",CF_Gen_4[#All],MATCH($B352,CF_Gen_4[[#All],[Incurred]],0),0),0)</f>
        <v>18475963.51184928</v>
      </c>
      <c r="I352" s="22">
        <f>IF(AND($J352&lt;YEAR($A352),$B352&lt;=$A352),-IFERROR(HLOOKUP("Actual_Commission",CF_Gen_4[#All],MATCH($B352,CF_Gen_4[[#All],[Incurred]],0),0),0)-IFERROR(HLOOKUP("Actual_Acquisition",CF_Gen_4[#All],MATCH($B352,CF_Gen_4[[#All],[Incurred]],0),0),0),0)</f>
        <v>0</v>
      </c>
      <c r="J352" s="27">
        <f>VLOOKUP(L352,ICG[#All],2,0)</f>
        <v>2025</v>
      </c>
      <c r="K352" s="27" t="str">
        <f>VLOOKUP(L352,ICG[#All],3,0)</f>
        <v>RC-Property</v>
      </c>
      <c r="L352" s="27" t="str">
        <f t="shared" si="28"/>
        <v>#2025#RC-Property</v>
      </c>
    </row>
    <row r="353" spans="1:12">
      <c r="A353" s="26">
        <f t="shared" si="29"/>
        <v>45930</v>
      </c>
      <c r="B353" s="26">
        <f t="shared" si="30"/>
        <v>49034</v>
      </c>
      <c r="C353" s="21">
        <f>IFERROR(HLOOKUP("Exp_Premium",CF_Gen_4[#All],MATCH($B353,CF_Gen_4[[#All],[Incurred]],0),0),0)</f>
        <v>51107357.529699974</v>
      </c>
      <c r="D353" s="22">
        <f>IF(AND($J353&lt;YEAR($A353),$B353&lt;=$A353),IFERROR(HLOOKUP("Actual_Premium",CF_Gen_4[#All],MATCH($B353,CF_Gen_4[[#All],[Incurred]],0),0),0),0)</f>
        <v>0</v>
      </c>
      <c r="E353" s="21">
        <f>-IFERROR(HLOOKUP("Exp_Claim",CF_Gen_4[#All],MATCH($B353,CF_Gen_4[[#All],[Incurred]],0),0),0)-IFERROR(HLOOKUP("Exp_NPR",CF_Gen_4[#All],MATCH($B353,CF_Gen_4[[#All],[Incurred]],0),0),0)</f>
        <v>-16911820.373898104</v>
      </c>
      <c r="F353" s="21">
        <f>-IFERROR(HLOOKUP("Exp_RA",CF_Gen_4[#All],MATCH($B353,CF_Gen_4[[#All],[Incurred]],0),0),0)</f>
        <v>-2261868.9800481005</v>
      </c>
      <c r="G353" s="21">
        <f>-IFERROR(HLOOKUP("Exp_Expense",CF_Gen_4[#All],MATCH($B353,CF_Gen_4[[#All],[Incurred]],0),0),0)</f>
        <v>0</v>
      </c>
      <c r="H353" s="21">
        <f>-IFERROR(HLOOKUP("Exp_Commission",CF_Gen_4[#All],MATCH($B353,CF_Gen_4[[#All],[Incurred]],0),0),0)-IFERROR(HLOOKUP("Exp_Acquisition",CF_Gen_4[#All],MATCH($B353,CF_Gen_4[[#All],[Incurred]],0),0),0)</f>
        <v>16609891.197152503</v>
      </c>
      <c r="I353" s="22">
        <f>IF(AND($J353&lt;YEAR($A353),$B353&lt;=$A353),-IFERROR(HLOOKUP("Actual_Commission",CF_Gen_4[#All],MATCH($B353,CF_Gen_4[[#All],[Incurred]],0),0),0)-IFERROR(HLOOKUP("Actual_Acquisition",CF_Gen_4[#All],MATCH($B353,CF_Gen_4[[#All],[Incurred]],0),0),0),0)</f>
        <v>0</v>
      </c>
      <c r="J353" s="27">
        <f>VLOOKUP(L353,ICG[#All],2,0)</f>
        <v>2025</v>
      </c>
      <c r="K353" s="27" t="str">
        <f>VLOOKUP(L353,ICG[#All],3,0)</f>
        <v>RC-Property</v>
      </c>
      <c r="L353" s="27" t="str">
        <f t="shared" si="28"/>
        <v>#2025#RC-Property</v>
      </c>
    </row>
    <row r="354" spans="1:12">
      <c r="A354" s="26">
        <f t="shared" si="29"/>
        <v>45930</v>
      </c>
      <c r="B354" s="26">
        <f t="shared" si="30"/>
        <v>49125</v>
      </c>
      <c r="C354" s="21">
        <f>IFERROR(HLOOKUP("Exp_Premium",CF_Gen_4[#All],MATCH($B354,CF_Gen_4[[#All],[Incurred]],0),0),0)</f>
        <v>45927303.751574762</v>
      </c>
      <c r="D354" s="22">
        <f>IF(AND($J354&lt;YEAR($A354),$B354&lt;=$A354),IFERROR(HLOOKUP("Actual_Premium",CF_Gen_4[#All],MATCH($B354,CF_Gen_4[[#All],[Incurred]],0),0),0),0)</f>
        <v>0</v>
      </c>
      <c r="E354" s="21">
        <f>-IFERROR(HLOOKUP("Exp_Claim",CF_Gen_4[#All],MATCH($B354,CF_Gen_4[[#All],[Incurred]],0),0),0)-IFERROR(HLOOKUP("Exp_NPR",CF_Gen_4[#All],MATCH($B354,CF_Gen_4[[#All],[Incurred]],0),0),0)</f>
        <v>-15370538.562549658</v>
      </c>
      <c r="F354" s="21">
        <f>-IFERROR(HLOOKUP("Exp_RA",CF_Gen_4[#All],MATCH($B354,CF_Gen_4[[#All],[Incurred]],0),0),0)</f>
        <v>-2055730.4661846252</v>
      </c>
      <c r="G354" s="21">
        <f>-IFERROR(HLOOKUP("Exp_Expense",CF_Gen_4[#All],MATCH($B354,CF_Gen_4[[#All],[Incurred]],0),0),0)</f>
        <v>0</v>
      </c>
      <c r="H354" s="21">
        <f>-IFERROR(HLOOKUP("Exp_Commission",CF_Gen_4[#All],MATCH($B354,CF_Gen_4[[#All],[Incurred]],0),0),0)-IFERROR(HLOOKUP("Exp_Acquisition",CF_Gen_4[#All],MATCH($B354,CF_Gen_4[[#All],[Incurred]],0),0),0)</f>
        <v>14926373.719261805</v>
      </c>
      <c r="I354" s="22">
        <f>IF(AND($J354&lt;YEAR($A354),$B354&lt;=$A354),-IFERROR(HLOOKUP("Actual_Commission",CF_Gen_4[#All],MATCH($B354,CF_Gen_4[[#All],[Incurred]],0),0),0)-IFERROR(HLOOKUP("Actual_Acquisition",CF_Gen_4[#All],MATCH($B354,CF_Gen_4[[#All],[Incurred]],0),0),0),0)</f>
        <v>0</v>
      </c>
      <c r="J354" s="27">
        <f>VLOOKUP(L354,ICG[#All],2,0)</f>
        <v>2025</v>
      </c>
      <c r="K354" s="27" t="str">
        <f>VLOOKUP(L354,ICG[#All],3,0)</f>
        <v>RC-Property</v>
      </c>
      <c r="L354" s="27" t="str">
        <f t="shared" si="28"/>
        <v>#2025#RC-Property</v>
      </c>
    </row>
    <row r="355" spans="1:12">
      <c r="A355" s="26">
        <f t="shared" si="29"/>
        <v>45930</v>
      </c>
      <c r="B355" s="26">
        <f t="shared" si="30"/>
        <v>49217</v>
      </c>
      <c r="C355" s="21">
        <f>IFERROR(HLOOKUP("Exp_Premium",CF_Gen_4[#All],MATCH($B355,CF_Gen_4[[#All],[Incurred]],0),0),0)</f>
        <v>41255903.292275004</v>
      </c>
      <c r="D355" s="22">
        <f>IF(AND($J355&lt;YEAR($A355),$B355&lt;=$A355),IFERROR(HLOOKUP("Actual_Premium",CF_Gen_4[#All],MATCH($B355,CF_Gen_4[[#All],[Incurred]],0),0),0),0)</f>
        <v>0</v>
      </c>
      <c r="E355" s="21">
        <f>-IFERROR(HLOOKUP("Exp_Claim",CF_Gen_4[#All],MATCH($B355,CF_Gen_4[[#All],[Incurred]],0),0),0)-IFERROR(HLOOKUP("Exp_NPR",CF_Gen_4[#All],MATCH($B355,CF_Gen_4[[#All],[Incurred]],0),0),0)</f>
        <v>-13962168.284957899</v>
      </c>
      <c r="F355" s="21">
        <f>-IFERROR(HLOOKUP("Exp_RA",CF_Gen_4[#All],MATCH($B355,CF_Gen_4[[#All],[Incurred]],0),0),0)</f>
        <v>-1867368.1862598013</v>
      </c>
      <c r="G355" s="21">
        <f>-IFERROR(HLOOKUP("Exp_Expense",CF_Gen_4[#All],MATCH($B355,CF_Gen_4[[#All],[Incurred]],0),0),0)</f>
        <v>0</v>
      </c>
      <c r="H355" s="21">
        <f>-IFERROR(HLOOKUP("Exp_Commission",CF_Gen_4[#All],MATCH($B355,CF_Gen_4[[#All],[Incurred]],0),0),0)-IFERROR(HLOOKUP("Exp_Acquisition",CF_Gen_4[#All],MATCH($B355,CF_Gen_4[[#All],[Incurred]],0),0),0)</f>
        <v>13408168.569989387</v>
      </c>
      <c r="I355" s="22">
        <f>IF(AND($J355&lt;YEAR($A355),$B355&lt;=$A355),-IFERROR(HLOOKUP("Actual_Commission",CF_Gen_4[#All],MATCH($B355,CF_Gen_4[[#All],[Incurred]],0),0),0)-IFERROR(HLOOKUP("Actual_Acquisition",CF_Gen_4[#All],MATCH($B355,CF_Gen_4[[#All],[Incurred]],0),0),0),0)</f>
        <v>0</v>
      </c>
      <c r="J355" s="27">
        <f>VLOOKUP(L355,ICG[#All],2,0)</f>
        <v>2025</v>
      </c>
      <c r="K355" s="27" t="str">
        <f>VLOOKUP(L355,ICG[#All],3,0)</f>
        <v>RC-Property</v>
      </c>
      <c r="L355" s="27" t="str">
        <f t="shared" si="28"/>
        <v>#2025#RC-Property</v>
      </c>
    </row>
    <row r="356" spans="1:12">
      <c r="A356" s="26">
        <f t="shared" si="29"/>
        <v>45930</v>
      </c>
      <c r="B356" s="26">
        <f t="shared" si="30"/>
        <v>49309</v>
      </c>
      <c r="C356" s="21">
        <f>IFERROR(HLOOKUP("Exp_Premium",CF_Gen_4[#All],MATCH($B356,CF_Gen_4[[#All],[Incurred]],0),0),0)</f>
        <v>37044955.921753146</v>
      </c>
      <c r="D356" s="22">
        <f>IF(AND($J356&lt;YEAR($A356),$B356&lt;=$A356),IFERROR(HLOOKUP("Actual_Premium",CF_Gen_4[#All],MATCH($B356,CF_Gen_4[[#All],[Incurred]],0),0),0),0)</f>
        <v>0</v>
      </c>
      <c r="E356" s="21">
        <f>-IFERROR(HLOOKUP("Exp_Claim",CF_Gen_4[#All],MATCH($B356,CF_Gen_4[[#All],[Incurred]],0),0),0)-IFERROR(HLOOKUP("Exp_NPR",CF_Gen_4[#All],MATCH($B356,CF_Gen_4[[#All],[Incurred]],0),0),0)</f>
        <v>-12984816.505010845</v>
      </c>
      <c r="F356" s="21">
        <f>-IFERROR(HLOOKUP("Exp_RA",CF_Gen_4[#All],MATCH($B356,CF_Gen_4[[#All],[Incurred]],0),0),0)</f>
        <v>-1736652.4132216151</v>
      </c>
      <c r="G356" s="21">
        <f>-IFERROR(HLOOKUP("Exp_Expense",CF_Gen_4[#All],MATCH($B356,CF_Gen_4[[#All],[Incurred]],0),0),0)</f>
        <v>0</v>
      </c>
      <c r="H356" s="21">
        <f>-IFERROR(HLOOKUP("Exp_Commission",CF_Gen_4[#All],MATCH($B356,CF_Gen_4[[#All],[Incurred]],0),0),0)-IFERROR(HLOOKUP("Exp_Acquisition",CF_Gen_4[#All],MATCH($B356,CF_Gen_4[[#All],[Incurred]],0),0),0)</f>
        <v>12039610.67456978</v>
      </c>
      <c r="I356" s="22">
        <f>IF(AND($J356&lt;YEAR($A356),$B356&lt;=$A356),-IFERROR(HLOOKUP("Actual_Commission",CF_Gen_4[#All],MATCH($B356,CF_Gen_4[[#All],[Incurred]],0),0),0)-IFERROR(HLOOKUP("Actual_Acquisition",CF_Gen_4[#All],MATCH($B356,CF_Gen_4[[#All],[Incurred]],0),0),0),0)</f>
        <v>0</v>
      </c>
      <c r="J356" s="27">
        <f>VLOOKUP(L356,ICG[#All],2,0)</f>
        <v>2025</v>
      </c>
      <c r="K356" s="27" t="str">
        <f>VLOOKUP(L356,ICG[#All],3,0)</f>
        <v>RC-Property</v>
      </c>
      <c r="L356" s="27" t="str">
        <f t="shared" si="28"/>
        <v>#2025#RC-Property</v>
      </c>
    </row>
    <row r="357" spans="1:12">
      <c r="A357" s="26">
        <f t="shared" si="29"/>
        <v>45930</v>
      </c>
      <c r="B357" s="26">
        <f t="shared" si="30"/>
        <v>49399</v>
      </c>
      <c r="C357" s="21">
        <f>IFERROR(HLOOKUP("Exp_Premium",CF_Gen_4[#All],MATCH($B357,CF_Gen_4[[#All],[Incurred]],0),0),0)</f>
        <v>33221387.256972201</v>
      </c>
      <c r="D357" s="22">
        <f>IF(AND($J357&lt;YEAR($A357),$B357&lt;=$A357),IFERROR(HLOOKUP("Actual_Premium",CF_Gen_4[#All],MATCH($B357,CF_Gen_4[[#All],[Incurred]],0),0),0),0)</f>
        <v>0</v>
      </c>
      <c r="E357" s="21">
        <f>-IFERROR(HLOOKUP("Exp_Claim",CF_Gen_4[#All],MATCH($B357,CF_Gen_4[[#All],[Incurred]],0),0),0)-IFERROR(HLOOKUP("Exp_NPR",CF_Gen_4[#All],MATCH($B357,CF_Gen_4[[#All],[Incurred]],0),0),0)</f>
        <v>-11788358.412763417</v>
      </c>
      <c r="F357" s="21">
        <f>-IFERROR(HLOOKUP("Exp_RA",CF_Gen_4[#All],MATCH($B357,CF_Gen_4[[#All],[Incurred]],0),0),0)</f>
        <v>-1576632.2980033378</v>
      </c>
      <c r="G357" s="21">
        <f>-IFERROR(HLOOKUP("Exp_Expense",CF_Gen_4[#All],MATCH($B357,CF_Gen_4[[#All],[Incurred]],0),0),0)</f>
        <v>0</v>
      </c>
      <c r="H357" s="21">
        <f>-IFERROR(HLOOKUP("Exp_Commission",CF_Gen_4[#All],MATCH($B357,CF_Gen_4[[#All],[Incurred]],0),0),0)-IFERROR(HLOOKUP("Exp_Acquisition",CF_Gen_4[#All],MATCH($B357,CF_Gen_4[[#All],[Incurred]],0),0),0)</f>
        <v>10796950.858515969</v>
      </c>
      <c r="I357" s="22">
        <f>IF(AND($J357&lt;YEAR($A357),$B357&lt;=$A357),-IFERROR(HLOOKUP("Actual_Commission",CF_Gen_4[#All],MATCH($B357,CF_Gen_4[[#All],[Incurred]],0),0),0)-IFERROR(HLOOKUP("Actual_Acquisition",CF_Gen_4[#All],MATCH($B357,CF_Gen_4[[#All],[Incurred]],0),0),0),0)</f>
        <v>0</v>
      </c>
      <c r="J357" s="27">
        <f>VLOOKUP(L357,ICG[#All],2,0)</f>
        <v>2025</v>
      </c>
      <c r="K357" s="27" t="str">
        <f>VLOOKUP(L357,ICG[#All],3,0)</f>
        <v>RC-Property</v>
      </c>
      <c r="L357" s="27" t="str">
        <f t="shared" si="28"/>
        <v>#2025#RC-Property</v>
      </c>
    </row>
    <row r="358" spans="1:12">
      <c r="A358" s="26">
        <f t="shared" si="29"/>
        <v>45930</v>
      </c>
      <c r="B358" s="26">
        <f t="shared" si="30"/>
        <v>49490</v>
      </c>
      <c r="C358" s="21">
        <f>IFERROR(HLOOKUP("Exp_Premium",CF_Gen_4[#All],MATCH($B358,CF_Gen_4[[#All],[Incurred]],0),0),0)</f>
        <v>29778842.97428542</v>
      </c>
      <c r="D358" s="22">
        <f>IF(AND($J358&lt;YEAR($A358),$B358&lt;=$A358),IFERROR(HLOOKUP("Actual_Premium",CF_Gen_4[#All],MATCH($B358,CF_Gen_4[[#All],[Incurred]],0),0),0),0)</f>
        <v>0</v>
      </c>
      <c r="E358" s="21">
        <f>-IFERROR(HLOOKUP("Exp_Claim",CF_Gen_4[#All],MATCH($B358,CF_Gen_4[[#All],[Incurred]],0),0),0)-IFERROR(HLOOKUP("Exp_NPR",CF_Gen_4[#All],MATCH($B358,CF_Gen_4[[#All],[Incurred]],0),0),0)</f>
        <v>-10695778.852556076</v>
      </c>
      <c r="F358" s="21">
        <f>-IFERROR(HLOOKUP("Exp_RA",CF_Gen_4[#All],MATCH($B358,CF_Gen_4[[#All],[Incurred]],0),0),0)</f>
        <v>-1430505.4020908331</v>
      </c>
      <c r="G358" s="21">
        <f>-IFERROR(HLOOKUP("Exp_Expense",CF_Gen_4[#All],MATCH($B358,CF_Gen_4[[#All],[Incurred]],0),0),0)</f>
        <v>0</v>
      </c>
      <c r="H358" s="21">
        <f>-IFERROR(HLOOKUP("Exp_Commission",CF_Gen_4[#All],MATCH($B358,CF_Gen_4[[#All],[Incurred]],0),0),0)-IFERROR(HLOOKUP("Exp_Acquisition",CF_Gen_4[#All],MATCH($B358,CF_Gen_4[[#All],[Incurred]],0),0),0)</f>
        <v>9678123.9666427672</v>
      </c>
      <c r="I358" s="22">
        <f>IF(AND($J358&lt;YEAR($A358),$B358&lt;=$A358),-IFERROR(HLOOKUP("Actual_Commission",CF_Gen_4[#All],MATCH($B358,CF_Gen_4[[#All],[Incurred]],0),0),0)-IFERROR(HLOOKUP("Actual_Acquisition",CF_Gen_4[#All],MATCH($B358,CF_Gen_4[[#All],[Incurred]],0),0),0),0)</f>
        <v>0</v>
      </c>
      <c r="J358" s="27">
        <f>VLOOKUP(L358,ICG[#All],2,0)</f>
        <v>2025</v>
      </c>
      <c r="K358" s="27" t="str">
        <f>VLOOKUP(L358,ICG[#All],3,0)</f>
        <v>RC-Property</v>
      </c>
      <c r="L358" s="27" t="str">
        <f t="shared" si="28"/>
        <v>#2025#RC-Property</v>
      </c>
    </row>
    <row r="359" spans="1:12">
      <c r="A359" s="26">
        <f t="shared" si="29"/>
        <v>45930</v>
      </c>
      <c r="B359" s="26">
        <f t="shared" si="30"/>
        <v>49582</v>
      </c>
      <c r="C359" s="21">
        <f>IFERROR(HLOOKUP("Exp_Premium",CF_Gen_4[#All],MATCH($B359,CF_Gen_4[[#All],[Incurred]],0),0),0)</f>
        <v>26680807.992944162</v>
      </c>
      <c r="D359" s="22">
        <f>IF(AND($J359&lt;YEAR($A359),$B359&lt;=$A359),IFERROR(HLOOKUP("Actual_Premium",CF_Gen_4[#All],MATCH($B359,CF_Gen_4[[#All],[Incurred]],0),0),0),0)</f>
        <v>0</v>
      </c>
      <c r="E359" s="21">
        <f>-IFERROR(HLOOKUP("Exp_Claim",CF_Gen_4[#All],MATCH($B359,CF_Gen_4[[#All],[Incurred]],0),0),0)-IFERROR(HLOOKUP("Exp_NPR",CF_Gen_4[#All],MATCH($B359,CF_Gen_4[[#All],[Incurred]],0),0),0)</f>
        <v>-9698397.4745552167</v>
      </c>
      <c r="F359" s="21">
        <f>-IFERROR(HLOOKUP("Exp_RA",CF_Gen_4[#All],MATCH($B359,CF_Gen_4[[#All],[Incurred]],0),0),0)</f>
        <v>-1297110.7733458625</v>
      </c>
      <c r="G359" s="21">
        <f>-IFERROR(HLOOKUP("Exp_Expense",CF_Gen_4[#All],MATCH($B359,CF_Gen_4[[#All],[Incurred]],0),0),0)</f>
        <v>0</v>
      </c>
      <c r="H359" s="21">
        <f>-IFERROR(HLOOKUP("Exp_Commission",CF_Gen_4[#All],MATCH($B359,CF_Gen_4[[#All],[Incurred]],0),0),0)-IFERROR(HLOOKUP("Exp_Acquisition",CF_Gen_4[#All],MATCH($B359,CF_Gen_4[[#All],[Incurred]],0),0),0)</f>
        <v>8671262.5977068543</v>
      </c>
      <c r="I359" s="22">
        <f>IF(AND($J359&lt;YEAR($A359),$B359&lt;=$A359),-IFERROR(HLOOKUP("Actual_Commission",CF_Gen_4[#All],MATCH($B359,CF_Gen_4[[#All],[Incurred]],0),0),0)-IFERROR(HLOOKUP("Actual_Acquisition",CF_Gen_4[#All],MATCH($B359,CF_Gen_4[[#All],[Incurred]],0),0),0),0)</f>
        <v>0</v>
      </c>
      <c r="J359" s="27">
        <f>VLOOKUP(L359,ICG[#All],2,0)</f>
        <v>2025</v>
      </c>
      <c r="K359" s="27" t="str">
        <f>VLOOKUP(L359,ICG[#All],3,0)</f>
        <v>RC-Property</v>
      </c>
      <c r="L359" s="27" t="str">
        <f t="shared" si="28"/>
        <v>#2025#RC-Property</v>
      </c>
    </row>
    <row r="360" spans="1:12">
      <c r="A360" s="26">
        <f t="shared" si="29"/>
        <v>45930</v>
      </c>
      <c r="B360" s="26">
        <f t="shared" si="30"/>
        <v>49674</v>
      </c>
      <c r="C360" s="21">
        <f>IFERROR(HLOOKUP("Exp_Premium",CF_Gen_4[#All],MATCH($B360,CF_Gen_4[[#All],[Incurred]],0),0),0)</f>
        <v>23894145.824792214</v>
      </c>
      <c r="D360" s="22">
        <f>IF(AND($J360&lt;YEAR($A360),$B360&lt;=$A360),IFERROR(HLOOKUP("Actual_Premium",CF_Gen_4[#All],MATCH($B360,CF_Gen_4[[#All],[Incurred]],0),0),0),0)</f>
        <v>0</v>
      </c>
      <c r="E360" s="21">
        <f>-IFERROR(HLOOKUP("Exp_Claim",CF_Gen_4[#All],MATCH($B360,CF_Gen_4[[#All],[Incurred]],0),0),0)-IFERROR(HLOOKUP("Exp_NPR",CF_Gen_4[#All],MATCH($B360,CF_Gen_4[[#All],[Incurred]],0),0),0)</f>
        <v>-9019509.6513363551</v>
      </c>
      <c r="F360" s="21">
        <f>-IFERROR(HLOOKUP("Exp_RA",CF_Gen_4[#All],MATCH($B360,CF_Gen_4[[#All],[Incurred]],0),0),0)</f>
        <v>-1206313.0192116525</v>
      </c>
      <c r="G360" s="21">
        <f>-IFERROR(HLOOKUP("Exp_Expense",CF_Gen_4[#All],MATCH($B360,CF_Gen_4[[#All],[Incurred]],0),0),0)</f>
        <v>0</v>
      </c>
      <c r="H360" s="21">
        <f>-IFERROR(HLOOKUP("Exp_Commission",CF_Gen_4[#All],MATCH($B360,CF_Gen_4[[#All],[Incurred]],0),0),0)-IFERROR(HLOOKUP("Exp_Acquisition",CF_Gen_4[#All],MATCH($B360,CF_Gen_4[[#All],[Incurred]],0),0),0)</f>
        <v>7765597.3930574711</v>
      </c>
      <c r="I360" s="22">
        <f>IF(AND($J360&lt;YEAR($A360),$B360&lt;=$A360),-IFERROR(HLOOKUP("Actual_Commission",CF_Gen_4[#All],MATCH($B360,CF_Gen_4[[#All],[Incurred]],0),0),0)-IFERROR(HLOOKUP("Actual_Acquisition",CF_Gen_4[#All],MATCH($B360,CF_Gen_4[[#All],[Incurred]],0),0),0),0)</f>
        <v>0</v>
      </c>
      <c r="J360" s="27">
        <f>VLOOKUP(L360,ICG[#All],2,0)</f>
        <v>2025</v>
      </c>
      <c r="K360" s="27" t="str">
        <f>VLOOKUP(L360,ICG[#All],3,0)</f>
        <v>RC-Property</v>
      </c>
      <c r="L360" s="27" t="str">
        <f t="shared" si="28"/>
        <v>#2025#RC-Property</v>
      </c>
    </row>
    <row r="361" spans="1:12">
      <c r="A361" s="26">
        <f t="shared" si="29"/>
        <v>45930</v>
      </c>
      <c r="B361" s="26">
        <f t="shared" si="30"/>
        <v>49765</v>
      </c>
      <c r="C361" s="21">
        <f>IFERROR(HLOOKUP("Exp_Premium",CF_Gen_4[#All],MATCH($B361,CF_Gen_4[[#All],[Incurred]],0),0),0)</f>
        <v>21366880.401016112</v>
      </c>
      <c r="D361" s="22">
        <f>IF(AND($J361&lt;YEAR($A361),$B361&lt;=$A361),IFERROR(HLOOKUP("Actual_Premium",CF_Gen_4[#All],MATCH($B361,CF_Gen_4[[#All],[Incurred]],0),0),0),0)</f>
        <v>0</v>
      </c>
      <c r="E361" s="21">
        <f>-IFERROR(HLOOKUP("Exp_Claim",CF_Gen_4[#All],MATCH($B361,CF_Gen_4[[#All],[Incurred]],0),0),0)-IFERROR(HLOOKUP("Exp_NPR",CF_Gen_4[#All],MATCH($B361,CF_Gen_4[[#All],[Incurred]],0),0),0)</f>
        <v>-8173063.3609801736</v>
      </c>
      <c r="F361" s="21">
        <f>-IFERROR(HLOOKUP("Exp_RA",CF_Gen_4[#All],MATCH($B361,CF_Gen_4[[#All],[Incurred]],0),0),0)</f>
        <v>-1093105.1820240973</v>
      </c>
      <c r="G361" s="21">
        <f>-IFERROR(HLOOKUP("Exp_Expense",CF_Gen_4[#All],MATCH($B361,CF_Gen_4[[#All],[Incurred]],0),0),0)</f>
        <v>0</v>
      </c>
      <c r="H361" s="21">
        <f>-IFERROR(HLOOKUP("Exp_Commission",CF_Gen_4[#All],MATCH($B361,CF_Gen_4[[#All],[Incurred]],0),0),0)-IFERROR(HLOOKUP("Exp_Acquisition",CF_Gen_4[#All],MATCH($B361,CF_Gen_4[[#All],[Incurred]],0),0),0)</f>
        <v>6944236.1303302385</v>
      </c>
      <c r="I361" s="22">
        <f>IF(AND($J361&lt;YEAR($A361),$B361&lt;=$A361),-IFERROR(HLOOKUP("Actual_Commission",CF_Gen_4[#All],MATCH($B361,CF_Gen_4[[#All],[Incurred]],0),0),0)-IFERROR(HLOOKUP("Actual_Acquisition",CF_Gen_4[#All],MATCH($B361,CF_Gen_4[[#All],[Incurred]],0),0),0),0)</f>
        <v>0</v>
      </c>
      <c r="J361" s="27">
        <f>VLOOKUP(L361,ICG[#All],2,0)</f>
        <v>2025</v>
      </c>
      <c r="K361" s="27" t="str">
        <f>VLOOKUP(L361,ICG[#All],3,0)</f>
        <v>RC-Property</v>
      </c>
      <c r="L361" s="27" t="str">
        <f t="shared" si="28"/>
        <v>#2025#RC-Property</v>
      </c>
    </row>
    <row r="362" spans="1:12">
      <c r="A362" s="26">
        <f t="shared" si="29"/>
        <v>45930</v>
      </c>
      <c r="B362" s="26">
        <f t="shared" si="30"/>
        <v>49856</v>
      </c>
      <c r="C362" s="21">
        <f>IFERROR(HLOOKUP("Exp_Premium",CF_Gen_4[#All],MATCH($B362,CF_Gen_4[[#All],[Incurred]],0),0),0)</f>
        <v>19096731.538717385</v>
      </c>
      <c r="D362" s="22">
        <f>IF(AND($J362&lt;YEAR($A362),$B362&lt;=$A362),IFERROR(HLOOKUP("Actual_Premium",CF_Gen_4[#All],MATCH($B362,CF_Gen_4[[#All],[Incurred]],0),0),0),0)</f>
        <v>0</v>
      </c>
      <c r="E362" s="21">
        <f>-IFERROR(HLOOKUP("Exp_Claim",CF_Gen_4[#All],MATCH($B362,CF_Gen_4[[#All],[Incurred]],0),0),0)-IFERROR(HLOOKUP("Exp_NPR",CF_Gen_4[#All],MATCH($B362,CF_Gen_4[[#All],[Incurred]],0),0),0)</f>
        <v>-7400923.9539823085</v>
      </c>
      <c r="F362" s="21">
        <f>-IFERROR(HLOOKUP("Exp_RA",CF_Gen_4[#All],MATCH($B362,CF_Gen_4[[#All],[Incurred]],0),0),0)</f>
        <v>-989835.50824866269</v>
      </c>
      <c r="G362" s="21">
        <f>-IFERROR(HLOOKUP("Exp_Expense",CF_Gen_4[#All],MATCH($B362,CF_Gen_4[[#All],[Incurred]],0),0),0)</f>
        <v>0</v>
      </c>
      <c r="H362" s="21">
        <f>-IFERROR(HLOOKUP("Exp_Commission",CF_Gen_4[#All],MATCH($B362,CF_Gen_4[[#All],[Incurred]],0),0),0)-IFERROR(HLOOKUP("Exp_Acquisition",CF_Gen_4[#All],MATCH($B362,CF_Gen_4[[#All],[Incurred]],0),0),0)</f>
        <v>6206437.7500831513</v>
      </c>
      <c r="I362" s="22">
        <f>IF(AND($J362&lt;YEAR($A362),$B362&lt;=$A362),-IFERROR(HLOOKUP("Actual_Commission",CF_Gen_4[#All],MATCH($B362,CF_Gen_4[[#All],[Incurred]],0),0),0)-IFERROR(HLOOKUP("Actual_Acquisition",CF_Gen_4[#All],MATCH($B362,CF_Gen_4[[#All],[Incurred]],0),0),0),0)</f>
        <v>0</v>
      </c>
      <c r="J362" s="27">
        <f>VLOOKUP(L362,ICG[#All],2,0)</f>
        <v>2025</v>
      </c>
      <c r="K362" s="27" t="str">
        <f>VLOOKUP(L362,ICG[#All],3,0)</f>
        <v>RC-Property</v>
      </c>
      <c r="L362" s="27" t="str">
        <f t="shared" si="28"/>
        <v>#2025#RC-Property</v>
      </c>
    </row>
    <row r="363" spans="1:12">
      <c r="A363" s="26">
        <f t="shared" si="29"/>
        <v>45930</v>
      </c>
      <c r="B363" s="26">
        <f t="shared" si="30"/>
        <v>49948</v>
      </c>
      <c r="C363" s="21">
        <f>IFERROR(HLOOKUP("Exp_Premium",CF_Gen_4[#All],MATCH($B363,CF_Gen_4[[#All],[Incurred]],0),0),0)</f>
        <v>17058659.869697388</v>
      </c>
      <c r="D363" s="22">
        <f>IF(AND($J363&lt;YEAR($A363),$B363&lt;=$A363),IFERROR(HLOOKUP("Actual_Premium",CF_Gen_4[#All],MATCH($B363,CF_Gen_4[[#All],[Incurred]],0),0),0),0)</f>
        <v>0</v>
      </c>
      <c r="E363" s="21">
        <f>-IFERROR(HLOOKUP("Exp_Claim",CF_Gen_4[#All],MATCH($B363,CF_Gen_4[[#All],[Incurred]],0),0),0)-IFERROR(HLOOKUP("Exp_NPR",CF_Gen_4[#All],MATCH($B363,CF_Gen_4[[#All],[Incurred]],0),0),0)</f>
        <v>-6696836.0534953428</v>
      </c>
      <c r="F363" s="21">
        <f>-IFERROR(HLOOKUP("Exp_RA",CF_Gen_4[#All],MATCH($B363,CF_Gen_4[[#All],[Incurred]],0),0),0)</f>
        <v>-895667.37340987101</v>
      </c>
      <c r="G363" s="21">
        <f>-IFERROR(HLOOKUP("Exp_Expense",CF_Gen_4[#All],MATCH($B363,CF_Gen_4[[#All],[Incurred]],0),0),0)</f>
        <v>0</v>
      </c>
      <c r="H363" s="21">
        <f>-IFERROR(HLOOKUP("Exp_Commission",CF_Gen_4[#All],MATCH($B363,CF_Gen_4[[#All],[Incurred]],0),0),0)-IFERROR(HLOOKUP("Exp_Acquisition",CF_Gen_4[#All],MATCH($B363,CF_Gen_4[[#All],[Incurred]],0),0),0)</f>
        <v>5544064.4576516524</v>
      </c>
      <c r="I363" s="22">
        <f>IF(AND($J363&lt;YEAR($A363),$B363&lt;=$A363),-IFERROR(HLOOKUP("Actual_Commission",CF_Gen_4[#All],MATCH($B363,CF_Gen_4[[#All],[Incurred]],0),0),0)-IFERROR(HLOOKUP("Actual_Acquisition",CF_Gen_4[#All],MATCH($B363,CF_Gen_4[[#All],[Incurred]],0),0),0),0)</f>
        <v>0</v>
      </c>
      <c r="J363" s="27">
        <f>VLOOKUP(L363,ICG[#All],2,0)</f>
        <v>2025</v>
      </c>
      <c r="K363" s="27" t="str">
        <f>VLOOKUP(L363,ICG[#All],3,0)</f>
        <v>RC-Property</v>
      </c>
      <c r="L363" s="27" t="str">
        <f t="shared" si="28"/>
        <v>#2025#RC-Property</v>
      </c>
    </row>
    <row r="364" spans="1:12">
      <c r="A364" s="26">
        <f t="shared" si="29"/>
        <v>45930</v>
      </c>
      <c r="B364" s="26">
        <f t="shared" si="30"/>
        <v>50040</v>
      </c>
      <c r="C364" s="21">
        <f>IFERROR(HLOOKUP("Exp_Premium",CF_Gen_4[#All],MATCH($B364,CF_Gen_4[[#All],[Incurred]],0),0),0)</f>
        <v>15229971.531665828</v>
      </c>
      <c r="D364" s="22">
        <f>IF(AND($J364&lt;YEAR($A364),$B364&lt;=$A364),IFERROR(HLOOKUP("Actual_Premium",CF_Gen_4[#All],MATCH($B364,CF_Gen_4[[#All],[Incurred]],0),0),0),0)</f>
        <v>0</v>
      </c>
      <c r="E364" s="21">
        <f>-IFERROR(HLOOKUP("Exp_Claim",CF_Gen_4[#All],MATCH($B364,CF_Gen_4[[#All],[Incurred]],0),0),0)-IFERROR(HLOOKUP("Exp_NPR",CF_Gen_4[#All],MATCH($B364,CF_Gen_4[[#All],[Incurred]],0),0),0)</f>
        <v>-6228057.5297506694</v>
      </c>
      <c r="F364" s="21">
        <f>-IFERROR(HLOOKUP("Exp_RA",CF_Gen_4[#All],MATCH($B364,CF_Gen_4[[#All],[Incurred]],0),0),0)</f>
        <v>-832970.65727118007</v>
      </c>
      <c r="G364" s="21">
        <f>-IFERROR(HLOOKUP("Exp_Expense",CF_Gen_4[#All],MATCH($B364,CF_Gen_4[[#All],[Incurred]],0),0),0)</f>
        <v>0</v>
      </c>
      <c r="H364" s="21">
        <f>-IFERROR(HLOOKUP("Exp_Commission",CF_Gen_4[#All],MATCH($B364,CF_Gen_4[[#All],[Incurred]],0),0),0)-IFERROR(HLOOKUP("Exp_Acquisition",CF_Gen_4[#All],MATCH($B364,CF_Gen_4[[#All],[Incurred]],0),0),0)</f>
        <v>4949740.7477913918</v>
      </c>
      <c r="I364" s="22">
        <f>IF(AND($J364&lt;YEAR($A364),$B364&lt;=$A364),-IFERROR(HLOOKUP("Actual_Commission",CF_Gen_4[#All],MATCH($B364,CF_Gen_4[[#All],[Incurred]],0),0),0)-IFERROR(HLOOKUP("Actual_Acquisition",CF_Gen_4[#All],MATCH($B364,CF_Gen_4[[#All],[Incurred]],0),0),0),0)</f>
        <v>0</v>
      </c>
      <c r="J364" s="27">
        <f>VLOOKUP(L364,ICG[#All],2,0)</f>
        <v>2025</v>
      </c>
      <c r="K364" s="27" t="str">
        <f>VLOOKUP(L364,ICG[#All],3,0)</f>
        <v>RC-Property</v>
      </c>
      <c r="L364" s="27" t="str">
        <f t="shared" si="28"/>
        <v>#2025#RC-Property</v>
      </c>
    </row>
    <row r="365" spans="1:12">
      <c r="A365" s="26">
        <f t="shared" si="29"/>
        <v>45930</v>
      </c>
      <c r="B365" s="26">
        <f t="shared" si="30"/>
        <v>50130</v>
      </c>
      <c r="C365" s="21">
        <f>IFERROR(HLOOKUP("Exp_Premium",CF_Gen_4[#All],MATCH($B365,CF_Gen_4[[#All],[Incurred]],0),0),0)</f>
        <v>13573712.127597172</v>
      </c>
      <c r="D365" s="22">
        <f>IF(AND($J365&lt;YEAR($A365),$B365&lt;=$A365),IFERROR(HLOOKUP("Actual_Premium",CF_Gen_4[#All],MATCH($B365,CF_Gen_4[[#All],[Incurred]],0),0),0),0)</f>
        <v>0</v>
      </c>
      <c r="E365" s="21">
        <f>-IFERROR(HLOOKUP("Exp_Claim",CF_Gen_4[#All],MATCH($B365,CF_Gen_4[[#All],[Incurred]],0),0),0)-IFERROR(HLOOKUP("Exp_NPR",CF_Gen_4[#All],MATCH($B365,CF_Gen_4[[#All],[Incurred]],0),0),0)</f>
        <v>-5631202.0164828971</v>
      </c>
      <c r="F365" s="21">
        <f>-IFERROR(HLOOKUP("Exp_RA",CF_Gen_4[#All],MATCH($B365,CF_Gen_4[[#All],[Incurred]],0),0),0)</f>
        <v>-753144.30261602532</v>
      </c>
      <c r="G365" s="21">
        <f>-IFERROR(HLOOKUP("Exp_Expense",CF_Gen_4[#All],MATCH($B365,CF_Gen_4[[#All],[Incurred]],0),0),0)</f>
        <v>0</v>
      </c>
      <c r="H365" s="21">
        <f>-IFERROR(HLOOKUP("Exp_Commission",CF_Gen_4[#All],MATCH($B365,CF_Gen_4[[#All],[Incurred]],0),0),0)-IFERROR(HLOOKUP("Exp_Acquisition",CF_Gen_4[#All],MATCH($B365,CF_Gen_4[[#All],[Incurred]],0),0),0)</f>
        <v>4411456.4414690789</v>
      </c>
      <c r="I365" s="22">
        <f>IF(AND($J365&lt;YEAR($A365),$B365&lt;=$A365),-IFERROR(HLOOKUP("Actual_Commission",CF_Gen_4[#All],MATCH($B365,CF_Gen_4[[#All],[Incurred]],0),0),0)-IFERROR(HLOOKUP("Actual_Acquisition",CF_Gen_4[#All],MATCH($B365,CF_Gen_4[[#All],[Incurred]],0),0),0),0)</f>
        <v>0</v>
      </c>
      <c r="J365" s="27">
        <f>VLOOKUP(L365,ICG[#All],2,0)</f>
        <v>2025</v>
      </c>
      <c r="K365" s="27" t="str">
        <f>VLOOKUP(L365,ICG[#All],3,0)</f>
        <v>RC-Property</v>
      </c>
      <c r="L365" s="27" t="str">
        <f t="shared" si="28"/>
        <v>#2025#RC-Property</v>
      </c>
    </row>
    <row r="366" spans="1:12">
      <c r="A366" s="26">
        <f t="shared" si="29"/>
        <v>45930</v>
      </c>
      <c r="B366" s="26">
        <f t="shared" si="30"/>
        <v>50221</v>
      </c>
      <c r="C366" s="21">
        <f>IFERROR(HLOOKUP("Exp_Premium",CF_Gen_4[#All],MATCH($B366,CF_Gen_4[[#All],[Incurred]],0),0),0)</f>
        <v>12089948.015678303</v>
      </c>
      <c r="D366" s="22">
        <f>IF(AND($J366&lt;YEAR($A366),$B366&lt;=$A366),IFERROR(HLOOKUP("Actual_Premium",CF_Gen_4[#All],MATCH($B366,CF_Gen_4[[#All],[Incurred]],0),0),0),0)</f>
        <v>0</v>
      </c>
      <c r="E366" s="21">
        <f>-IFERROR(HLOOKUP("Exp_Claim",CF_Gen_4[#All],MATCH($B366,CF_Gen_4[[#All],[Incurred]],0),0),0)-IFERROR(HLOOKUP("Exp_NPR",CF_Gen_4[#All],MATCH($B366,CF_Gen_4[[#All],[Incurred]],0),0),0)</f>
        <v>-5087388.7931768335</v>
      </c>
      <c r="F366" s="21">
        <f>-IFERROR(HLOOKUP("Exp_RA",CF_Gen_4[#All],MATCH($B366,CF_Gen_4[[#All],[Incurred]],0),0),0)</f>
        <v>-680412.08139196329</v>
      </c>
      <c r="G366" s="21">
        <f>-IFERROR(HLOOKUP("Exp_Expense",CF_Gen_4[#All],MATCH($B366,CF_Gen_4[[#All],[Incurred]],0),0),0)</f>
        <v>0</v>
      </c>
      <c r="H366" s="21">
        <f>-IFERROR(HLOOKUP("Exp_Commission",CF_Gen_4[#All],MATCH($B366,CF_Gen_4[[#All],[Incurred]],0),0),0)-IFERROR(HLOOKUP("Exp_Acquisition",CF_Gen_4[#All],MATCH($B366,CF_Gen_4[[#All],[Incurred]],0),0),0)</f>
        <v>3929233.105095447</v>
      </c>
      <c r="I366" s="22">
        <f>IF(AND($J366&lt;YEAR($A366),$B366&lt;=$A366),-IFERROR(HLOOKUP("Actual_Commission",CF_Gen_4[#All],MATCH($B366,CF_Gen_4[[#All],[Incurred]],0),0),0)-IFERROR(HLOOKUP("Actual_Acquisition",CF_Gen_4[#All],MATCH($B366,CF_Gen_4[[#All],[Incurred]],0),0),0),0)</f>
        <v>0</v>
      </c>
      <c r="J366" s="27">
        <f>VLOOKUP(L366,ICG[#All],2,0)</f>
        <v>2025</v>
      </c>
      <c r="K366" s="27" t="str">
        <f>VLOOKUP(L366,ICG[#All],3,0)</f>
        <v>RC-Property</v>
      </c>
      <c r="L366" s="27" t="str">
        <f t="shared" si="28"/>
        <v>#2025#RC-Property</v>
      </c>
    </row>
    <row r="367" spans="1:12">
      <c r="A367" s="26">
        <f t="shared" si="29"/>
        <v>45930</v>
      </c>
      <c r="B367" s="26">
        <f t="shared" si="30"/>
        <v>50313</v>
      </c>
      <c r="C367" s="21">
        <f>IFERROR(HLOOKUP("Exp_Premium",CF_Gen_4[#All],MATCH($B367,CF_Gen_4[[#All],[Incurred]],0),0),0)</f>
        <v>10761578.317562226</v>
      </c>
      <c r="D367" s="22">
        <f>IF(AND($J367&lt;YEAR($A367),$B367&lt;=$A367),IFERROR(HLOOKUP("Actual_Premium",CF_Gen_4[#All],MATCH($B367,CF_Gen_4[[#All],[Incurred]],0),0),0),0)</f>
        <v>0</v>
      </c>
      <c r="E367" s="21">
        <f>-IFERROR(HLOOKUP("Exp_Claim",CF_Gen_4[#All],MATCH($B367,CF_Gen_4[[#All],[Incurred]],0),0),0)-IFERROR(HLOOKUP("Exp_NPR",CF_Gen_4[#All],MATCH($B367,CF_Gen_4[[#All],[Incurred]],0),0),0)</f>
        <v>-4592116.5312528526</v>
      </c>
      <c r="F367" s="21">
        <f>-IFERROR(HLOOKUP("Exp_RA",CF_Gen_4[#All],MATCH($B367,CF_Gen_4[[#All],[Incurred]],0),0),0)</f>
        <v>-614171.96405645146</v>
      </c>
      <c r="G367" s="21">
        <f>-IFERROR(HLOOKUP("Exp_Expense",CF_Gen_4[#All],MATCH($B367,CF_Gen_4[[#All],[Incurred]],0),0),0)</f>
        <v>0</v>
      </c>
      <c r="H367" s="21">
        <f>-IFERROR(HLOOKUP("Exp_Commission",CF_Gen_4[#All],MATCH($B367,CF_Gen_4[[#All],[Incurred]],0),0),0)-IFERROR(HLOOKUP("Exp_Acquisition",CF_Gen_4[#All],MATCH($B367,CF_Gen_4[[#All],[Incurred]],0),0),0)</f>
        <v>3497512.9532077219</v>
      </c>
      <c r="I367" s="22">
        <f>IF(AND($J367&lt;YEAR($A367),$B367&lt;=$A367),-IFERROR(HLOOKUP("Actual_Commission",CF_Gen_4[#All],MATCH($B367,CF_Gen_4[[#All],[Incurred]],0),0),0)-IFERROR(HLOOKUP("Actual_Acquisition",CF_Gen_4[#All],MATCH($B367,CF_Gen_4[[#All],[Incurred]],0),0),0),0)</f>
        <v>0</v>
      </c>
      <c r="J367" s="27">
        <f>VLOOKUP(L367,ICG[#All],2,0)</f>
        <v>2025</v>
      </c>
      <c r="K367" s="27" t="str">
        <f>VLOOKUP(L367,ICG[#All],3,0)</f>
        <v>RC-Property</v>
      </c>
      <c r="L367" s="27" t="str">
        <f t="shared" si="28"/>
        <v>#2025#RC-Property</v>
      </c>
    </row>
    <row r="368" spans="1:12">
      <c r="A368" s="26">
        <f t="shared" si="29"/>
        <v>45930</v>
      </c>
      <c r="B368" s="26">
        <f t="shared" si="30"/>
        <v>50405</v>
      </c>
      <c r="C368" s="21">
        <f>IFERROR(HLOOKUP("Exp_Premium",CF_Gen_4[#All],MATCH($B368,CF_Gen_4[[#All],[Incurred]],0),0),0)</f>
        <v>9573125.7555357851</v>
      </c>
      <c r="D368" s="22">
        <f>IF(AND($J368&lt;YEAR($A368),$B368&lt;=$A368),IFERROR(HLOOKUP("Actual_Premium",CF_Gen_4[#All],MATCH($B368,CF_Gen_4[[#All],[Incurred]],0),0),0),0)</f>
        <v>0</v>
      </c>
      <c r="E368" s="21">
        <f>-IFERROR(HLOOKUP("Exp_Claim",CF_Gen_4[#All],MATCH($B368,CF_Gen_4[[#All],[Incurred]],0),0),0)-IFERROR(HLOOKUP("Exp_NPR",CF_Gen_4[#All],MATCH($B368,CF_Gen_4[[#All],[Incurred]],0),0),0)</f>
        <v>-4270668.3740651533</v>
      </c>
      <c r="F368" s="21">
        <f>-IFERROR(HLOOKUP("Exp_RA",CF_Gen_4[#All],MATCH($B368,CF_Gen_4[[#All],[Incurred]],0),0),0)</f>
        <v>-571179.92657249991</v>
      </c>
      <c r="G368" s="21">
        <f>-IFERROR(HLOOKUP("Exp_Expense",CF_Gen_4[#All],MATCH($B368,CF_Gen_4[[#All],[Incurred]],0),0),0)</f>
        <v>0</v>
      </c>
      <c r="H368" s="21">
        <f>-IFERROR(HLOOKUP("Exp_Commission",CF_Gen_4[#All],MATCH($B368,CF_Gen_4[[#All],[Incurred]],0),0),0)-IFERROR(HLOOKUP("Exp_Acquisition",CF_Gen_4[#All],MATCH($B368,CF_Gen_4[[#All],[Incurred]],0),0),0)</f>
        <v>3111265.8705491298</v>
      </c>
      <c r="I368" s="22">
        <f>IF(AND($J368&lt;YEAR($A368),$B368&lt;=$A368),-IFERROR(HLOOKUP("Actual_Commission",CF_Gen_4[#All],MATCH($B368,CF_Gen_4[[#All],[Incurred]],0),0),0)-IFERROR(HLOOKUP("Actual_Acquisition",CF_Gen_4[#All],MATCH($B368,CF_Gen_4[[#All],[Incurred]],0),0),0),0)</f>
        <v>0</v>
      </c>
      <c r="J368" s="27">
        <f>VLOOKUP(L368,ICG[#All],2,0)</f>
        <v>2025</v>
      </c>
      <c r="K368" s="27" t="str">
        <f>VLOOKUP(L368,ICG[#All],3,0)</f>
        <v>RC-Property</v>
      </c>
      <c r="L368" s="27" t="str">
        <f t="shared" si="28"/>
        <v>#2025#RC-Property</v>
      </c>
    </row>
    <row r="369" spans="1:12">
      <c r="A369" s="26">
        <f t="shared" si="29"/>
        <v>45930</v>
      </c>
      <c r="B369" s="26">
        <f t="shared" si="30"/>
        <v>50495</v>
      </c>
      <c r="C369" s="21">
        <f>IFERROR(HLOOKUP("Exp_Premium",CF_Gen_4[#All],MATCH($B369,CF_Gen_4[[#All],[Incurred]],0),0),0)</f>
        <v>8498324.8184369951</v>
      </c>
      <c r="D369" s="22">
        <f>IF(AND($J369&lt;YEAR($A369),$B369&lt;=$A369),IFERROR(HLOOKUP("Actual_Premium",CF_Gen_4[#All],MATCH($B369,CF_Gen_4[[#All],[Incurred]],0),0),0),0)</f>
        <v>0</v>
      </c>
      <c r="E369" s="21">
        <f>-IFERROR(HLOOKUP("Exp_Claim",CF_Gen_4[#All],MATCH($B369,CF_Gen_4[[#All],[Incurred]],0),0),0)-IFERROR(HLOOKUP("Exp_NPR",CF_Gen_4[#All],MATCH($B369,CF_Gen_4[[#All],[Incurred]],0),0),0)</f>
        <v>-3851366.388247848</v>
      </c>
      <c r="F369" s="21">
        <f>-IFERROR(HLOOKUP("Exp_RA",CF_Gen_4[#All],MATCH($B369,CF_Gen_4[[#All],[Incurred]],0),0),0)</f>
        <v>-515100.44287265459</v>
      </c>
      <c r="G369" s="21">
        <f>-IFERROR(HLOOKUP("Exp_Expense",CF_Gen_4[#All],MATCH($B369,CF_Gen_4[[#All],[Incurred]],0),0),0)</f>
        <v>0</v>
      </c>
      <c r="H369" s="21">
        <f>-IFERROR(HLOOKUP("Exp_Commission",CF_Gen_4[#All],MATCH($B369,CF_Gen_4[[#All],[Incurred]],0),0),0)-IFERROR(HLOOKUP("Exp_Acquisition",CF_Gen_4[#All],MATCH($B369,CF_Gen_4[[#All],[Incurred]],0),0),0)</f>
        <v>2761955.5659920224</v>
      </c>
      <c r="I369" s="22">
        <f>IF(AND($J369&lt;YEAR($A369),$B369&lt;=$A369),-IFERROR(HLOOKUP("Actual_Commission",CF_Gen_4[#All],MATCH($B369,CF_Gen_4[[#All],[Incurred]],0),0),0)-IFERROR(HLOOKUP("Actual_Acquisition",CF_Gen_4[#All],MATCH($B369,CF_Gen_4[[#All],[Incurred]],0),0),0),0)</f>
        <v>0</v>
      </c>
      <c r="J369" s="27">
        <f>VLOOKUP(L369,ICG[#All],2,0)</f>
        <v>2025</v>
      </c>
      <c r="K369" s="27" t="str">
        <f>VLOOKUP(L369,ICG[#All],3,0)</f>
        <v>RC-Property</v>
      </c>
      <c r="L369" s="27" t="str">
        <f t="shared" si="28"/>
        <v>#2025#RC-Property</v>
      </c>
    </row>
    <row r="370" spans="1:12">
      <c r="A370" s="26">
        <f t="shared" si="29"/>
        <v>45930</v>
      </c>
      <c r="B370" s="26">
        <f t="shared" si="30"/>
        <v>50586</v>
      </c>
      <c r="C370" s="21">
        <f>IFERROR(HLOOKUP("Exp_Premium",CF_Gen_4[#All],MATCH($B370,CF_Gen_4[[#All],[Incurred]],0),0),0)</f>
        <v>7538492.3746576831</v>
      </c>
      <c r="D370" s="22">
        <f>IF(AND($J370&lt;YEAR($A370),$B370&lt;=$A370),IFERROR(HLOOKUP("Actual_Premium",CF_Gen_4[#All],MATCH($B370,CF_Gen_4[[#All],[Incurred]],0),0),0),0)</f>
        <v>0</v>
      </c>
      <c r="E370" s="21">
        <f>-IFERROR(HLOOKUP("Exp_Claim",CF_Gen_4[#All],MATCH($B370,CF_Gen_4[[#All],[Incurred]],0),0),0)-IFERROR(HLOOKUP("Exp_NPR",CF_Gen_4[#All],MATCH($B370,CF_Gen_4[[#All],[Incurred]],0),0),0)</f>
        <v>-3469840.4054120458</v>
      </c>
      <c r="F370" s="21">
        <f>-IFERROR(HLOOKUP("Exp_RA",CF_Gen_4[#All],MATCH($B370,CF_Gen_4[[#All],[Incurred]],0),0),0)</f>
        <v>-464073.30525058223</v>
      </c>
      <c r="G370" s="21">
        <f>-IFERROR(HLOOKUP("Exp_Expense",CF_Gen_4[#All],MATCH($B370,CF_Gen_4[[#All],[Incurred]],0),0),0)</f>
        <v>0</v>
      </c>
      <c r="H370" s="21">
        <f>-IFERROR(HLOOKUP("Exp_Commission",CF_Gen_4[#All],MATCH($B370,CF_Gen_4[[#All],[Incurred]],0),0),0)-IFERROR(HLOOKUP("Exp_Acquisition",CF_Gen_4[#All],MATCH($B370,CF_Gen_4[[#All],[Incurred]],0),0),0)</f>
        <v>2450010.0217637466</v>
      </c>
      <c r="I370" s="22">
        <f>IF(AND($J370&lt;YEAR($A370),$B370&lt;=$A370),-IFERROR(HLOOKUP("Actual_Commission",CF_Gen_4[#All],MATCH($B370,CF_Gen_4[[#All],[Incurred]],0),0),0)-IFERROR(HLOOKUP("Actual_Acquisition",CF_Gen_4[#All],MATCH($B370,CF_Gen_4[[#All],[Incurred]],0),0),0),0)</f>
        <v>0</v>
      </c>
      <c r="J370" s="27">
        <f>VLOOKUP(L370,ICG[#All],2,0)</f>
        <v>2025</v>
      </c>
      <c r="K370" s="27" t="str">
        <f>VLOOKUP(L370,ICG[#All],3,0)</f>
        <v>RC-Property</v>
      </c>
      <c r="L370" s="27" t="str">
        <f t="shared" si="28"/>
        <v>#2025#RC-Property</v>
      </c>
    </row>
    <row r="371" spans="1:12">
      <c r="A371" s="26">
        <f t="shared" si="29"/>
        <v>45930</v>
      </c>
      <c r="B371" s="26">
        <f t="shared" si="30"/>
        <v>50678</v>
      </c>
      <c r="C371" s="21">
        <f>IFERROR(HLOOKUP("Exp_Premium",CF_Gen_4[#All],MATCH($B371,CF_Gen_4[[#All],[Incurred]],0),0),0)</f>
        <v>6682001.0322419591</v>
      </c>
      <c r="D371" s="22">
        <f>IF(AND($J371&lt;YEAR($A371),$B371&lt;=$A371),IFERROR(HLOOKUP("Actual_Premium",CF_Gen_4[#All],MATCH($B371,CF_Gen_4[[#All],[Incurred]],0),0),0),0)</f>
        <v>0</v>
      </c>
      <c r="E371" s="21">
        <f>-IFERROR(HLOOKUP("Exp_Claim",CF_Gen_4[#All],MATCH($B371,CF_Gen_4[[#All],[Incurred]],0),0),0)-IFERROR(HLOOKUP("Exp_NPR",CF_Gen_4[#All],MATCH($B371,CF_Gen_4[[#All],[Incurred]],0),0),0)</f>
        <v>-3122856.3648708402</v>
      </c>
      <c r="F371" s="21">
        <f>-IFERROR(HLOOKUP("Exp_RA",CF_Gen_4[#All],MATCH($B371,CF_Gen_4[[#All],[Incurred]],0),0),0)</f>
        <v>-417665.97472552391</v>
      </c>
      <c r="G371" s="21">
        <f>-IFERROR(HLOOKUP("Exp_Expense",CF_Gen_4[#All],MATCH($B371,CF_Gen_4[[#All],[Incurred]],0),0),0)</f>
        <v>0</v>
      </c>
      <c r="H371" s="21">
        <f>-IFERROR(HLOOKUP("Exp_Commission",CF_Gen_4[#All],MATCH($B371,CF_Gen_4[[#All],[Incurred]],0),0),0)-IFERROR(HLOOKUP("Exp_Acquisition",CF_Gen_4[#All],MATCH($B371,CF_Gen_4[[#All],[Incurred]],0),0),0)</f>
        <v>2171650.3354786364</v>
      </c>
      <c r="I371" s="22">
        <f>IF(AND($J371&lt;YEAR($A371),$B371&lt;=$A371),-IFERROR(HLOOKUP("Actual_Commission",CF_Gen_4[#All],MATCH($B371,CF_Gen_4[[#All],[Incurred]],0),0),0)-IFERROR(HLOOKUP("Actual_Acquisition",CF_Gen_4[#All],MATCH($B371,CF_Gen_4[[#All],[Incurred]],0),0),0),0)</f>
        <v>0</v>
      </c>
      <c r="J371" s="27">
        <f>VLOOKUP(L371,ICG[#All],2,0)</f>
        <v>2025</v>
      </c>
      <c r="K371" s="27" t="str">
        <f>VLOOKUP(L371,ICG[#All],3,0)</f>
        <v>RC-Property</v>
      </c>
      <c r="L371" s="27" t="str">
        <f t="shared" si="28"/>
        <v>#2025#RC-Property</v>
      </c>
    </row>
    <row r="372" spans="1:12">
      <c r="A372" s="26">
        <f t="shared" si="29"/>
        <v>45930</v>
      </c>
      <c r="B372" s="26">
        <f t="shared" si="30"/>
        <v>50770</v>
      </c>
      <c r="C372" s="21">
        <f>IFERROR(HLOOKUP("Exp_Premium",CF_Gen_4[#All],MATCH($B372,CF_Gen_4[[#All],[Incurred]],0),0),0)</f>
        <v>5918343.7714143051</v>
      </c>
      <c r="D372" s="22">
        <f>IF(AND($J372&lt;YEAR($A372),$B372&lt;=$A372),IFERROR(HLOOKUP("Actual_Premium",CF_Gen_4[#All],MATCH($B372,CF_Gen_4[[#All],[Incurred]],0),0),0),0)</f>
        <v>0</v>
      </c>
      <c r="E372" s="21">
        <f>-IFERROR(HLOOKUP("Exp_Claim",CF_Gen_4[#All],MATCH($B372,CF_Gen_4[[#All],[Incurred]],0),0),0)-IFERROR(HLOOKUP("Exp_NPR",CF_Gen_4[#All],MATCH($B372,CF_Gen_4[[#All],[Incurred]],0),0),0)</f>
        <v>-2904256.4193298812</v>
      </c>
      <c r="F372" s="21">
        <f>-IFERROR(HLOOKUP("Exp_RA",CF_Gen_4[#All],MATCH($B372,CF_Gen_4[[#All],[Incurred]],0),0),0)</f>
        <v>-388429.35649473721</v>
      </c>
      <c r="G372" s="21">
        <f>-IFERROR(HLOOKUP("Exp_Expense",CF_Gen_4[#All],MATCH($B372,CF_Gen_4[[#All],[Incurred]],0),0),0)</f>
        <v>0</v>
      </c>
      <c r="H372" s="21">
        <f>-IFERROR(HLOOKUP("Exp_Commission",CF_Gen_4[#All],MATCH($B372,CF_Gen_4[[#All],[Incurred]],0),0),0)-IFERROR(HLOOKUP("Exp_Acquisition",CF_Gen_4[#All],MATCH($B372,CF_Gen_4[[#All],[Incurred]],0),0),0)</f>
        <v>1923461.7257096497</v>
      </c>
      <c r="I372" s="22">
        <f>IF(AND($J372&lt;YEAR($A372),$B372&lt;=$A372),-IFERROR(HLOOKUP("Actual_Commission",CF_Gen_4[#All],MATCH($B372,CF_Gen_4[[#All],[Incurred]],0),0),0)-IFERROR(HLOOKUP("Actual_Acquisition",CF_Gen_4[#All],MATCH($B372,CF_Gen_4[[#All],[Incurred]],0),0),0),0)</f>
        <v>0</v>
      </c>
      <c r="J372" s="27">
        <f>VLOOKUP(L372,ICG[#All],2,0)</f>
        <v>2025</v>
      </c>
      <c r="K372" s="27" t="str">
        <f>VLOOKUP(L372,ICG[#All],3,0)</f>
        <v>RC-Property</v>
      </c>
      <c r="L372" s="27" t="str">
        <f t="shared" si="28"/>
        <v>#2025#RC-Property</v>
      </c>
    </row>
    <row r="373" spans="1:12">
      <c r="A373" s="26">
        <f t="shared" si="29"/>
        <v>45930</v>
      </c>
      <c r="B373" s="26">
        <f t="shared" si="30"/>
        <v>50860</v>
      </c>
      <c r="C373" s="21">
        <f>IFERROR(HLOOKUP("Exp_Premium",CF_Gen_4[#All],MATCH($B373,CF_Gen_4[[#All],[Incurred]],0),0),0)</f>
        <v>5228856.7220445396</v>
      </c>
      <c r="D373" s="22">
        <f>IF(AND($J373&lt;YEAR($A373),$B373&lt;=$A373),IFERROR(HLOOKUP("Actual_Premium",CF_Gen_4[#All],MATCH($B373,CF_Gen_4[[#All],[Incurred]],0),0),0),0)</f>
        <v>0</v>
      </c>
      <c r="E373" s="21">
        <f>-IFERROR(HLOOKUP("Exp_Claim",CF_Gen_4[#All],MATCH($B373,CF_Gen_4[[#All],[Incurred]],0),0),0)-IFERROR(HLOOKUP("Exp_NPR",CF_Gen_4[#All],MATCH($B373,CF_Gen_4[[#All],[Incurred]],0),0),0)</f>
        <v>-2610926.5209775632</v>
      </c>
      <c r="F373" s="21">
        <f>-IFERROR(HLOOKUP("Exp_RA",CF_Gen_4[#All],MATCH($B373,CF_Gen_4[[#All],[Incurred]],0),0),0)</f>
        <v>-349197.99148876872</v>
      </c>
      <c r="G373" s="21">
        <f>-IFERROR(HLOOKUP("Exp_Expense",CF_Gen_4[#All],MATCH($B373,CF_Gen_4[[#All],[Incurred]],0),0),0)</f>
        <v>0</v>
      </c>
      <c r="H373" s="21">
        <f>-IFERROR(HLOOKUP("Exp_Commission",CF_Gen_4[#All],MATCH($B373,CF_Gen_4[[#All],[Incurred]],0),0),0)-IFERROR(HLOOKUP("Exp_Acquisition",CF_Gen_4[#All],MATCH($B373,CF_Gen_4[[#All],[Incurred]],0),0),0)</f>
        <v>1699378.4346644755</v>
      </c>
      <c r="I373" s="22">
        <f>IF(AND($J373&lt;YEAR($A373),$B373&lt;=$A373),-IFERROR(HLOOKUP("Actual_Commission",CF_Gen_4[#All],MATCH($B373,CF_Gen_4[[#All],[Incurred]],0),0),0)-IFERROR(HLOOKUP("Actual_Acquisition",CF_Gen_4[#All],MATCH($B373,CF_Gen_4[[#All],[Incurred]],0),0),0),0)</f>
        <v>0</v>
      </c>
      <c r="J373" s="27">
        <f>VLOOKUP(L373,ICG[#All],2,0)</f>
        <v>2025</v>
      </c>
      <c r="K373" s="27" t="str">
        <f>VLOOKUP(L373,ICG[#All],3,0)</f>
        <v>RC-Property</v>
      </c>
      <c r="L373" s="27" t="str">
        <f t="shared" si="28"/>
        <v>#2025#RC-Property</v>
      </c>
    </row>
    <row r="374" spans="1:12">
      <c r="A374" s="26">
        <f t="shared" si="29"/>
        <v>45930</v>
      </c>
      <c r="B374" s="26">
        <f t="shared" si="30"/>
        <v>50951</v>
      </c>
      <c r="C374" s="21">
        <f>IFERROR(HLOOKUP("Exp_Premium",CF_Gen_4[#All],MATCH($B374,CF_Gen_4[[#All],[Incurred]],0),0),0)</f>
        <v>4615429.267653103</v>
      </c>
      <c r="D374" s="22">
        <f>IF(AND($J374&lt;YEAR($A374),$B374&lt;=$A374),IFERROR(HLOOKUP("Actual_Premium",CF_Gen_4[#All],MATCH($B374,CF_Gen_4[[#All],[Incurred]],0),0),0),0)</f>
        <v>0</v>
      </c>
      <c r="E374" s="21">
        <f>-IFERROR(HLOOKUP("Exp_Claim",CF_Gen_4[#All],MATCH($B374,CF_Gen_4[[#All],[Incurred]],0),0),0)-IFERROR(HLOOKUP("Exp_NPR",CF_Gen_4[#All],MATCH($B374,CF_Gen_4[[#All],[Incurred]],0),0),0)</f>
        <v>-2344431.9519398534</v>
      </c>
      <c r="F374" s="21">
        <f>-IFERROR(HLOOKUP("Exp_RA",CF_Gen_4[#All],MATCH($B374,CF_Gen_4[[#All],[Incurred]],0),0),0)</f>
        <v>-313555.71373681165</v>
      </c>
      <c r="G374" s="21">
        <f>-IFERROR(HLOOKUP("Exp_Expense",CF_Gen_4[#All],MATCH($B374,CF_Gen_4[[#All],[Incurred]],0),0),0)</f>
        <v>0</v>
      </c>
      <c r="H374" s="21">
        <f>-IFERROR(HLOOKUP("Exp_Commission",CF_Gen_4[#All],MATCH($B374,CF_Gen_4[[#All],[Incurred]],0),0),0)-IFERROR(HLOOKUP("Exp_Acquisition",CF_Gen_4[#All],MATCH($B374,CF_Gen_4[[#All],[Incurred]],0),0),0)</f>
        <v>1500014.5119872587</v>
      </c>
      <c r="I374" s="22">
        <f>IF(AND($J374&lt;YEAR($A374),$B374&lt;=$A374),-IFERROR(HLOOKUP("Actual_Commission",CF_Gen_4[#All],MATCH($B374,CF_Gen_4[[#All],[Incurred]],0),0),0)-IFERROR(HLOOKUP("Actual_Acquisition",CF_Gen_4[#All],MATCH($B374,CF_Gen_4[[#All],[Incurred]],0),0),0),0)</f>
        <v>0</v>
      </c>
      <c r="J374" s="27">
        <f>VLOOKUP(L374,ICG[#All],2,0)</f>
        <v>2025</v>
      </c>
      <c r="K374" s="27" t="str">
        <f>VLOOKUP(L374,ICG[#All],3,0)</f>
        <v>RC-Property</v>
      </c>
      <c r="L374" s="27" t="str">
        <f t="shared" si="28"/>
        <v>#2025#RC-Property</v>
      </c>
    </row>
    <row r="375" spans="1:12">
      <c r="A375" s="26">
        <f t="shared" si="29"/>
        <v>45930</v>
      </c>
      <c r="B375" s="26">
        <f t="shared" si="30"/>
        <v>51043</v>
      </c>
      <c r="C375" s="21">
        <f>IFERROR(HLOOKUP("Exp_Premium",CF_Gen_4[#All],MATCH($B375,CF_Gen_4[[#All],[Incurred]],0),0),0)</f>
        <v>4070194.3610066893</v>
      </c>
      <c r="D375" s="22">
        <f>IF(AND($J375&lt;YEAR($A375),$B375&lt;=$A375),IFERROR(HLOOKUP("Actual_Premium",CF_Gen_4[#All],MATCH($B375,CF_Gen_4[[#All],[Incurred]],0),0),0),0)</f>
        <v>0</v>
      </c>
      <c r="E375" s="21">
        <f>-IFERROR(HLOOKUP("Exp_Claim",CF_Gen_4[#All],MATCH($B375,CF_Gen_4[[#All],[Incurred]],0),0),0)-IFERROR(HLOOKUP("Exp_NPR",CF_Gen_4[#All],MATCH($B375,CF_Gen_4[[#All],[Incurred]],0),0),0)</f>
        <v>-2102453.0826146319</v>
      </c>
      <c r="F375" s="21">
        <f>-IFERROR(HLOOKUP("Exp_RA",CF_Gen_4[#All],MATCH($B375,CF_Gen_4[[#All],[Incurred]],0),0),0)</f>
        <v>-281192.28471183352</v>
      </c>
      <c r="G375" s="21">
        <f>-IFERROR(HLOOKUP("Exp_Expense",CF_Gen_4[#All],MATCH($B375,CF_Gen_4[[#All],[Incurred]],0),0),0)</f>
        <v>0</v>
      </c>
      <c r="H375" s="21">
        <f>-IFERROR(HLOOKUP("Exp_Commission",CF_Gen_4[#All],MATCH($B375,CF_Gen_4[[#All],[Incurred]],0),0),0)-IFERROR(HLOOKUP("Exp_Acquisition",CF_Gen_4[#All],MATCH($B375,CF_Gen_4[[#All],[Incurred]],0),0),0)</f>
        <v>1322813.167327174</v>
      </c>
      <c r="I375" s="22">
        <f>IF(AND($J375&lt;YEAR($A375),$B375&lt;=$A375),-IFERROR(HLOOKUP("Actual_Commission",CF_Gen_4[#All],MATCH($B375,CF_Gen_4[[#All],[Incurred]],0),0),0)-IFERROR(HLOOKUP("Actual_Acquisition",CF_Gen_4[#All],MATCH($B375,CF_Gen_4[[#All],[Incurred]],0),0),0),0)</f>
        <v>0</v>
      </c>
      <c r="J375" s="27">
        <f>VLOOKUP(L375,ICG[#All],2,0)</f>
        <v>2025</v>
      </c>
      <c r="K375" s="27" t="str">
        <f>VLOOKUP(L375,ICG[#All],3,0)</f>
        <v>RC-Property</v>
      </c>
      <c r="L375" s="27" t="str">
        <f t="shared" si="28"/>
        <v>#2025#RC-Property</v>
      </c>
    </row>
    <row r="376" spans="1:12">
      <c r="A376" s="26">
        <f t="shared" si="29"/>
        <v>45930</v>
      </c>
      <c r="B376" s="26">
        <f t="shared" si="30"/>
        <v>51135</v>
      </c>
      <c r="C376" s="21">
        <f>IFERROR(HLOOKUP("Exp_Premium",CF_Gen_4[#All],MATCH($B376,CF_Gen_4[[#All],[Incurred]],0),0),0)</f>
        <v>3586055.4528027358</v>
      </c>
      <c r="D376" s="22">
        <f>IF(AND($J376&lt;YEAR($A376),$B376&lt;=$A376),IFERROR(HLOOKUP("Actual_Premium",CF_Gen_4[#All],MATCH($B376,CF_Gen_4[[#All],[Incurred]],0),0),0),0)</f>
        <v>0</v>
      </c>
      <c r="E376" s="21">
        <f>-IFERROR(HLOOKUP("Exp_Claim",CF_Gen_4[#All],MATCH($B376,CF_Gen_4[[#All],[Incurred]],0),0),0)-IFERROR(HLOOKUP("Exp_NPR",CF_Gen_4[#All],MATCH($B376,CF_Gen_4[[#All],[Incurred]],0),0),0)</f>
        <v>-1955281.3668316079</v>
      </c>
      <c r="F376" s="21">
        <f>-IFERROR(HLOOKUP("Exp_RA",CF_Gen_4[#All],MATCH($B376,CF_Gen_4[[#All],[Incurred]],0),0),0)</f>
        <v>-261508.82478200519</v>
      </c>
      <c r="G376" s="21">
        <f>-IFERROR(HLOOKUP("Exp_Expense",CF_Gen_4[#All],MATCH($B376,CF_Gen_4[[#All],[Incurred]],0),0),0)</f>
        <v>0</v>
      </c>
      <c r="H376" s="21">
        <f>-IFERROR(HLOOKUP("Exp_Commission",CF_Gen_4[#All],MATCH($B376,CF_Gen_4[[#All],[Incurred]],0),0),0)-IFERROR(HLOOKUP("Exp_Acquisition",CF_Gen_4[#All],MATCH($B376,CF_Gen_4[[#All],[Incurred]],0),0),0)</f>
        <v>1165468.0221608893</v>
      </c>
      <c r="I376" s="22">
        <f>IF(AND($J376&lt;YEAR($A376),$B376&lt;=$A376),-IFERROR(HLOOKUP("Actual_Commission",CF_Gen_4[#All],MATCH($B376,CF_Gen_4[[#All],[Incurred]],0),0),0)-IFERROR(HLOOKUP("Actual_Acquisition",CF_Gen_4[#All],MATCH($B376,CF_Gen_4[[#All],[Incurred]],0),0),0),0)</f>
        <v>0</v>
      </c>
      <c r="J376" s="27">
        <f>VLOOKUP(L376,ICG[#All],2,0)</f>
        <v>2025</v>
      </c>
      <c r="K376" s="27" t="str">
        <f>VLOOKUP(L376,ICG[#All],3,0)</f>
        <v>RC-Property</v>
      </c>
      <c r="L376" s="27" t="str">
        <f t="shared" si="28"/>
        <v>#2025#RC-Property</v>
      </c>
    </row>
    <row r="377" spans="1:12">
      <c r="A377" s="26">
        <f t="shared" si="29"/>
        <v>45930</v>
      </c>
      <c r="B377" s="26">
        <f t="shared" si="30"/>
        <v>51226</v>
      </c>
      <c r="C377" s="21">
        <f>IFERROR(HLOOKUP("Exp_Premium",CF_Gen_4[#All],MATCH($B377,CF_Gen_4[[#All],[Incurred]],0),0),0)</f>
        <v>3149752.0393784023</v>
      </c>
      <c r="D377" s="22">
        <f>IF(AND($J377&lt;YEAR($A377),$B377&lt;=$A377),IFERROR(HLOOKUP("Actual_Premium",CF_Gen_4[#All],MATCH($B377,CF_Gen_4[[#All],[Incurred]],0),0),0),0)</f>
        <v>0</v>
      </c>
      <c r="E377" s="21">
        <f>-IFERROR(HLOOKUP("Exp_Claim",CF_Gen_4[#All],MATCH($B377,CF_Gen_4[[#All],[Incurred]],0),0),0)-IFERROR(HLOOKUP("Exp_NPR",CF_Gen_4[#All],MATCH($B377,CF_Gen_4[[#All],[Incurred]],0),0),0)</f>
        <v>-1751063.0907403068</v>
      </c>
      <c r="F377" s="21">
        <f>-IFERROR(HLOOKUP("Exp_RA",CF_Gen_4[#All],MATCH($B377,CF_Gen_4[[#All],[Incurred]],0),0),0)</f>
        <v>-234195.6808603291</v>
      </c>
      <c r="G377" s="21">
        <f>-IFERROR(HLOOKUP("Exp_Expense",CF_Gen_4[#All],MATCH($B377,CF_Gen_4[[#All],[Incurred]],0),0),0)</f>
        <v>0</v>
      </c>
      <c r="H377" s="21">
        <f>-IFERROR(HLOOKUP("Exp_Commission",CF_Gen_4[#All],MATCH($B377,CF_Gen_4[[#All],[Incurred]],0),0),0)-IFERROR(HLOOKUP("Exp_Acquisition",CF_Gen_4[#All],MATCH($B377,CF_Gen_4[[#All],[Incurred]],0),0),0)</f>
        <v>1023669.4127979809</v>
      </c>
      <c r="I377" s="22">
        <f>IF(AND($J377&lt;YEAR($A377),$B377&lt;=$A377),-IFERROR(HLOOKUP("Actual_Commission",CF_Gen_4[#All],MATCH($B377,CF_Gen_4[[#All],[Incurred]],0),0),0)-IFERROR(HLOOKUP("Actual_Acquisition",CF_Gen_4[#All],MATCH($B377,CF_Gen_4[[#All],[Incurred]],0),0),0),0)</f>
        <v>0</v>
      </c>
      <c r="J377" s="27">
        <f>VLOOKUP(L377,ICG[#All],2,0)</f>
        <v>2025</v>
      </c>
      <c r="K377" s="27" t="str">
        <f>VLOOKUP(L377,ICG[#All],3,0)</f>
        <v>RC-Property</v>
      </c>
      <c r="L377" s="27" t="str">
        <f t="shared" si="28"/>
        <v>#2025#RC-Property</v>
      </c>
    </row>
    <row r="378" spans="1:12">
      <c r="A378" s="26">
        <f t="shared" si="29"/>
        <v>45930</v>
      </c>
      <c r="B378" s="26">
        <f t="shared" si="30"/>
        <v>51317</v>
      </c>
      <c r="C378" s="21">
        <f>IFERROR(HLOOKUP("Exp_Premium",CF_Gen_4[#All],MATCH($B378,CF_Gen_4[[#All],[Incurred]],0),0),0)</f>
        <v>2763341.2826520451</v>
      </c>
      <c r="D378" s="22">
        <f>IF(AND($J378&lt;YEAR($A378),$B378&lt;=$A378),IFERROR(HLOOKUP("Actual_Premium",CF_Gen_4[#All],MATCH($B378,CF_Gen_4[[#All],[Incurred]],0),0),0),0)</f>
        <v>0</v>
      </c>
      <c r="E378" s="21">
        <f>-IFERROR(HLOOKUP("Exp_Claim",CF_Gen_4[#All],MATCH($B378,CF_Gen_4[[#All],[Incurred]],0),0),0)-IFERROR(HLOOKUP("Exp_NPR",CF_Gen_4[#All],MATCH($B378,CF_Gen_4[[#All],[Incurred]],0),0),0)</f>
        <v>-1565854.4946043128</v>
      </c>
      <c r="F378" s="21">
        <f>-IFERROR(HLOOKUP("Exp_RA",CF_Gen_4[#All],MATCH($B378,CF_Gen_4[[#All],[Incurred]],0),0),0)</f>
        <v>-209424.98384625584</v>
      </c>
      <c r="G378" s="21">
        <f>-IFERROR(HLOOKUP("Exp_Expense",CF_Gen_4[#All],MATCH($B378,CF_Gen_4[[#All],[Incurred]],0),0),0)</f>
        <v>0</v>
      </c>
      <c r="H378" s="21">
        <f>-IFERROR(HLOOKUP("Exp_Commission",CF_Gen_4[#All],MATCH($B378,CF_Gen_4[[#All],[Incurred]],0),0),0)-IFERROR(HLOOKUP("Exp_Acquisition",CF_Gen_4[#All],MATCH($B378,CF_Gen_4[[#All],[Incurred]],0),0),0)</f>
        <v>898085.9168619148</v>
      </c>
      <c r="I378" s="22">
        <f>IF(AND($J378&lt;YEAR($A378),$B378&lt;=$A378),-IFERROR(HLOOKUP("Actual_Commission",CF_Gen_4[#All],MATCH($B378,CF_Gen_4[[#All],[Incurred]],0),0),0)-IFERROR(HLOOKUP("Actual_Acquisition",CF_Gen_4[#All],MATCH($B378,CF_Gen_4[[#All],[Incurred]],0),0),0),0)</f>
        <v>0</v>
      </c>
      <c r="J378" s="27">
        <f>VLOOKUP(L378,ICG[#All],2,0)</f>
        <v>2025</v>
      </c>
      <c r="K378" s="27" t="str">
        <f>VLOOKUP(L378,ICG[#All],3,0)</f>
        <v>RC-Property</v>
      </c>
      <c r="L378" s="27" t="str">
        <f t="shared" si="28"/>
        <v>#2025#RC-Property</v>
      </c>
    </row>
    <row r="379" spans="1:12">
      <c r="A379" s="26">
        <f t="shared" si="29"/>
        <v>45930</v>
      </c>
      <c r="B379" s="26">
        <f t="shared" si="30"/>
        <v>51409</v>
      </c>
      <c r="C379" s="21">
        <f>IFERROR(HLOOKUP("Exp_Premium",CF_Gen_4[#All],MATCH($B379,CF_Gen_4[[#All],[Incurred]],0),0),0)</f>
        <v>2421529.3678741152</v>
      </c>
      <c r="D379" s="22">
        <f>IF(AND($J379&lt;YEAR($A379),$B379&lt;=$A379),IFERROR(HLOOKUP("Actual_Premium",CF_Gen_4[#All],MATCH($B379,CF_Gen_4[[#All],[Incurred]],0),0),0),0)</f>
        <v>0</v>
      </c>
      <c r="E379" s="21">
        <f>-IFERROR(HLOOKUP("Exp_Claim",CF_Gen_4[#All],MATCH($B379,CF_Gen_4[[#All],[Incurred]],0),0),0)-IFERROR(HLOOKUP("Exp_NPR",CF_Gen_4[#All],MATCH($B379,CF_Gen_4[[#All],[Incurred]],0),0),0)</f>
        <v>-1397994.8927827301</v>
      </c>
      <c r="F379" s="21">
        <f>-IFERROR(HLOOKUP("Exp_RA",CF_Gen_4[#All],MATCH($B379,CF_Gen_4[[#All],[Incurred]],0),0),0)</f>
        <v>-186974.62557793714</v>
      </c>
      <c r="G379" s="21">
        <f>-IFERROR(HLOOKUP("Exp_Expense",CF_Gen_4[#All],MATCH($B379,CF_Gen_4[[#All],[Incurred]],0),0),0)</f>
        <v>0</v>
      </c>
      <c r="H379" s="21">
        <f>-IFERROR(HLOOKUP("Exp_Commission",CF_Gen_4[#All],MATCH($B379,CF_Gen_4[[#All],[Incurred]],0),0),0)-IFERROR(HLOOKUP("Exp_Acquisition",CF_Gen_4[#All],MATCH($B379,CF_Gen_4[[#All],[Incurred]],0),0),0)</f>
        <v>786997.04455908772</v>
      </c>
      <c r="I379" s="22">
        <f>IF(AND($J379&lt;YEAR($A379),$B379&lt;=$A379),-IFERROR(HLOOKUP("Actual_Commission",CF_Gen_4[#All],MATCH($B379,CF_Gen_4[[#All],[Incurred]],0),0),0)-IFERROR(HLOOKUP("Actual_Acquisition",CF_Gen_4[#All],MATCH($B379,CF_Gen_4[[#All],[Incurred]],0),0),0),0)</f>
        <v>0</v>
      </c>
      <c r="J379" s="27">
        <f>VLOOKUP(L379,ICG[#All],2,0)</f>
        <v>2025</v>
      </c>
      <c r="K379" s="27" t="str">
        <f>VLOOKUP(L379,ICG[#All],3,0)</f>
        <v>RC-Property</v>
      </c>
      <c r="L379" s="27" t="str">
        <f t="shared" si="28"/>
        <v>#2025#RC-Property</v>
      </c>
    </row>
    <row r="380" spans="1:12">
      <c r="A380" s="26">
        <f t="shared" si="29"/>
        <v>45930</v>
      </c>
      <c r="B380" s="26">
        <f t="shared" si="30"/>
        <v>51501</v>
      </c>
      <c r="C380" s="21">
        <f>IFERROR(HLOOKUP("Exp_Premium",CF_Gen_4[#All],MATCH($B380,CF_Gen_4[[#All],[Incurred]],0),0),0)</f>
        <v>2119550.4114098134</v>
      </c>
      <c r="D380" s="22">
        <f>IF(AND($J380&lt;YEAR($A380),$B380&lt;=$A380),IFERROR(HLOOKUP("Actual_Premium",CF_Gen_4[#All],MATCH($B380,CF_Gen_4[[#All],[Incurred]],0),0),0),0)</f>
        <v>0</v>
      </c>
      <c r="E380" s="21">
        <f>-IFERROR(HLOOKUP("Exp_Claim",CF_Gen_4[#All],MATCH($B380,CF_Gen_4[[#All],[Incurred]],0),0),0)-IFERROR(HLOOKUP("Exp_NPR",CF_Gen_4[#All],MATCH($B380,CF_Gen_4[[#All],[Incurred]],0),0),0)</f>
        <v>-1300135.2502879389</v>
      </c>
      <c r="F380" s="21">
        <f>-IFERROR(HLOOKUP("Exp_RA",CF_Gen_4[#All],MATCH($B380,CF_Gen_4[[#All],[Incurred]],0),0),0)</f>
        <v>-173886.40178748153</v>
      </c>
      <c r="G380" s="21">
        <f>-IFERROR(HLOOKUP("Exp_Expense",CF_Gen_4[#All],MATCH($B380,CF_Gen_4[[#All],[Incurred]],0),0),0)</f>
        <v>0</v>
      </c>
      <c r="H380" s="21">
        <f>-IFERROR(HLOOKUP("Exp_Commission",CF_Gen_4[#All],MATCH($B380,CF_Gen_4[[#All],[Incurred]],0),0),0)-IFERROR(HLOOKUP("Exp_Acquisition",CF_Gen_4[#All],MATCH($B380,CF_Gen_4[[#All],[Incurred]],0),0),0)</f>
        <v>688853.88370818947</v>
      </c>
      <c r="I380" s="22">
        <f>IF(AND($J380&lt;YEAR($A380),$B380&lt;=$A380),-IFERROR(HLOOKUP("Actual_Commission",CF_Gen_4[#All],MATCH($B380,CF_Gen_4[[#All],[Incurred]],0),0),0)-IFERROR(HLOOKUP("Actual_Acquisition",CF_Gen_4[#All],MATCH($B380,CF_Gen_4[[#All],[Incurred]],0),0),0),0)</f>
        <v>0</v>
      </c>
      <c r="J380" s="27">
        <f>VLOOKUP(L380,ICG[#All],2,0)</f>
        <v>2025</v>
      </c>
      <c r="K380" s="27" t="str">
        <f>VLOOKUP(L380,ICG[#All],3,0)</f>
        <v>RC-Property</v>
      </c>
      <c r="L380" s="27" t="str">
        <f t="shared" si="28"/>
        <v>#2025#RC-Property</v>
      </c>
    </row>
    <row r="381" spans="1:12">
      <c r="A381" s="26">
        <f t="shared" ref="A381:A412" si="31">ValuationDate</f>
        <v>45930</v>
      </c>
      <c r="B381" s="26">
        <f t="shared" si="30"/>
        <v>51591</v>
      </c>
      <c r="C381" s="21">
        <f>IFERROR(HLOOKUP("Exp_Premium",CF_Gen_4[#All],MATCH($B381,CF_Gen_4[[#All],[Incurred]],0),0),0)</f>
        <v>1847983.014947931</v>
      </c>
      <c r="D381" s="22">
        <f>IF(AND($J381&lt;YEAR($A381),$B381&lt;=$A381),IFERROR(HLOOKUP("Actual_Premium",CF_Gen_4[#All],MATCH($B381,CF_Gen_4[[#All],[Incurred]],0),0),0),0)</f>
        <v>0</v>
      </c>
      <c r="E381" s="21">
        <f>-IFERROR(HLOOKUP("Exp_Claim",CF_Gen_4[#All],MATCH($B381,CF_Gen_4[[#All],[Incurred]],0),0),0)-IFERROR(HLOOKUP("Exp_NPR",CF_Gen_4[#All],MATCH($B381,CF_Gen_4[[#All],[Incurred]],0),0),0)</f>
        <v>-1158745.5418191252</v>
      </c>
      <c r="F381" s="21">
        <f>-IFERROR(HLOOKUP("Exp_RA",CF_Gen_4[#All],MATCH($B381,CF_Gen_4[[#All],[Incurred]],0),0),0)</f>
        <v>-154976.25559309288</v>
      </c>
      <c r="G381" s="21">
        <f>-IFERROR(HLOOKUP("Exp_Expense",CF_Gen_4[#All],MATCH($B381,CF_Gen_4[[#All],[Incurred]],0),0),0)</f>
        <v>0</v>
      </c>
      <c r="H381" s="21">
        <f>-IFERROR(HLOOKUP("Exp_Commission",CF_Gen_4[#All],MATCH($B381,CF_Gen_4[[#All],[Incurred]],0),0),0)-IFERROR(HLOOKUP("Exp_Acquisition",CF_Gen_4[#All],MATCH($B381,CF_Gen_4[[#All],[Incurred]],0),0),0)</f>
        <v>600594.47985807771</v>
      </c>
      <c r="I381" s="22">
        <f>IF(AND($J381&lt;YEAR($A381),$B381&lt;=$A381),-IFERROR(HLOOKUP("Actual_Commission",CF_Gen_4[#All],MATCH($B381,CF_Gen_4[[#All],[Incurred]],0),0),0)-IFERROR(HLOOKUP("Actual_Acquisition",CF_Gen_4[#All],MATCH($B381,CF_Gen_4[[#All],[Incurred]],0),0),0),0)</f>
        <v>0</v>
      </c>
      <c r="J381" s="27">
        <f>VLOOKUP(L381,ICG[#All],2,0)</f>
        <v>2025</v>
      </c>
      <c r="K381" s="27" t="str">
        <f>VLOOKUP(L381,ICG[#All],3,0)</f>
        <v>RC-Property</v>
      </c>
      <c r="L381" s="27" t="str">
        <f t="shared" si="28"/>
        <v>#2025#RC-Property</v>
      </c>
    </row>
    <row r="382" spans="1:12">
      <c r="A382" s="26">
        <f t="shared" si="31"/>
        <v>45930</v>
      </c>
      <c r="B382" s="26">
        <f t="shared" ref="B382:B413" si="32">EOMONTH(B381,3)</f>
        <v>51682</v>
      </c>
      <c r="C382" s="21">
        <f>IFERROR(HLOOKUP("Exp_Premium",CF_Gen_4[#All],MATCH($B382,CF_Gen_4[[#All],[Incurred]],0),0),0)</f>
        <v>1608823.2130967535</v>
      </c>
      <c r="D382" s="22">
        <f>IF(AND($J382&lt;YEAR($A382),$B382&lt;=$A382),IFERROR(HLOOKUP("Actual_Premium",CF_Gen_4[#All],MATCH($B382,CF_Gen_4[[#All],[Incurred]],0),0),0),0)</f>
        <v>0</v>
      </c>
      <c r="E382" s="21">
        <f>-IFERROR(HLOOKUP("Exp_Claim",CF_Gen_4[#All],MATCH($B382,CF_Gen_4[[#All],[Incurred]],0),0),0)-IFERROR(HLOOKUP("Exp_NPR",CF_Gen_4[#All],MATCH($B382,CF_Gen_4[[#All],[Incurred]],0),0),0)</f>
        <v>-1030779.7298095351</v>
      </c>
      <c r="F382" s="21">
        <f>-IFERROR(HLOOKUP("Exp_RA",CF_Gen_4[#All],MATCH($B382,CF_Gen_4[[#All],[Incurred]],0),0),0)</f>
        <v>-137861.48649716005</v>
      </c>
      <c r="G382" s="21">
        <f>-IFERROR(HLOOKUP("Exp_Expense",CF_Gen_4[#All],MATCH($B382,CF_Gen_4[[#All],[Incurred]],0),0),0)</f>
        <v>0</v>
      </c>
      <c r="H382" s="21">
        <f>-IFERROR(HLOOKUP("Exp_Commission",CF_Gen_4[#All],MATCH($B382,CF_Gen_4[[#All],[Incurred]],0),0),0)-IFERROR(HLOOKUP("Exp_Acquisition",CF_Gen_4[#All],MATCH($B382,CF_Gen_4[[#All],[Incurred]],0),0),0)</f>
        <v>522867.54425644473</v>
      </c>
      <c r="I382" s="22">
        <f>IF(AND($J382&lt;YEAR($A382),$B382&lt;=$A382),-IFERROR(HLOOKUP("Actual_Commission",CF_Gen_4[#All],MATCH($B382,CF_Gen_4[[#All],[Incurred]],0),0),0)-IFERROR(HLOOKUP("Actual_Acquisition",CF_Gen_4[#All],MATCH($B382,CF_Gen_4[[#All],[Incurred]],0),0),0),0)</f>
        <v>0</v>
      </c>
      <c r="J382" s="27">
        <f>VLOOKUP(L382,ICG[#All],2,0)</f>
        <v>2025</v>
      </c>
      <c r="K382" s="27" t="str">
        <f>VLOOKUP(L382,ICG[#All],3,0)</f>
        <v>RC-Property</v>
      </c>
      <c r="L382" s="27" t="str">
        <f t="shared" ref="L382:L420" si="33">L381</f>
        <v>#2025#RC-Property</v>
      </c>
    </row>
    <row r="383" spans="1:12">
      <c r="A383" s="26">
        <f t="shared" si="31"/>
        <v>45930</v>
      </c>
      <c r="B383" s="26">
        <f t="shared" si="32"/>
        <v>51774</v>
      </c>
      <c r="C383" s="21">
        <f>IFERROR(HLOOKUP("Exp_Premium",CF_Gen_4[#All],MATCH($B383,CF_Gen_4[[#All],[Incurred]],0),0),0)</f>
        <v>1398530.4459249075</v>
      </c>
      <c r="D383" s="22">
        <f>IF(AND($J383&lt;YEAR($A383),$B383&lt;=$A383),IFERROR(HLOOKUP("Actual_Premium",CF_Gen_4[#All],MATCH($B383,CF_Gen_4[[#All],[Incurred]],0),0),0),0)</f>
        <v>0</v>
      </c>
      <c r="E383" s="21">
        <f>-IFERROR(HLOOKUP("Exp_Claim",CF_Gen_4[#All],MATCH($B383,CF_Gen_4[[#All],[Incurred]],0),0),0)-IFERROR(HLOOKUP("Exp_NPR",CF_Gen_4[#All],MATCH($B383,CF_Gen_4[[#All],[Incurred]],0),0),0)</f>
        <v>-915051.27832637331</v>
      </c>
      <c r="F383" s="21">
        <f>-IFERROR(HLOOKUP("Exp_RA",CF_Gen_4[#All],MATCH($B383,CF_Gen_4[[#All],[Incurred]],0),0),0)</f>
        <v>-122383.40142225158</v>
      </c>
      <c r="G383" s="21">
        <f>-IFERROR(HLOOKUP("Exp_Expense",CF_Gen_4[#All],MATCH($B383,CF_Gen_4[[#All],[Incurred]],0),0),0)</f>
        <v>0</v>
      </c>
      <c r="H383" s="21">
        <f>-IFERROR(HLOOKUP("Exp_Commission",CF_Gen_4[#All],MATCH($B383,CF_Gen_4[[#All],[Incurred]],0),0),0)-IFERROR(HLOOKUP("Exp_Acquisition",CF_Gen_4[#All],MATCH($B383,CF_Gen_4[[#All],[Incurred]],0),0),0)</f>
        <v>454522.39492559497</v>
      </c>
      <c r="I383" s="22">
        <f>IF(AND($J383&lt;YEAR($A383),$B383&lt;=$A383),-IFERROR(HLOOKUP("Actual_Commission",CF_Gen_4[#All],MATCH($B383,CF_Gen_4[[#All],[Incurred]],0),0),0)-IFERROR(HLOOKUP("Actual_Acquisition",CF_Gen_4[#All],MATCH($B383,CF_Gen_4[[#All],[Incurred]],0),0),0),0)</f>
        <v>0</v>
      </c>
      <c r="J383" s="27">
        <f>VLOOKUP(L383,ICG[#All],2,0)</f>
        <v>2025</v>
      </c>
      <c r="K383" s="27" t="str">
        <f>VLOOKUP(L383,ICG[#All],3,0)</f>
        <v>RC-Property</v>
      </c>
      <c r="L383" s="27" t="str">
        <f t="shared" si="33"/>
        <v>#2025#RC-Property</v>
      </c>
    </row>
    <row r="384" spans="1:12">
      <c r="A384" s="26">
        <f t="shared" si="31"/>
        <v>45930</v>
      </c>
      <c r="B384" s="26">
        <f t="shared" si="32"/>
        <v>51866</v>
      </c>
      <c r="C384" s="21">
        <f>IFERROR(HLOOKUP("Exp_Premium",CF_Gen_4[#All],MATCH($B384,CF_Gen_4[[#All],[Incurred]],0),0),0)</f>
        <v>1213924.4270628195</v>
      </c>
      <c r="D384" s="22">
        <f>IF(AND($J384&lt;YEAR($A384),$B384&lt;=$A384),IFERROR(HLOOKUP("Actual_Premium",CF_Gen_4[#All],MATCH($B384,CF_Gen_4[[#All],[Incurred]],0),0),0),0)</f>
        <v>0</v>
      </c>
      <c r="E384" s="21">
        <f>-IFERROR(HLOOKUP("Exp_Claim",CF_Gen_4[#All],MATCH($B384,CF_Gen_4[[#All],[Incurred]],0),0),0)-IFERROR(HLOOKUP("Exp_NPR",CF_Gen_4[#All],MATCH($B384,CF_Gen_4[[#All],[Incurred]],0),0),0)</f>
        <v>-850997.68884352723</v>
      </c>
      <c r="F384" s="21">
        <f>-IFERROR(HLOOKUP("Exp_RA",CF_Gen_4[#All],MATCH($B384,CF_Gen_4[[#All],[Incurred]],0),0),0)</f>
        <v>-113816.56332269397</v>
      </c>
      <c r="G384" s="21">
        <f>-IFERROR(HLOOKUP("Exp_Expense",CF_Gen_4[#All],MATCH($B384,CF_Gen_4[[#All],[Incurred]],0),0),0)</f>
        <v>0</v>
      </c>
      <c r="H384" s="21">
        <f>-IFERROR(HLOOKUP("Exp_Commission",CF_Gen_4[#All],MATCH($B384,CF_Gen_4[[#All],[Incurred]],0),0),0)-IFERROR(HLOOKUP("Exp_Acquisition",CF_Gen_4[#All],MATCH($B384,CF_Gen_4[[#All],[Incurred]],0),0),0)</f>
        <v>394525.43879541638</v>
      </c>
      <c r="I384" s="22">
        <f>IF(AND($J384&lt;YEAR($A384),$B384&lt;=$A384),-IFERROR(HLOOKUP("Actual_Commission",CF_Gen_4[#All],MATCH($B384,CF_Gen_4[[#All],[Incurred]],0),0),0)-IFERROR(HLOOKUP("Actual_Acquisition",CF_Gen_4[#All],MATCH($B384,CF_Gen_4[[#All],[Incurred]],0),0),0),0)</f>
        <v>0</v>
      </c>
      <c r="J384" s="27">
        <f>VLOOKUP(L384,ICG[#All],2,0)</f>
        <v>2025</v>
      </c>
      <c r="K384" s="27" t="str">
        <f>VLOOKUP(L384,ICG[#All],3,0)</f>
        <v>RC-Property</v>
      </c>
      <c r="L384" s="27" t="str">
        <f t="shared" si="33"/>
        <v>#2025#RC-Property</v>
      </c>
    </row>
    <row r="385" spans="1:12">
      <c r="A385" s="26">
        <f t="shared" si="31"/>
        <v>45930</v>
      </c>
      <c r="B385" s="26">
        <f t="shared" si="32"/>
        <v>51956</v>
      </c>
      <c r="C385" s="21">
        <f>IFERROR(HLOOKUP("Exp_Premium",CF_Gen_4[#All],MATCH($B385,CF_Gen_4[[#All],[Incurred]],0),0),0)</f>
        <v>1048310.4516563923</v>
      </c>
      <c r="D385" s="22">
        <f>IF(AND($J385&lt;YEAR($A385),$B385&lt;=$A385),IFERROR(HLOOKUP("Actual_Premium",CF_Gen_4[#All],MATCH($B385,CF_Gen_4[[#All],[Incurred]],0),0),0),0)</f>
        <v>0</v>
      </c>
      <c r="E385" s="21">
        <f>-IFERROR(HLOOKUP("Exp_Claim",CF_Gen_4[#All],MATCH($B385,CF_Gen_4[[#All],[Incurred]],0),0),0)-IFERROR(HLOOKUP("Exp_NPR",CF_Gen_4[#All],MATCH($B385,CF_Gen_4[[#All],[Incurred]],0),0),0)</f>
        <v>-753740.81011855265</v>
      </c>
      <c r="F385" s="21">
        <f>-IFERROR(HLOOKUP("Exp_RA",CF_Gen_4[#All],MATCH($B385,CF_Gen_4[[#All],[Incurred]],0),0),0)</f>
        <v>-100808.95608581466</v>
      </c>
      <c r="G385" s="21">
        <f>-IFERROR(HLOOKUP("Exp_Expense",CF_Gen_4[#All],MATCH($B385,CF_Gen_4[[#All],[Incurred]],0),0),0)</f>
        <v>0</v>
      </c>
      <c r="H385" s="21">
        <f>-IFERROR(HLOOKUP("Exp_Commission",CF_Gen_4[#All],MATCH($B385,CF_Gen_4[[#All],[Incurred]],0),0),0)-IFERROR(HLOOKUP("Exp_Acquisition",CF_Gen_4[#All],MATCH($B385,CF_Gen_4[[#All],[Incurred]],0),0),0)</f>
        <v>340700.89678832743</v>
      </c>
      <c r="I385" s="22">
        <f>IF(AND($J385&lt;YEAR($A385),$B385&lt;=$A385),-IFERROR(HLOOKUP("Actual_Commission",CF_Gen_4[#All],MATCH($B385,CF_Gen_4[[#All],[Incurred]],0),0),0)-IFERROR(HLOOKUP("Actual_Acquisition",CF_Gen_4[#All],MATCH($B385,CF_Gen_4[[#All],[Incurred]],0),0),0),0)</f>
        <v>0</v>
      </c>
      <c r="J385" s="27">
        <f>VLOOKUP(L385,ICG[#All],2,0)</f>
        <v>2025</v>
      </c>
      <c r="K385" s="27" t="str">
        <f>VLOOKUP(L385,ICG[#All],3,0)</f>
        <v>RC-Property</v>
      </c>
      <c r="L385" s="27" t="str">
        <f t="shared" si="33"/>
        <v>#2025#RC-Property</v>
      </c>
    </row>
    <row r="386" spans="1:12">
      <c r="A386" s="26">
        <f t="shared" si="31"/>
        <v>45930</v>
      </c>
      <c r="B386" s="26">
        <f t="shared" si="32"/>
        <v>52047</v>
      </c>
      <c r="C386" s="21">
        <f>IFERROR(HLOOKUP("Exp_Premium",CF_Gen_4[#All],MATCH($B386,CF_Gen_4[[#All],[Incurred]],0),0),0)</f>
        <v>903505.37058693229</v>
      </c>
      <c r="D386" s="22">
        <f>IF(AND($J386&lt;YEAR($A386),$B386&lt;=$A386),IFERROR(HLOOKUP("Actual_Premium",CF_Gen_4[#All],MATCH($B386,CF_Gen_4[[#All],[Incurred]],0),0),0),0)</f>
        <v>0</v>
      </c>
      <c r="E386" s="21">
        <f>-IFERROR(HLOOKUP("Exp_Claim",CF_Gen_4[#All],MATCH($B386,CF_Gen_4[[#All],[Incurred]],0),0),0)-IFERROR(HLOOKUP("Exp_NPR",CF_Gen_4[#All],MATCH($B386,CF_Gen_4[[#All],[Incurred]],0),0),0)</f>
        <v>-665930.00573974126</v>
      </c>
      <c r="F386" s="21">
        <f>-IFERROR(HLOOKUP("Exp_RA",CF_Gen_4[#All],MATCH($B386,CF_Gen_4[[#All],[Incurred]],0),0),0)</f>
        <v>-89064.712701817247</v>
      </c>
      <c r="G386" s="21">
        <f>-IFERROR(HLOOKUP("Exp_Expense",CF_Gen_4[#All],MATCH($B386,CF_Gen_4[[#All],[Incurred]],0),0),0)</f>
        <v>0</v>
      </c>
      <c r="H386" s="21">
        <f>-IFERROR(HLOOKUP("Exp_Commission",CF_Gen_4[#All],MATCH($B386,CF_Gen_4[[#All],[Incurred]],0),0),0)-IFERROR(HLOOKUP("Exp_Acquisition",CF_Gen_4[#All],MATCH($B386,CF_Gen_4[[#All],[Incurred]],0),0),0)</f>
        <v>293639.24544075294</v>
      </c>
      <c r="I386" s="22">
        <f>IF(AND($J386&lt;YEAR($A386),$B386&lt;=$A386),-IFERROR(HLOOKUP("Actual_Commission",CF_Gen_4[#All],MATCH($B386,CF_Gen_4[[#All],[Incurred]],0),0),0)-IFERROR(HLOOKUP("Actual_Acquisition",CF_Gen_4[#All],MATCH($B386,CF_Gen_4[[#All],[Incurred]],0),0),0),0)</f>
        <v>0</v>
      </c>
      <c r="J386" s="27">
        <f>VLOOKUP(L386,ICG[#All],2,0)</f>
        <v>2025</v>
      </c>
      <c r="K386" s="27" t="str">
        <f>VLOOKUP(L386,ICG[#All],3,0)</f>
        <v>RC-Property</v>
      </c>
      <c r="L386" s="27" t="str">
        <f t="shared" si="33"/>
        <v>#2025#RC-Property</v>
      </c>
    </row>
    <row r="387" spans="1:12">
      <c r="A387" s="26">
        <f t="shared" si="31"/>
        <v>45930</v>
      </c>
      <c r="B387" s="26">
        <f t="shared" si="32"/>
        <v>52139</v>
      </c>
      <c r="C387" s="21">
        <f>IFERROR(HLOOKUP("Exp_Premium",CF_Gen_4[#All],MATCH($B387,CF_Gen_4[[#All],[Incurred]],0),0),0)</f>
        <v>777157.46540366882</v>
      </c>
      <c r="D387" s="22">
        <f>IF(AND($J387&lt;YEAR($A387),$B387&lt;=$A387),IFERROR(HLOOKUP("Actual_Premium",CF_Gen_4[#All],MATCH($B387,CF_Gen_4[[#All],[Incurred]],0),0),0),0)</f>
        <v>0</v>
      </c>
      <c r="E387" s="21">
        <f>-IFERROR(HLOOKUP("Exp_Claim",CF_Gen_4[#All],MATCH($B387,CF_Gen_4[[#All],[Incurred]],0),0),0)-IFERROR(HLOOKUP("Exp_NPR",CF_Gen_4[#All],MATCH($B387,CF_Gen_4[[#All],[Incurred]],0),0),0)</f>
        <v>-586719.38400438265</v>
      </c>
      <c r="F387" s="21">
        <f>-IFERROR(HLOOKUP("Exp_RA",CF_Gen_4[#All],MATCH($B387,CF_Gen_4[[#All],[Incurred]],0),0),0)</f>
        <v>-78470.699506759003</v>
      </c>
      <c r="G387" s="21">
        <f>-IFERROR(HLOOKUP("Exp_Expense",CF_Gen_4[#All],MATCH($B387,CF_Gen_4[[#All],[Incurred]],0),0),0)</f>
        <v>0</v>
      </c>
      <c r="H387" s="21">
        <f>-IFERROR(HLOOKUP("Exp_Commission",CF_Gen_4[#All],MATCH($B387,CF_Gen_4[[#All],[Incurred]],0),0),0)-IFERROR(HLOOKUP("Exp_Acquisition",CF_Gen_4[#All],MATCH($B387,CF_Gen_4[[#All],[Incurred]],0),0),0)</f>
        <v>252576.17625619232</v>
      </c>
      <c r="I387" s="22">
        <f>IF(AND($J387&lt;YEAR($A387),$B387&lt;=$A387),-IFERROR(HLOOKUP("Actual_Commission",CF_Gen_4[#All],MATCH($B387,CF_Gen_4[[#All],[Incurred]],0),0),0)-IFERROR(HLOOKUP("Actual_Acquisition",CF_Gen_4[#All],MATCH($B387,CF_Gen_4[[#All],[Incurred]],0),0),0),0)</f>
        <v>0</v>
      </c>
      <c r="J387" s="27">
        <f>VLOOKUP(L387,ICG[#All],2,0)</f>
        <v>2025</v>
      </c>
      <c r="K387" s="27" t="str">
        <f>VLOOKUP(L387,ICG[#All],3,0)</f>
        <v>RC-Property</v>
      </c>
      <c r="L387" s="27" t="str">
        <f t="shared" si="33"/>
        <v>#2025#RC-Property</v>
      </c>
    </row>
    <row r="388" spans="1:12">
      <c r="A388" s="26">
        <f t="shared" si="31"/>
        <v>45930</v>
      </c>
      <c r="B388" s="26">
        <f t="shared" si="32"/>
        <v>52231</v>
      </c>
      <c r="C388" s="21">
        <f>IFERROR(HLOOKUP("Exp_Premium",CF_Gen_4[#All],MATCH($B388,CF_Gen_4[[#All],[Incurred]],0),0),0)</f>
        <v>667159.7933773034</v>
      </c>
      <c r="D388" s="22">
        <f>IF(AND($J388&lt;YEAR($A388),$B388&lt;=$A388),IFERROR(HLOOKUP("Actual_Premium",CF_Gen_4[#All],MATCH($B388,CF_Gen_4[[#All],[Incurred]],0),0),0),0)</f>
        <v>0</v>
      </c>
      <c r="E388" s="21">
        <f>-IFERROR(HLOOKUP("Exp_Claim",CF_Gen_4[#All],MATCH($B388,CF_Gen_4[[#All],[Incurred]],0),0),0)-IFERROR(HLOOKUP("Exp_NPR",CF_Gen_4[#All],MATCH($B388,CF_Gen_4[[#All],[Incurred]],0),0),0)</f>
        <v>-545649.0271240758</v>
      </c>
      <c r="F388" s="21">
        <f>-IFERROR(HLOOKUP("Exp_RA",CF_Gen_4[#All],MATCH($B388,CF_Gen_4[[#All],[Incurred]],0),0),0)</f>
        <v>-72977.750541285859</v>
      </c>
      <c r="G388" s="21">
        <f>-IFERROR(HLOOKUP("Exp_Expense",CF_Gen_4[#All],MATCH($B388,CF_Gen_4[[#All],[Incurred]],0),0),0)</f>
        <v>0</v>
      </c>
      <c r="H388" s="21">
        <f>-IFERROR(HLOOKUP("Exp_Commission",CF_Gen_4[#All],MATCH($B388,CF_Gen_4[[#All],[Incurred]],0),0),0)-IFERROR(HLOOKUP("Exp_Acquisition",CF_Gen_4[#All],MATCH($B388,CF_Gen_4[[#All],[Incurred]],0),0),0)</f>
        <v>216826.9328476236</v>
      </c>
      <c r="I388" s="22">
        <f>IF(AND($J388&lt;YEAR($A388),$B388&lt;=$A388),-IFERROR(HLOOKUP("Actual_Commission",CF_Gen_4[#All],MATCH($B388,CF_Gen_4[[#All],[Incurred]],0),0),0)-IFERROR(HLOOKUP("Actual_Acquisition",CF_Gen_4[#All],MATCH($B388,CF_Gen_4[[#All],[Incurred]],0),0),0),0)</f>
        <v>0</v>
      </c>
      <c r="J388" s="27">
        <f>VLOOKUP(L388,ICG[#All],2,0)</f>
        <v>2025</v>
      </c>
      <c r="K388" s="27" t="str">
        <f>VLOOKUP(L388,ICG[#All],3,0)</f>
        <v>RC-Property</v>
      </c>
      <c r="L388" s="27" t="str">
        <f t="shared" si="33"/>
        <v>#2025#RC-Property</v>
      </c>
    </row>
    <row r="389" spans="1:12">
      <c r="A389" s="26">
        <f t="shared" si="31"/>
        <v>45930</v>
      </c>
      <c r="B389" s="26">
        <f t="shared" si="32"/>
        <v>52321</v>
      </c>
      <c r="C389" s="21">
        <f>IFERROR(HLOOKUP("Exp_Premium",CF_Gen_4[#All],MATCH($B389,CF_Gen_4[[#All],[Incurred]],0),0),0)</f>
        <v>568753.72385415097</v>
      </c>
      <c r="D389" s="22">
        <f>IF(AND($J389&lt;YEAR($A389),$B389&lt;=$A389),IFERROR(HLOOKUP("Actual_Premium",CF_Gen_4[#All],MATCH($B389,CF_Gen_4[[#All],[Incurred]],0),0),0),0)</f>
        <v>0</v>
      </c>
      <c r="E389" s="21">
        <f>-IFERROR(HLOOKUP("Exp_Claim",CF_Gen_4[#All],MATCH($B389,CF_Gen_4[[#All],[Incurred]],0),0),0)-IFERROR(HLOOKUP("Exp_NPR",CF_Gen_4[#All],MATCH($B389,CF_Gen_4[[#All],[Incurred]],0),0),0)</f>
        <v>-479261.72882397991</v>
      </c>
      <c r="F389" s="21">
        <f>-IFERROR(HLOOKUP("Exp_RA",CF_Gen_4[#All],MATCH($B389,CF_Gen_4[[#All],[Incurred]],0),0),0)</f>
        <v>-64098.790892096076</v>
      </c>
      <c r="G389" s="21">
        <f>-IFERROR(HLOOKUP("Exp_Expense",CF_Gen_4[#All],MATCH($B389,CF_Gen_4[[#All],[Incurred]],0),0),0)</f>
        <v>0</v>
      </c>
      <c r="H389" s="21">
        <f>-IFERROR(HLOOKUP("Exp_Commission",CF_Gen_4[#All],MATCH($B389,CF_Gen_4[[#All],[Incurred]],0),0),0)-IFERROR(HLOOKUP("Exp_Acquisition",CF_Gen_4[#All],MATCH($B389,CF_Gen_4[[#All],[Incurred]],0),0),0)</f>
        <v>184844.96025259906</v>
      </c>
      <c r="I389" s="22">
        <f>IF(AND($J389&lt;YEAR($A389),$B389&lt;=$A389),-IFERROR(HLOOKUP("Actual_Commission",CF_Gen_4[#All],MATCH($B389,CF_Gen_4[[#All],[Incurred]],0),0),0)-IFERROR(HLOOKUP("Actual_Acquisition",CF_Gen_4[#All],MATCH($B389,CF_Gen_4[[#All],[Incurred]],0),0),0),0)</f>
        <v>0</v>
      </c>
      <c r="J389" s="27">
        <f>VLOOKUP(L389,ICG[#All],2,0)</f>
        <v>2025</v>
      </c>
      <c r="K389" s="27" t="str">
        <f>VLOOKUP(L389,ICG[#All],3,0)</f>
        <v>RC-Property</v>
      </c>
      <c r="L389" s="27" t="str">
        <f t="shared" si="33"/>
        <v>#2025#RC-Property</v>
      </c>
    </row>
    <row r="390" spans="1:12">
      <c r="A390" s="26">
        <f t="shared" si="31"/>
        <v>45930</v>
      </c>
      <c r="B390" s="26">
        <f t="shared" si="32"/>
        <v>52412</v>
      </c>
      <c r="C390" s="21">
        <f>IFERROR(HLOOKUP("Exp_Premium",CF_Gen_4[#All],MATCH($B390,CF_Gen_4[[#All],[Incurred]],0),0),0)</f>
        <v>483526.84008267289</v>
      </c>
      <c r="D390" s="22">
        <f>IF(AND($J390&lt;YEAR($A390),$B390&lt;=$A390),IFERROR(HLOOKUP("Actual_Premium",CF_Gen_4[#All],MATCH($B390,CF_Gen_4[[#All],[Incurred]],0),0),0),0)</f>
        <v>0</v>
      </c>
      <c r="E390" s="21">
        <f>-IFERROR(HLOOKUP("Exp_Claim",CF_Gen_4[#All],MATCH($B390,CF_Gen_4[[#All],[Incurred]],0),0),0)-IFERROR(HLOOKUP("Exp_NPR",CF_Gen_4[#All],MATCH($B390,CF_Gen_4[[#All],[Incurred]],0),0),0)</f>
        <v>-419494.97205298941</v>
      </c>
      <c r="F390" s="21">
        <f>-IFERROR(HLOOKUP("Exp_RA",CF_Gen_4[#All],MATCH($B390,CF_Gen_4[[#All],[Incurred]],0),0),0)</f>
        <v>-56105.294616140563</v>
      </c>
      <c r="G390" s="21">
        <f>-IFERROR(HLOOKUP("Exp_Expense",CF_Gen_4[#All],MATCH($B390,CF_Gen_4[[#All],[Incurred]],0),0),0)</f>
        <v>0</v>
      </c>
      <c r="H390" s="21">
        <f>-IFERROR(HLOOKUP("Exp_Commission",CF_Gen_4[#All],MATCH($B390,CF_Gen_4[[#All],[Incurred]],0),0),0)-IFERROR(HLOOKUP("Exp_Acquisition",CF_Gen_4[#All],MATCH($B390,CF_Gen_4[[#All],[Incurred]],0),0),0)</f>
        <v>157146.22302686868</v>
      </c>
      <c r="I390" s="22">
        <f>IF(AND($J390&lt;YEAR($A390),$B390&lt;=$A390),-IFERROR(HLOOKUP("Actual_Commission",CF_Gen_4[#All],MATCH($B390,CF_Gen_4[[#All],[Incurred]],0),0),0)-IFERROR(HLOOKUP("Actual_Acquisition",CF_Gen_4[#All],MATCH($B390,CF_Gen_4[[#All],[Incurred]],0),0),0),0)</f>
        <v>0</v>
      </c>
      <c r="J390" s="27">
        <f>VLOOKUP(L390,ICG[#All],2,0)</f>
        <v>2025</v>
      </c>
      <c r="K390" s="27" t="str">
        <f>VLOOKUP(L390,ICG[#All],3,0)</f>
        <v>RC-Property</v>
      </c>
      <c r="L390" s="27" t="str">
        <f t="shared" si="33"/>
        <v>#2025#RC-Property</v>
      </c>
    </row>
    <row r="391" spans="1:12">
      <c r="A391" s="26">
        <f t="shared" si="31"/>
        <v>45930</v>
      </c>
      <c r="B391" s="26">
        <f t="shared" si="32"/>
        <v>52504</v>
      </c>
      <c r="C391" s="21">
        <f>IFERROR(HLOOKUP("Exp_Premium",CF_Gen_4[#All],MATCH($B391,CF_Gen_4[[#All],[Incurred]],0),0),0)</f>
        <v>409929.24646787927</v>
      </c>
      <c r="D391" s="22">
        <f>IF(AND($J391&lt;YEAR($A391),$B391&lt;=$A391),IFERROR(HLOOKUP("Actual_Premium",CF_Gen_4[#All],MATCH($B391,CF_Gen_4[[#All],[Incurred]],0),0),0),0)</f>
        <v>0</v>
      </c>
      <c r="E391" s="21">
        <f>-IFERROR(HLOOKUP("Exp_Claim",CF_Gen_4[#All],MATCH($B391,CF_Gen_4[[#All],[Incurred]],0),0),0)-IFERROR(HLOOKUP("Exp_NPR",CF_Gen_4[#All],MATCH($B391,CF_Gen_4[[#All],[Incurred]],0),0),0)</f>
        <v>-365747.17875870015</v>
      </c>
      <c r="F391" s="21">
        <f>-IFERROR(HLOOKUP("Exp_RA",CF_Gen_4[#All],MATCH($B391,CF_Gen_4[[#All],[Incurred]],0),0),0)</f>
        <v>-48916.803743447548</v>
      </c>
      <c r="G391" s="21">
        <f>-IFERROR(HLOOKUP("Exp_Expense",CF_Gen_4[#All],MATCH($B391,CF_Gen_4[[#All],[Incurred]],0),0),0)</f>
        <v>0</v>
      </c>
      <c r="H391" s="21">
        <f>-IFERROR(HLOOKUP("Exp_Commission",CF_Gen_4[#All],MATCH($B391,CF_Gen_4[[#All],[Incurred]],0),0),0)-IFERROR(HLOOKUP("Exp_Acquisition",CF_Gen_4[#All],MATCH($B391,CF_Gen_4[[#All],[Incurred]],0),0),0)</f>
        <v>133227.00510206079</v>
      </c>
      <c r="I391" s="22">
        <f>IF(AND($J391&lt;YEAR($A391),$B391&lt;=$A391),-IFERROR(HLOOKUP("Actual_Commission",CF_Gen_4[#All],MATCH($B391,CF_Gen_4[[#All],[Incurred]],0),0),0)-IFERROR(HLOOKUP("Actual_Acquisition",CF_Gen_4[#All],MATCH($B391,CF_Gen_4[[#All],[Incurred]],0),0),0),0)</f>
        <v>0</v>
      </c>
      <c r="J391" s="27">
        <f>VLOOKUP(L391,ICG[#All],2,0)</f>
        <v>2025</v>
      </c>
      <c r="K391" s="27" t="str">
        <f>VLOOKUP(L391,ICG[#All],3,0)</f>
        <v>RC-Property</v>
      </c>
      <c r="L391" s="27" t="str">
        <f t="shared" si="33"/>
        <v>#2025#RC-Property</v>
      </c>
    </row>
    <row r="392" spans="1:12">
      <c r="A392" s="26">
        <f t="shared" si="31"/>
        <v>45930</v>
      </c>
      <c r="B392" s="26">
        <f t="shared" si="32"/>
        <v>52596</v>
      </c>
      <c r="C392" s="21">
        <f>IFERROR(HLOOKUP("Exp_Premium",CF_Gen_4[#All],MATCH($B392,CF_Gen_4[[#All],[Incurred]],0),0),0)</f>
        <v>346576.54474102525</v>
      </c>
      <c r="D392" s="22">
        <f>IF(AND($J392&lt;YEAR($A392),$B392&lt;=$A392),IFERROR(HLOOKUP("Actual_Premium",CF_Gen_4[#All],MATCH($B392,CF_Gen_4[[#All],[Incurred]],0),0),0),0)</f>
        <v>0</v>
      </c>
      <c r="E392" s="21">
        <f>-IFERROR(HLOOKUP("Exp_Claim",CF_Gen_4[#All],MATCH($B392,CF_Gen_4[[#All],[Incurred]],0),0),0)-IFERROR(HLOOKUP("Exp_NPR",CF_Gen_4[#All],MATCH($B392,CF_Gen_4[[#All],[Incurred]],0),0),0)</f>
        <v>-340144.87624559109</v>
      </c>
      <c r="F392" s="21">
        <f>-IFERROR(HLOOKUP("Exp_RA",CF_Gen_4[#All],MATCH($B392,CF_Gen_4[[#All],[Incurred]],0),0),0)</f>
        <v>-45492.62748140622</v>
      </c>
      <c r="G392" s="21">
        <f>-IFERROR(HLOOKUP("Exp_Expense",CF_Gen_4[#All],MATCH($B392,CF_Gen_4[[#All],[Incurred]],0),0),0)</f>
        <v>0</v>
      </c>
      <c r="H392" s="21">
        <f>-IFERROR(HLOOKUP("Exp_Commission",CF_Gen_4[#All],MATCH($B392,CF_Gen_4[[#All],[Incurred]],0),0),0)-IFERROR(HLOOKUP("Exp_Acquisition",CF_Gen_4[#All],MATCH($B392,CF_Gen_4[[#All],[Incurred]],0),0),0)</f>
        <v>112637.37704083319</v>
      </c>
      <c r="I392" s="22">
        <f>IF(AND($J392&lt;YEAR($A392),$B392&lt;=$A392),-IFERROR(HLOOKUP("Actual_Commission",CF_Gen_4[#All],MATCH($B392,CF_Gen_4[[#All],[Incurred]],0),0),0)-IFERROR(HLOOKUP("Actual_Acquisition",CF_Gen_4[#All],MATCH($B392,CF_Gen_4[[#All],[Incurred]],0),0),0),0)</f>
        <v>0</v>
      </c>
      <c r="J392" s="27">
        <f>VLOOKUP(L392,ICG[#All],2,0)</f>
        <v>2025</v>
      </c>
      <c r="K392" s="27" t="str">
        <f>VLOOKUP(L392,ICG[#All],3,0)</f>
        <v>RC-Property</v>
      </c>
      <c r="L392" s="27" t="str">
        <f t="shared" si="33"/>
        <v>#2025#RC-Property</v>
      </c>
    </row>
    <row r="393" spans="1:12">
      <c r="A393" s="26">
        <f t="shared" si="31"/>
        <v>45930</v>
      </c>
      <c r="B393" s="26">
        <f t="shared" si="32"/>
        <v>52687</v>
      </c>
      <c r="C393" s="21">
        <f>IFERROR(HLOOKUP("Exp_Premium",CF_Gen_4[#All],MATCH($B393,CF_Gen_4[[#All],[Incurred]],0),0),0)</f>
        <v>290084.56794823811</v>
      </c>
      <c r="D393" s="22">
        <f>IF(AND($J393&lt;YEAR($A393),$B393&lt;=$A393),IFERROR(HLOOKUP("Actual_Premium",CF_Gen_4[#All],MATCH($B393,CF_Gen_4[[#All],[Incurred]],0),0),0),0)</f>
        <v>0</v>
      </c>
      <c r="E393" s="21">
        <f>-IFERROR(HLOOKUP("Exp_Claim",CF_Gen_4[#All],MATCH($B393,CF_Gen_4[[#All],[Incurred]],0),0),0)-IFERROR(HLOOKUP("Exp_NPR",CF_Gen_4[#All],MATCH($B393,CF_Gen_4[[#All],[Incurred]],0),0),0)</f>
        <v>-295245.75258117309</v>
      </c>
      <c r="F393" s="21">
        <f>-IFERROR(HLOOKUP("Exp_RA",CF_Gen_4[#All],MATCH($B393,CF_Gen_4[[#All],[Incurred]],0),0),0)</f>
        <v>-39487.600653860602</v>
      </c>
      <c r="G393" s="21">
        <f>-IFERROR(HLOOKUP("Exp_Expense",CF_Gen_4[#All],MATCH($B393,CF_Gen_4[[#All],[Incurred]],0),0),0)</f>
        <v>0</v>
      </c>
      <c r="H393" s="21">
        <f>-IFERROR(HLOOKUP("Exp_Commission",CF_Gen_4[#All],MATCH($B393,CF_Gen_4[[#All],[Incurred]],0),0),0)-IFERROR(HLOOKUP("Exp_Acquisition",CF_Gen_4[#All],MATCH($B393,CF_Gen_4[[#All],[Incurred]],0),0),0)</f>
        <v>94277.484583177386</v>
      </c>
      <c r="I393" s="22">
        <f>IF(AND($J393&lt;YEAR($A393),$B393&lt;=$A393),-IFERROR(HLOOKUP("Actual_Commission",CF_Gen_4[#All],MATCH($B393,CF_Gen_4[[#All],[Incurred]],0),0),0)-IFERROR(HLOOKUP("Actual_Acquisition",CF_Gen_4[#All],MATCH($B393,CF_Gen_4[[#All],[Incurred]],0),0),0),0)</f>
        <v>0</v>
      </c>
      <c r="J393" s="27">
        <f>VLOOKUP(L393,ICG[#All],2,0)</f>
        <v>2025</v>
      </c>
      <c r="K393" s="27" t="str">
        <f>VLOOKUP(L393,ICG[#All],3,0)</f>
        <v>RC-Property</v>
      </c>
      <c r="L393" s="27" t="str">
        <f t="shared" si="33"/>
        <v>#2025#RC-Property</v>
      </c>
    </row>
    <row r="394" spans="1:12">
      <c r="A394" s="26">
        <f t="shared" si="31"/>
        <v>45930</v>
      </c>
      <c r="B394" s="26">
        <f t="shared" si="32"/>
        <v>52778</v>
      </c>
      <c r="C394" s="21">
        <f>IFERROR(HLOOKUP("Exp_Premium",CF_Gen_4[#All],MATCH($B394,CF_Gen_4[[#All],[Incurred]],0),0),0)</f>
        <v>241801.60319418687</v>
      </c>
      <c r="D394" s="22">
        <f>IF(AND($J394&lt;YEAR($A394),$B394&lt;=$A394),IFERROR(HLOOKUP("Actual_Premium",CF_Gen_4[#All],MATCH($B394,CF_Gen_4[[#All],[Incurred]],0),0),0),0)</f>
        <v>0</v>
      </c>
      <c r="E394" s="21">
        <f>-IFERROR(HLOOKUP("Exp_Claim",CF_Gen_4[#All],MATCH($B394,CF_Gen_4[[#All],[Incurred]],0),0),0)-IFERROR(HLOOKUP("Exp_NPR",CF_Gen_4[#All],MATCH($B394,CF_Gen_4[[#All],[Incurred]],0),0),0)</f>
        <v>-254965.7963361702</v>
      </c>
      <c r="F394" s="21">
        <f>-IFERROR(HLOOKUP("Exp_RA",CF_Gen_4[#All],MATCH($B394,CF_Gen_4[[#All],[Incurred]],0),0),0)</f>
        <v>-34100.363707512479</v>
      </c>
      <c r="G394" s="21">
        <f>-IFERROR(HLOOKUP("Exp_Expense",CF_Gen_4[#All],MATCH($B394,CF_Gen_4[[#All],[Incurred]],0),0),0)</f>
        <v>0</v>
      </c>
      <c r="H394" s="21">
        <f>-IFERROR(HLOOKUP("Exp_Commission",CF_Gen_4[#All],MATCH($B394,CF_Gen_4[[#All],[Incurred]],0),0),0)-IFERROR(HLOOKUP("Exp_Acquisition",CF_Gen_4[#All],MATCH($B394,CF_Gen_4[[#All],[Incurred]],0),0),0)</f>
        <v>78585.521038110746</v>
      </c>
      <c r="I394" s="22">
        <f>IF(AND($J394&lt;YEAR($A394),$B394&lt;=$A394),-IFERROR(HLOOKUP("Actual_Commission",CF_Gen_4[#All],MATCH($B394,CF_Gen_4[[#All],[Incurred]],0),0),0)-IFERROR(HLOOKUP("Actual_Acquisition",CF_Gen_4[#All],MATCH($B394,CF_Gen_4[[#All],[Incurred]],0),0),0),0)</f>
        <v>0</v>
      </c>
      <c r="J394" s="27">
        <f>VLOOKUP(L394,ICG[#All],2,0)</f>
        <v>2025</v>
      </c>
      <c r="K394" s="27" t="str">
        <f>VLOOKUP(L394,ICG[#All],3,0)</f>
        <v>RC-Property</v>
      </c>
      <c r="L394" s="27" t="str">
        <f t="shared" si="33"/>
        <v>#2025#RC-Property</v>
      </c>
    </row>
    <row r="395" spans="1:12">
      <c r="A395" s="26">
        <f t="shared" si="31"/>
        <v>45930</v>
      </c>
      <c r="B395" s="26">
        <f t="shared" si="32"/>
        <v>52870</v>
      </c>
      <c r="C395" s="21">
        <f>IFERROR(HLOOKUP("Exp_Premium",CF_Gen_4[#All],MATCH($B395,CF_Gen_4[[#All],[Incurred]],0),0),0)</f>
        <v>200715.31425474491</v>
      </c>
      <c r="D395" s="22">
        <f>IF(AND($J395&lt;YEAR($A395),$B395&lt;=$A395),IFERROR(HLOOKUP("Actual_Premium",CF_Gen_4[#All],MATCH($B395,CF_Gen_4[[#All],[Incurred]],0),0),0),0)</f>
        <v>0</v>
      </c>
      <c r="E395" s="21">
        <f>-IFERROR(HLOOKUP("Exp_Claim",CF_Gen_4[#All],MATCH($B395,CF_Gen_4[[#All],[Incurred]],0),0),0)-IFERROR(HLOOKUP("Exp_NPR",CF_Gen_4[#All],MATCH($B395,CF_Gen_4[[#All],[Incurred]],0),0),0)</f>
        <v>-218878.32977781998</v>
      </c>
      <c r="F395" s="21">
        <f>-IFERROR(HLOOKUP("Exp_RA",CF_Gen_4[#All],MATCH($B395,CF_Gen_4[[#All],[Incurred]],0),0),0)</f>
        <v>-29273.850690449173</v>
      </c>
      <c r="G395" s="21">
        <f>-IFERROR(HLOOKUP("Exp_Expense",CF_Gen_4[#All],MATCH($B395,CF_Gen_4[[#All],[Incurred]],0),0),0)</f>
        <v>0</v>
      </c>
      <c r="H395" s="21">
        <f>-IFERROR(HLOOKUP("Exp_Commission",CF_Gen_4[#All],MATCH($B395,CF_Gen_4[[#All],[Incurred]],0),0),0)-IFERROR(HLOOKUP("Exp_Acquisition",CF_Gen_4[#All],MATCH($B395,CF_Gen_4[[#All],[Incurred]],0),0),0)</f>
        <v>65232.477132792097</v>
      </c>
      <c r="I395" s="22">
        <f>IF(AND($J395&lt;YEAR($A395),$B395&lt;=$A395),-IFERROR(HLOOKUP("Actual_Commission",CF_Gen_4[#All],MATCH($B395,CF_Gen_4[[#All],[Incurred]],0),0),0)-IFERROR(HLOOKUP("Actual_Acquisition",CF_Gen_4[#All],MATCH($B395,CF_Gen_4[[#All],[Incurred]],0),0),0),0)</f>
        <v>0</v>
      </c>
      <c r="J395" s="27">
        <f>VLOOKUP(L395,ICG[#All],2,0)</f>
        <v>2025</v>
      </c>
      <c r="K395" s="27" t="str">
        <f>VLOOKUP(L395,ICG[#All],3,0)</f>
        <v>RC-Property</v>
      </c>
      <c r="L395" s="27" t="str">
        <f t="shared" si="33"/>
        <v>#2025#RC-Property</v>
      </c>
    </row>
    <row r="396" spans="1:12">
      <c r="A396" s="26">
        <f t="shared" si="31"/>
        <v>45930</v>
      </c>
      <c r="B396" s="26">
        <f t="shared" si="32"/>
        <v>52962</v>
      </c>
      <c r="C396" s="21">
        <f>IFERROR(HLOOKUP("Exp_Premium",CF_Gen_4[#All],MATCH($B396,CF_Gen_4[[#All],[Incurred]],0),0),0)</f>
        <v>165924.6597839224</v>
      </c>
      <c r="D396" s="22">
        <f>IF(AND($J396&lt;YEAR($A396),$B396&lt;=$A396),IFERROR(HLOOKUP("Actual_Premium",CF_Gen_4[#All],MATCH($B396,CF_Gen_4[[#All],[Incurred]],0),0),0),0)</f>
        <v>0</v>
      </c>
      <c r="E396" s="21">
        <f>-IFERROR(HLOOKUP("Exp_Claim",CF_Gen_4[#All],MATCH($B396,CF_Gen_4[[#All],[Incurred]],0),0),0)-IFERROR(HLOOKUP("Exp_NPR",CF_Gen_4[#All],MATCH($B396,CF_Gen_4[[#All],[Incurred]],0),0),0)</f>
        <v>-203556.8466933725</v>
      </c>
      <c r="F396" s="21">
        <f>-IFERROR(HLOOKUP("Exp_RA",CF_Gen_4[#All],MATCH($B396,CF_Gen_4[[#All],[Incurred]],0),0),0)</f>
        <v>-27224.681142117723</v>
      </c>
      <c r="G396" s="21">
        <f>-IFERROR(HLOOKUP("Exp_Expense",CF_Gen_4[#All],MATCH($B396,CF_Gen_4[[#All],[Incurred]],0),0),0)</f>
        <v>0</v>
      </c>
      <c r="H396" s="21">
        <f>-IFERROR(HLOOKUP("Exp_Commission",CF_Gen_4[#All],MATCH($B396,CF_Gen_4[[#All],[Incurred]],0),0),0)-IFERROR(HLOOKUP("Exp_Acquisition",CF_Gen_4[#All],MATCH($B396,CF_Gen_4[[#All],[Incurred]],0),0),0)</f>
        <v>53925.51442977479</v>
      </c>
      <c r="I396" s="22">
        <f>IF(AND($J396&lt;YEAR($A396),$B396&lt;=$A396),-IFERROR(HLOOKUP("Actual_Commission",CF_Gen_4[#All],MATCH($B396,CF_Gen_4[[#All],[Incurred]],0),0),0)-IFERROR(HLOOKUP("Actual_Acquisition",CF_Gen_4[#All],MATCH($B396,CF_Gen_4[[#All],[Incurred]],0),0),0),0)</f>
        <v>0</v>
      </c>
      <c r="J396" s="27">
        <f>VLOOKUP(L396,ICG[#All],2,0)</f>
        <v>2025</v>
      </c>
      <c r="K396" s="27" t="str">
        <f>VLOOKUP(L396,ICG[#All],3,0)</f>
        <v>RC-Property</v>
      </c>
      <c r="L396" s="27" t="str">
        <f t="shared" si="33"/>
        <v>#2025#RC-Property</v>
      </c>
    </row>
    <row r="397" spans="1:12">
      <c r="A397" s="26">
        <f t="shared" si="31"/>
        <v>45930</v>
      </c>
      <c r="B397" s="26">
        <f t="shared" si="32"/>
        <v>53052</v>
      </c>
      <c r="C397" s="21">
        <f>IFERROR(HLOOKUP("Exp_Premium",CF_Gen_4[#All],MATCH($B397,CF_Gen_4[[#All],[Incurred]],0),0),0)</f>
        <v>135021.19189916685</v>
      </c>
      <c r="D397" s="22">
        <f>IF(AND($J397&lt;YEAR($A397),$B397&lt;=$A397),IFERROR(HLOOKUP("Actual_Premium",CF_Gen_4[#All],MATCH($B397,CF_Gen_4[[#All],[Incurred]],0),0),0),0)</f>
        <v>0</v>
      </c>
      <c r="E397" s="21">
        <f>-IFERROR(HLOOKUP("Exp_Claim",CF_Gen_4[#All],MATCH($B397,CF_Gen_4[[#All],[Incurred]],0),0),0)-IFERROR(HLOOKUP("Exp_NPR",CF_Gen_4[#All],MATCH($B397,CF_Gen_4[[#All],[Incurred]],0),0),0)</f>
        <v>-173532.21180610007</v>
      </c>
      <c r="F397" s="21">
        <f>-IFERROR(HLOOKUP("Exp_RA",CF_Gen_4[#All],MATCH($B397,CF_Gen_4[[#All],[Incurred]],0),0),0)</f>
        <v>-23209.04067365536</v>
      </c>
      <c r="G397" s="21">
        <f>-IFERROR(HLOOKUP("Exp_Expense",CF_Gen_4[#All],MATCH($B397,CF_Gen_4[[#All],[Incurred]],0),0),0)</f>
        <v>0</v>
      </c>
      <c r="H397" s="21">
        <f>-IFERROR(HLOOKUP("Exp_Commission",CF_Gen_4[#All],MATCH($B397,CF_Gen_4[[#All],[Incurred]],0),0),0)-IFERROR(HLOOKUP("Exp_Acquisition",CF_Gen_4[#All],MATCH($B397,CF_Gen_4[[#All],[Incurred]],0),0),0)</f>
        <v>43881.887367229232</v>
      </c>
      <c r="I397" s="22">
        <f>IF(AND($J397&lt;YEAR($A397),$B397&lt;=$A397),-IFERROR(HLOOKUP("Actual_Commission",CF_Gen_4[#All],MATCH($B397,CF_Gen_4[[#All],[Incurred]],0),0),0)-IFERROR(HLOOKUP("Actual_Acquisition",CF_Gen_4[#All],MATCH($B397,CF_Gen_4[[#All],[Incurred]],0),0),0),0)</f>
        <v>0</v>
      </c>
      <c r="J397" s="27">
        <f>VLOOKUP(L397,ICG[#All],2,0)</f>
        <v>2025</v>
      </c>
      <c r="K397" s="27" t="str">
        <f>VLOOKUP(L397,ICG[#All],3,0)</f>
        <v>RC-Property</v>
      </c>
      <c r="L397" s="27" t="str">
        <f t="shared" si="33"/>
        <v>#2025#RC-Property</v>
      </c>
    </row>
    <row r="398" spans="1:12">
      <c r="A398" s="26">
        <f t="shared" si="31"/>
        <v>45930</v>
      </c>
      <c r="B398" s="26">
        <f t="shared" si="32"/>
        <v>53143</v>
      </c>
      <c r="C398" s="21">
        <f>IFERROR(HLOOKUP("Exp_Premium",CF_Gen_4[#All],MATCH($B398,CF_Gen_4[[#All],[Incurred]],0),0),0)</f>
        <v>109126.05616707665</v>
      </c>
      <c r="D398" s="22">
        <f>IF(AND($J398&lt;YEAR($A398),$B398&lt;=$A398),IFERROR(HLOOKUP("Actual_Premium",CF_Gen_4[#All],MATCH($B398,CF_Gen_4[[#All],[Incurred]],0),0),0),0)</f>
        <v>0</v>
      </c>
      <c r="E398" s="21">
        <f>-IFERROR(HLOOKUP("Exp_Claim",CF_Gen_4[#All],MATCH($B398,CF_Gen_4[[#All],[Incurred]],0),0),0)-IFERROR(HLOOKUP("Exp_NPR",CF_Gen_4[#All],MATCH($B398,CF_Gen_4[[#All],[Incurred]],0),0),0)</f>
        <v>-146713.59725424825</v>
      </c>
      <c r="F398" s="21">
        <f>-IFERROR(HLOOKUP("Exp_RA",CF_Gen_4[#All],MATCH($B398,CF_Gen_4[[#All],[Incurred]],0),0),0)</f>
        <v>-19622.188933181351</v>
      </c>
      <c r="G398" s="21">
        <f>-IFERROR(HLOOKUP("Exp_Expense",CF_Gen_4[#All],MATCH($B398,CF_Gen_4[[#All],[Incurred]],0),0),0)</f>
        <v>0</v>
      </c>
      <c r="H398" s="21">
        <f>-IFERROR(HLOOKUP("Exp_Commission",CF_Gen_4[#All],MATCH($B398,CF_Gen_4[[#All],[Incurred]],0),0),0)-IFERROR(HLOOKUP("Exp_Acquisition",CF_Gen_4[#All],MATCH($B398,CF_Gen_4[[#All],[Incurred]],0),0),0)</f>
        <v>35465.968254299914</v>
      </c>
      <c r="I398" s="22">
        <f>IF(AND($J398&lt;YEAR($A398),$B398&lt;=$A398),-IFERROR(HLOOKUP("Actual_Commission",CF_Gen_4[#All],MATCH($B398,CF_Gen_4[[#All],[Incurred]],0),0),0)-IFERROR(HLOOKUP("Actual_Acquisition",CF_Gen_4[#All],MATCH($B398,CF_Gen_4[[#All],[Incurred]],0),0),0),0)</f>
        <v>0</v>
      </c>
      <c r="J398" s="27">
        <f>VLOOKUP(L398,ICG[#All],2,0)</f>
        <v>2025</v>
      </c>
      <c r="K398" s="27" t="str">
        <f>VLOOKUP(L398,ICG[#All],3,0)</f>
        <v>RC-Property</v>
      </c>
      <c r="L398" s="27" t="str">
        <f t="shared" si="33"/>
        <v>#2025#RC-Property</v>
      </c>
    </row>
    <row r="399" spans="1:12">
      <c r="A399" s="26">
        <f t="shared" si="31"/>
        <v>45930</v>
      </c>
      <c r="B399" s="26">
        <f t="shared" si="32"/>
        <v>53235</v>
      </c>
      <c r="C399" s="21">
        <f>IFERROR(HLOOKUP("Exp_Premium",CF_Gen_4[#All],MATCH($B399,CF_Gen_4[[#All],[Incurred]],0),0),0)</f>
        <v>87584.871655192066</v>
      </c>
      <c r="D399" s="22">
        <f>IF(AND($J399&lt;YEAR($A399),$B399&lt;=$A399),IFERROR(HLOOKUP("Actual_Premium",CF_Gen_4[#All],MATCH($B399,CF_Gen_4[[#All],[Incurred]],0),0),0),0)</f>
        <v>0</v>
      </c>
      <c r="E399" s="21">
        <f>-IFERROR(HLOOKUP("Exp_Claim",CF_Gen_4[#All],MATCH($B399,CF_Gen_4[[#All],[Incurred]],0),0),0)-IFERROR(HLOOKUP("Exp_NPR",CF_Gen_4[#All],MATCH($B399,CF_Gen_4[[#All],[Incurred]],0),0),0)</f>
        <v>-122799.28090180576</v>
      </c>
      <c r="F399" s="21">
        <f>-IFERROR(HLOOKUP("Exp_RA",CF_Gen_4[#All],MATCH($B399,CF_Gen_4[[#All],[Incurred]],0),0),0)</f>
        <v>-16423.772137072789</v>
      </c>
      <c r="G399" s="21">
        <f>-IFERROR(HLOOKUP("Exp_Expense",CF_Gen_4[#All],MATCH($B399,CF_Gen_4[[#All],[Incurred]],0),0),0)</f>
        <v>0</v>
      </c>
      <c r="H399" s="21">
        <f>-IFERROR(HLOOKUP("Exp_Commission",CF_Gen_4[#All],MATCH($B399,CF_Gen_4[[#All],[Incurred]],0),0),0)-IFERROR(HLOOKUP("Exp_Acquisition",CF_Gen_4[#All],MATCH($B399,CF_Gen_4[[#All],[Incurred]],0),0),0)</f>
        <v>28465.083287937421</v>
      </c>
      <c r="I399" s="22">
        <f>IF(AND($J399&lt;YEAR($A399),$B399&lt;=$A399),-IFERROR(HLOOKUP("Actual_Commission",CF_Gen_4[#All],MATCH($B399,CF_Gen_4[[#All],[Incurred]],0),0),0)-IFERROR(HLOOKUP("Actual_Acquisition",CF_Gen_4[#All],MATCH($B399,CF_Gen_4[[#All],[Incurred]],0),0),0),0)</f>
        <v>0</v>
      </c>
      <c r="J399" s="27">
        <f>VLOOKUP(L399,ICG[#All],2,0)</f>
        <v>2025</v>
      </c>
      <c r="K399" s="27" t="str">
        <f>VLOOKUP(L399,ICG[#All],3,0)</f>
        <v>RC-Property</v>
      </c>
      <c r="L399" s="27" t="str">
        <f t="shared" si="33"/>
        <v>#2025#RC-Property</v>
      </c>
    </row>
    <row r="400" spans="1:12">
      <c r="A400" s="26">
        <f t="shared" si="31"/>
        <v>45930</v>
      </c>
      <c r="B400" s="26">
        <f t="shared" si="32"/>
        <v>53327</v>
      </c>
      <c r="C400" s="21">
        <f>IFERROR(HLOOKUP("Exp_Premium",CF_Gen_4[#All],MATCH($B400,CF_Gen_4[[#All],[Incurred]],0),0),0)</f>
        <v>69817.654833710243</v>
      </c>
      <c r="D400" s="22">
        <f>IF(AND($J400&lt;YEAR($A400),$B400&lt;=$A400),IFERROR(HLOOKUP("Actual_Premium",CF_Gen_4[#All],MATCH($B400,CF_Gen_4[[#All],[Incurred]],0),0),0),0)</f>
        <v>0</v>
      </c>
      <c r="E400" s="21">
        <f>-IFERROR(HLOOKUP("Exp_Claim",CF_Gen_4[#All],MATCH($B400,CF_Gen_4[[#All],[Incurred]],0),0),0)-IFERROR(HLOOKUP("Exp_NPR",CF_Gen_4[#All],MATCH($B400,CF_Gen_4[[#All],[Incurred]],0),0),0)</f>
        <v>-114203.33123867934</v>
      </c>
      <c r="F400" s="21">
        <f>-IFERROR(HLOOKUP("Exp_RA",CF_Gen_4[#All],MATCH($B400,CF_Gen_4[[#All],[Incurred]],0),0),0)</f>
        <v>-15274.108087477691</v>
      </c>
      <c r="G400" s="21">
        <f>-IFERROR(HLOOKUP("Exp_Expense",CF_Gen_4[#All],MATCH($B400,CF_Gen_4[[#All],[Incurred]],0),0),0)</f>
        <v>0</v>
      </c>
      <c r="H400" s="21">
        <f>-IFERROR(HLOOKUP("Exp_Commission",CF_Gen_4[#All],MATCH($B400,CF_Gen_4[[#All],[Incurred]],0),0),0)-IFERROR(HLOOKUP("Exp_Acquisition",CF_Gen_4[#All],MATCH($B400,CF_Gen_4[[#All],[Incurred]],0),0),0)</f>
        <v>22690.737820955823</v>
      </c>
      <c r="I400" s="22">
        <f>IF(AND($J400&lt;YEAR($A400),$B400&lt;=$A400),-IFERROR(HLOOKUP("Actual_Commission",CF_Gen_4[#All],MATCH($B400,CF_Gen_4[[#All],[Incurred]],0),0),0)-IFERROR(HLOOKUP("Actual_Acquisition",CF_Gen_4[#All],MATCH($B400,CF_Gen_4[[#All],[Incurred]],0),0),0),0)</f>
        <v>0</v>
      </c>
      <c r="J400" s="27">
        <f>VLOOKUP(L400,ICG[#All],2,0)</f>
        <v>2025</v>
      </c>
      <c r="K400" s="27" t="str">
        <f>VLOOKUP(L400,ICG[#All],3,0)</f>
        <v>RC-Property</v>
      </c>
      <c r="L400" s="27" t="str">
        <f t="shared" si="33"/>
        <v>#2025#RC-Property</v>
      </c>
    </row>
    <row r="401" spans="1:12">
      <c r="A401" s="26">
        <f t="shared" si="31"/>
        <v>45930</v>
      </c>
      <c r="B401" s="26">
        <f t="shared" si="32"/>
        <v>53417</v>
      </c>
      <c r="C401" s="21">
        <f>IFERROR(HLOOKUP("Exp_Premium",CF_Gen_4[#All],MATCH($B401,CF_Gen_4[[#All],[Incurred]],0),0),0)</f>
        <v>54108.682496125439</v>
      </c>
      <c r="D401" s="22">
        <f>IF(AND($J401&lt;YEAR($A401),$B401&lt;=$A401),IFERROR(HLOOKUP("Actual_Premium",CF_Gen_4[#All],MATCH($B401,CF_Gen_4[[#All],[Incurred]],0),0),0),0)</f>
        <v>0</v>
      </c>
      <c r="E401" s="21">
        <f>-IFERROR(HLOOKUP("Exp_Claim",CF_Gen_4[#All],MATCH($B401,CF_Gen_4[[#All],[Incurred]],0),0),0)-IFERROR(HLOOKUP("Exp_NPR",CF_Gen_4[#All],MATCH($B401,CF_Gen_4[[#All],[Incurred]],0),0),0)</f>
        <v>-94408.08715730827</v>
      </c>
      <c r="F401" s="21">
        <f>-IFERROR(HLOOKUP("Exp_RA",CF_Gen_4[#All],MATCH($B401,CF_Gen_4[[#All],[Incurred]],0),0),0)</f>
        <v>-12626.59601898156</v>
      </c>
      <c r="G401" s="21">
        <f>-IFERROR(HLOOKUP("Exp_Expense",CF_Gen_4[#All],MATCH($B401,CF_Gen_4[[#All],[Incurred]],0),0),0)</f>
        <v>0</v>
      </c>
      <c r="H401" s="21">
        <f>-IFERROR(HLOOKUP("Exp_Commission",CF_Gen_4[#All],MATCH($B401,CF_Gen_4[[#All],[Incurred]],0),0),0)-IFERROR(HLOOKUP("Exp_Acquisition",CF_Gen_4[#All],MATCH($B401,CF_Gen_4[[#All],[Incurred]],0),0),0)</f>
        <v>17585.321811240763</v>
      </c>
      <c r="I401" s="22">
        <f>IF(AND($J401&lt;YEAR($A401),$B401&lt;=$A401),-IFERROR(HLOOKUP("Actual_Commission",CF_Gen_4[#All],MATCH($B401,CF_Gen_4[[#All],[Incurred]],0),0),0)-IFERROR(HLOOKUP("Actual_Acquisition",CF_Gen_4[#All],MATCH($B401,CF_Gen_4[[#All],[Incurred]],0),0),0),0)</f>
        <v>0</v>
      </c>
      <c r="J401" s="27">
        <f>VLOOKUP(L401,ICG[#All],2,0)</f>
        <v>2025</v>
      </c>
      <c r="K401" s="27" t="str">
        <f>VLOOKUP(L401,ICG[#All],3,0)</f>
        <v>RC-Property</v>
      </c>
      <c r="L401" s="27" t="str">
        <f t="shared" si="33"/>
        <v>#2025#RC-Property</v>
      </c>
    </row>
    <row r="402" spans="1:12">
      <c r="A402" s="26">
        <f t="shared" si="31"/>
        <v>45930</v>
      </c>
      <c r="B402" s="26">
        <f t="shared" si="32"/>
        <v>53508</v>
      </c>
      <c r="C402" s="21">
        <f>IFERROR(HLOOKUP("Exp_Premium",CF_Gen_4[#All],MATCH($B402,CF_Gen_4[[#All],[Incurred]],0),0),0)</f>
        <v>41375.105882037249</v>
      </c>
      <c r="D402" s="22">
        <f>IF(AND($J402&lt;YEAR($A402),$B402&lt;=$A402),IFERROR(HLOOKUP("Actual_Premium",CF_Gen_4[#All],MATCH($B402,CF_Gen_4[[#All],[Incurred]],0),0),0),0)</f>
        <v>0</v>
      </c>
      <c r="E402" s="21">
        <f>-IFERROR(HLOOKUP("Exp_Claim",CF_Gen_4[#All],MATCH($B402,CF_Gen_4[[#All],[Incurred]],0),0),0)-IFERROR(HLOOKUP("Exp_NPR",CF_Gen_4[#All],MATCH($B402,CF_Gen_4[[#All],[Incurred]],0),0),0)</f>
        <v>-76824.580924259586</v>
      </c>
      <c r="F402" s="21">
        <f>-IFERROR(HLOOKUP("Exp_RA",CF_Gen_4[#All],MATCH($B402,CF_Gen_4[[#All],[Incurred]],0),0),0)</f>
        <v>-10274.892510446241</v>
      </c>
      <c r="G402" s="21">
        <f>-IFERROR(HLOOKUP("Exp_Expense",CF_Gen_4[#All],MATCH($B402,CF_Gen_4[[#All],[Incurred]],0),0),0)</f>
        <v>0</v>
      </c>
      <c r="H402" s="21">
        <f>-IFERROR(HLOOKUP("Exp_Commission",CF_Gen_4[#All],MATCH($B402,CF_Gen_4[[#All],[Incurred]],0),0),0)-IFERROR(HLOOKUP("Exp_Acquisition",CF_Gen_4[#All],MATCH($B402,CF_Gen_4[[#All],[Incurred]],0),0),0)</f>
        <v>13446.909411662102</v>
      </c>
      <c r="I402" s="22">
        <f>IF(AND($J402&lt;YEAR($A402),$B402&lt;=$A402),-IFERROR(HLOOKUP("Actual_Commission",CF_Gen_4[#All],MATCH($B402,CF_Gen_4[[#All],[Incurred]],0),0),0)-IFERROR(HLOOKUP("Actual_Acquisition",CF_Gen_4[#All],MATCH($B402,CF_Gen_4[[#All],[Incurred]],0),0),0),0)</f>
        <v>0</v>
      </c>
      <c r="J402" s="27">
        <f>VLOOKUP(L402,ICG[#All],2,0)</f>
        <v>2025</v>
      </c>
      <c r="K402" s="27" t="str">
        <f>VLOOKUP(L402,ICG[#All],3,0)</f>
        <v>RC-Property</v>
      </c>
      <c r="L402" s="27" t="str">
        <f t="shared" si="33"/>
        <v>#2025#RC-Property</v>
      </c>
    </row>
    <row r="403" spans="1:12">
      <c r="A403" s="26">
        <f t="shared" si="31"/>
        <v>45930</v>
      </c>
      <c r="B403" s="26">
        <f t="shared" si="32"/>
        <v>53600</v>
      </c>
      <c r="C403" s="21">
        <f>IFERROR(HLOOKUP("Exp_Premium",CF_Gen_4[#All],MATCH($B403,CF_Gen_4[[#All],[Incurred]],0),0),0)</f>
        <v>31199.066327265919</v>
      </c>
      <c r="D403" s="22">
        <f>IF(AND($J403&lt;YEAR($A403),$B403&lt;=$A403),IFERROR(HLOOKUP("Actual_Premium",CF_Gen_4[#All],MATCH($B403,CF_Gen_4[[#All],[Incurred]],0),0),0),0)</f>
        <v>0</v>
      </c>
      <c r="E403" s="21">
        <f>-IFERROR(HLOOKUP("Exp_Claim",CF_Gen_4[#All],MATCH($B403,CF_Gen_4[[#All],[Incurred]],0),0),0)-IFERROR(HLOOKUP("Exp_NPR",CF_Gen_4[#All],MATCH($B403,CF_Gen_4[[#All],[Incurred]],0),0),0)</f>
        <v>-61240.16593676692</v>
      </c>
      <c r="F403" s="21">
        <f>-IFERROR(HLOOKUP("Exp_RA",CF_Gen_4[#All],MATCH($B403,CF_Gen_4[[#All],[Incurred]],0),0),0)</f>
        <v>-8190.5571726128592</v>
      </c>
      <c r="G403" s="21">
        <f>-IFERROR(HLOOKUP("Exp_Expense",CF_Gen_4[#All],MATCH($B403,CF_Gen_4[[#All],[Incurred]],0),0),0)</f>
        <v>0</v>
      </c>
      <c r="H403" s="21">
        <f>-IFERROR(HLOOKUP("Exp_Commission",CF_Gen_4[#All],MATCH($B403,CF_Gen_4[[#All],[Incurred]],0),0),0)-IFERROR(HLOOKUP("Exp_Acquisition",CF_Gen_4[#All],MATCH($B403,CF_Gen_4[[#All],[Incurred]],0),0),0)</f>
        <v>10139.696556361423</v>
      </c>
      <c r="I403" s="22">
        <f>IF(AND($J403&lt;YEAR($A403),$B403&lt;=$A403),-IFERROR(HLOOKUP("Actual_Commission",CF_Gen_4[#All],MATCH($B403,CF_Gen_4[[#All],[Incurred]],0),0),0)-IFERROR(HLOOKUP("Actual_Acquisition",CF_Gen_4[#All],MATCH($B403,CF_Gen_4[[#All],[Incurred]],0),0),0),0)</f>
        <v>0</v>
      </c>
      <c r="J403" s="27">
        <f>VLOOKUP(L403,ICG[#All],2,0)</f>
        <v>2025</v>
      </c>
      <c r="K403" s="27" t="str">
        <f>VLOOKUP(L403,ICG[#All],3,0)</f>
        <v>RC-Property</v>
      </c>
      <c r="L403" s="27" t="str">
        <f t="shared" si="33"/>
        <v>#2025#RC-Property</v>
      </c>
    </row>
    <row r="404" spans="1:12">
      <c r="A404" s="26">
        <f t="shared" si="31"/>
        <v>45930</v>
      </c>
      <c r="B404" s="26">
        <f t="shared" si="32"/>
        <v>53692</v>
      </c>
      <c r="C404" s="21">
        <f>IFERROR(HLOOKUP("Exp_Premium",CF_Gen_4[#All],MATCH($B404,CF_Gen_4[[#All],[Incurred]],0),0),0)</f>
        <v>23212.105347485838</v>
      </c>
      <c r="D404" s="22">
        <f>IF(AND($J404&lt;YEAR($A404),$B404&lt;=$A404),IFERROR(HLOOKUP("Actual_Premium",CF_Gen_4[#All],MATCH($B404,CF_Gen_4[[#All],[Incurred]],0),0),0),0)</f>
        <v>0</v>
      </c>
      <c r="E404" s="21">
        <f>-IFERROR(HLOOKUP("Exp_Claim",CF_Gen_4[#All],MATCH($B404,CF_Gen_4[[#All],[Incurred]],0),0),0)-IFERROR(HLOOKUP("Exp_NPR",CF_Gen_4[#All],MATCH($B404,CF_Gen_4[[#All],[Incurred]],0),0),0)</f>
        <v>-56953.354321193241</v>
      </c>
      <c r="F404" s="21">
        <f>-IFERROR(HLOOKUP("Exp_RA",CF_Gen_4[#All],MATCH($B404,CF_Gen_4[[#All],[Incurred]],0),0),0)</f>
        <v>-7617.2181705299599</v>
      </c>
      <c r="G404" s="21">
        <f>-IFERROR(HLOOKUP("Exp_Expense",CF_Gen_4[#All],MATCH($B404,CF_Gen_4[[#All],[Incurred]],0),0),0)</f>
        <v>0</v>
      </c>
      <c r="H404" s="21">
        <f>-IFERROR(HLOOKUP("Exp_Commission",CF_Gen_4[#All],MATCH($B404,CF_Gen_4[[#All],[Incurred]],0),0),0)-IFERROR(HLOOKUP("Exp_Acquisition",CF_Gen_4[#All],MATCH($B404,CF_Gen_4[[#All],[Incurred]],0),0),0)</f>
        <v>7543.9342379328991</v>
      </c>
      <c r="I404" s="22">
        <f>IF(AND($J404&lt;YEAR($A404),$B404&lt;=$A404),-IFERROR(HLOOKUP("Actual_Commission",CF_Gen_4[#All],MATCH($B404,CF_Gen_4[[#All],[Incurred]],0),0),0)-IFERROR(HLOOKUP("Actual_Acquisition",CF_Gen_4[#All],MATCH($B404,CF_Gen_4[[#All],[Incurred]],0),0),0),0)</f>
        <v>0</v>
      </c>
      <c r="J404" s="27">
        <f>VLOOKUP(L404,ICG[#All],2,0)</f>
        <v>2025</v>
      </c>
      <c r="K404" s="27" t="str">
        <f>VLOOKUP(L404,ICG[#All],3,0)</f>
        <v>RC-Property</v>
      </c>
      <c r="L404" s="27" t="str">
        <f t="shared" si="33"/>
        <v>#2025#RC-Property</v>
      </c>
    </row>
    <row r="405" spans="1:12">
      <c r="A405" s="26">
        <f t="shared" si="31"/>
        <v>45930</v>
      </c>
      <c r="B405" s="26">
        <f t="shared" si="32"/>
        <v>53782</v>
      </c>
      <c r="C405" s="21">
        <f>IFERROR(HLOOKUP("Exp_Premium",CF_Gen_4[#All],MATCH($B405,CF_Gen_4[[#All],[Incurred]],0),0),0)</f>
        <v>16190.44347987137</v>
      </c>
      <c r="D405" s="22">
        <f>IF(AND($J405&lt;YEAR($A405),$B405&lt;=$A405),IFERROR(HLOOKUP("Actual_Premium",CF_Gen_4[#All],MATCH($B405,CF_Gen_4[[#All],[Incurred]],0),0),0),0)</f>
        <v>0</v>
      </c>
      <c r="E405" s="21">
        <f>-IFERROR(HLOOKUP("Exp_Claim",CF_Gen_4[#All],MATCH($B405,CF_Gen_4[[#All],[Incurred]],0),0),0)-IFERROR(HLOOKUP("Exp_NPR",CF_Gen_4[#All],MATCH($B405,CF_Gen_4[[#All],[Incurred]],0),0),0)</f>
        <v>-44138.849598924753</v>
      </c>
      <c r="F405" s="21">
        <f>-IFERROR(HLOOKUP("Exp_RA",CF_Gen_4[#All],MATCH($B405,CF_Gen_4[[#All],[Incurred]],0),0),0)</f>
        <v>-5903.3440821607182</v>
      </c>
      <c r="G405" s="21">
        <f>-IFERROR(HLOOKUP("Exp_Expense",CF_Gen_4[#All],MATCH($B405,CF_Gen_4[[#All],[Incurred]],0),0),0)</f>
        <v>0</v>
      </c>
      <c r="H405" s="21">
        <f>-IFERROR(HLOOKUP("Exp_Commission",CF_Gen_4[#All],MATCH($B405,CF_Gen_4[[#All],[Incurred]],0),0),0)-IFERROR(HLOOKUP("Exp_Acquisition",CF_Gen_4[#All],MATCH($B405,CF_Gen_4[[#All],[Incurred]],0),0),0)</f>
        <v>5261.8941309581969</v>
      </c>
      <c r="I405" s="22">
        <f>IF(AND($J405&lt;YEAR($A405),$B405&lt;=$A405),-IFERROR(HLOOKUP("Actual_Commission",CF_Gen_4[#All],MATCH($B405,CF_Gen_4[[#All],[Incurred]],0),0),0)-IFERROR(HLOOKUP("Actual_Acquisition",CF_Gen_4[#All],MATCH($B405,CF_Gen_4[[#All],[Incurred]],0),0),0),0)</f>
        <v>0</v>
      </c>
      <c r="J405" s="27">
        <f>VLOOKUP(L405,ICG[#All],2,0)</f>
        <v>2025</v>
      </c>
      <c r="K405" s="27" t="str">
        <f>VLOOKUP(L405,ICG[#All],3,0)</f>
        <v>RC-Property</v>
      </c>
      <c r="L405" s="27" t="str">
        <f t="shared" si="33"/>
        <v>#2025#RC-Property</v>
      </c>
    </row>
    <row r="406" spans="1:12">
      <c r="A406" s="26">
        <f t="shared" si="31"/>
        <v>45930</v>
      </c>
      <c r="B406" s="26">
        <f t="shared" si="32"/>
        <v>53873</v>
      </c>
      <c r="C406" s="21">
        <f>IFERROR(HLOOKUP("Exp_Premium",CF_Gen_4[#All],MATCH($B406,CF_Gen_4[[#All],[Incurred]],0),0),0)</f>
        <v>10874.581203980271</v>
      </c>
      <c r="D406" s="22">
        <f>IF(AND($J406&lt;YEAR($A406),$B406&lt;=$A406),IFERROR(HLOOKUP("Actual_Premium",CF_Gen_4[#All],MATCH($B406,CF_Gen_4[[#All],[Incurred]],0),0),0),0)</f>
        <v>0</v>
      </c>
      <c r="E406" s="21">
        <f>-IFERROR(HLOOKUP("Exp_Claim",CF_Gen_4[#All],MATCH($B406,CF_Gen_4[[#All],[Incurred]],0),0),0)-IFERROR(HLOOKUP("Exp_NPR",CF_Gen_4[#All],MATCH($B406,CF_Gen_4[[#All],[Incurred]],0),0),0)</f>
        <v>-32839.304101600013</v>
      </c>
      <c r="F406" s="21">
        <f>-IFERROR(HLOOKUP("Exp_RA",CF_Gen_4[#All],MATCH($B406,CF_Gen_4[[#All],[Incurred]],0),0),0)</f>
        <v>-4392.0879971275735</v>
      </c>
      <c r="G406" s="21">
        <f>-IFERROR(HLOOKUP("Exp_Expense",CF_Gen_4[#All],MATCH($B406,CF_Gen_4[[#All],[Incurred]],0),0),0)</f>
        <v>0</v>
      </c>
      <c r="H406" s="21">
        <f>-IFERROR(HLOOKUP("Exp_Commission",CF_Gen_4[#All],MATCH($B406,CF_Gen_4[[#All],[Incurred]],0),0),0)-IFERROR(HLOOKUP("Exp_Acquisition",CF_Gen_4[#All],MATCH($B406,CF_Gen_4[[#All],[Incurred]],0),0),0)</f>
        <v>3534.2388912935885</v>
      </c>
      <c r="I406" s="22">
        <f>IF(AND($J406&lt;YEAR($A406),$B406&lt;=$A406),-IFERROR(HLOOKUP("Actual_Commission",CF_Gen_4[#All],MATCH($B406,CF_Gen_4[[#All],[Incurred]],0),0),0)-IFERROR(HLOOKUP("Actual_Acquisition",CF_Gen_4[#All],MATCH($B406,CF_Gen_4[[#All],[Incurred]],0),0),0),0)</f>
        <v>0</v>
      </c>
      <c r="J406" s="27">
        <f>VLOOKUP(L406,ICG[#All],2,0)</f>
        <v>2025</v>
      </c>
      <c r="K406" s="27" t="str">
        <f>VLOOKUP(L406,ICG[#All],3,0)</f>
        <v>RC-Property</v>
      </c>
      <c r="L406" s="27" t="str">
        <f t="shared" si="33"/>
        <v>#2025#RC-Property</v>
      </c>
    </row>
    <row r="407" spans="1:12">
      <c r="A407" s="26">
        <f t="shared" si="31"/>
        <v>45930</v>
      </c>
      <c r="B407" s="26">
        <f t="shared" si="32"/>
        <v>53965</v>
      </c>
      <c r="C407" s="21">
        <f>IFERROR(HLOOKUP("Exp_Premium",CF_Gen_4[#All],MATCH($B407,CF_Gen_4[[#All],[Incurred]],0),0),0)</f>
        <v>7001.5572828703744</v>
      </c>
      <c r="D407" s="22">
        <f>IF(AND($J407&lt;YEAR($A407),$B407&lt;=$A407),IFERROR(HLOOKUP("Actual_Premium",CF_Gen_4[#All],MATCH($B407,CF_Gen_4[[#All],[Incurred]],0),0),0),0)</f>
        <v>0</v>
      </c>
      <c r="E407" s="21">
        <f>-IFERROR(HLOOKUP("Exp_Claim",CF_Gen_4[#All],MATCH($B407,CF_Gen_4[[#All],[Incurred]],0),0),0)-IFERROR(HLOOKUP("Exp_NPR",CF_Gen_4[#All],MATCH($B407,CF_Gen_4[[#All],[Incurred]],0),0),0)</f>
        <v>-22905.414610866006</v>
      </c>
      <c r="F407" s="21">
        <f>-IFERROR(HLOOKUP("Exp_RA",CF_Gen_4[#All],MATCH($B407,CF_Gen_4[[#All],[Incurred]],0),0),0)</f>
        <v>-3063.4813779964825</v>
      </c>
      <c r="G407" s="21">
        <f>-IFERROR(HLOOKUP("Exp_Expense",CF_Gen_4[#All],MATCH($B407,CF_Gen_4[[#All],[Incurred]],0),0),0)</f>
        <v>0</v>
      </c>
      <c r="H407" s="21">
        <f>-IFERROR(HLOOKUP("Exp_Commission",CF_Gen_4[#All],MATCH($B407,CF_Gen_4[[#All],[Incurred]],0),0),0)-IFERROR(HLOOKUP("Exp_Acquisition",CF_Gen_4[#All],MATCH($B407,CF_Gen_4[[#All],[Incurred]],0),0),0)</f>
        <v>2275.5061169328719</v>
      </c>
      <c r="I407" s="22">
        <f>IF(AND($J407&lt;YEAR($A407),$B407&lt;=$A407),-IFERROR(HLOOKUP("Actual_Commission",CF_Gen_4[#All],MATCH($B407,CF_Gen_4[[#All],[Incurred]],0),0),0)-IFERROR(HLOOKUP("Actual_Acquisition",CF_Gen_4[#All],MATCH($B407,CF_Gen_4[[#All],[Incurred]],0),0),0),0)</f>
        <v>0</v>
      </c>
      <c r="J407" s="27">
        <f>VLOOKUP(L407,ICG[#All],2,0)</f>
        <v>2025</v>
      </c>
      <c r="K407" s="27" t="str">
        <f>VLOOKUP(L407,ICG[#All],3,0)</f>
        <v>RC-Property</v>
      </c>
      <c r="L407" s="27" t="str">
        <f t="shared" si="33"/>
        <v>#2025#RC-Property</v>
      </c>
    </row>
    <row r="408" spans="1:12">
      <c r="A408" s="26">
        <f t="shared" si="31"/>
        <v>45930</v>
      </c>
      <c r="B408" s="26">
        <f t="shared" si="32"/>
        <v>54057</v>
      </c>
      <c r="C408" s="21">
        <f>IFERROR(HLOOKUP("Exp_Premium",CF_Gen_4[#All],MATCH($B408,CF_Gen_4[[#All],[Incurred]],0),0),0)</f>
        <v>4340.9655153796321</v>
      </c>
      <c r="D408" s="22">
        <f>IF(AND($J408&lt;YEAR($A408),$B408&lt;=$A408),IFERROR(HLOOKUP("Actual_Premium",CF_Gen_4[#All],MATCH($B408,CF_Gen_4[[#All],[Incurred]],0),0),0),0)</f>
        <v>0</v>
      </c>
      <c r="E408" s="21">
        <f>-IFERROR(HLOOKUP("Exp_Claim",CF_Gen_4[#All],MATCH($B408,CF_Gen_4[[#All],[Incurred]],0),0),0)-IFERROR(HLOOKUP("Exp_NPR",CF_Gen_4[#All],MATCH($B408,CF_Gen_4[[#All],[Incurred]],0),0),0)</f>
        <v>-21302.035588105387</v>
      </c>
      <c r="F408" s="21">
        <f>-IFERROR(HLOOKUP("Exp_RA",CF_Gen_4[#All],MATCH($B408,CF_Gen_4[[#All],[Incurred]],0),0),0)</f>
        <v>-2849.037681536729</v>
      </c>
      <c r="G408" s="21">
        <f>-IFERROR(HLOOKUP("Exp_Expense",CF_Gen_4[#All],MATCH($B408,CF_Gen_4[[#All],[Incurred]],0),0),0)</f>
        <v>0</v>
      </c>
      <c r="H408" s="21">
        <f>-IFERROR(HLOOKUP("Exp_Commission",CF_Gen_4[#All],MATCH($B408,CF_Gen_4[[#All],[Incurred]],0),0),0)-IFERROR(HLOOKUP("Exp_Acquisition",CF_Gen_4[#All],MATCH($B408,CF_Gen_4[[#All],[Incurred]],0),0),0)</f>
        <v>1410.8137924983805</v>
      </c>
      <c r="I408" s="22">
        <f>IF(AND($J408&lt;YEAR($A408),$B408&lt;=$A408),-IFERROR(HLOOKUP("Actual_Commission",CF_Gen_4[#All],MATCH($B408,CF_Gen_4[[#All],[Incurred]],0),0),0)-IFERROR(HLOOKUP("Actual_Acquisition",CF_Gen_4[#All],MATCH($B408,CF_Gen_4[[#All],[Incurred]],0),0),0),0)</f>
        <v>0</v>
      </c>
      <c r="J408" s="27">
        <f>VLOOKUP(L408,ICG[#All],2,0)</f>
        <v>2025</v>
      </c>
      <c r="K408" s="27" t="str">
        <f>VLOOKUP(L408,ICG[#All],3,0)</f>
        <v>RC-Property</v>
      </c>
      <c r="L408" s="27" t="str">
        <f t="shared" si="33"/>
        <v>#2025#RC-Property</v>
      </c>
    </row>
    <row r="409" spans="1:12">
      <c r="A409" s="26">
        <f t="shared" si="31"/>
        <v>45930</v>
      </c>
      <c r="B409" s="26">
        <f t="shared" si="32"/>
        <v>54148</v>
      </c>
      <c r="C409" s="21">
        <f>IFERROR(HLOOKUP("Exp_Premium",CF_Gen_4[#All],MATCH($B409,CF_Gen_4[[#All],[Incurred]],0),0),0)</f>
        <v>2018.5489646515284</v>
      </c>
      <c r="D409" s="22">
        <f>IF(AND($J409&lt;YEAR($A409),$B409&lt;=$A409),IFERROR(HLOOKUP("Actual_Premium",CF_Gen_4[#All],MATCH($B409,CF_Gen_4[[#All],[Incurred]],0),0),0),0)</f>
        <v>0</v>
      </c>
      <c r="E409" s="21">
        <f>-IFERROR(HLOOKUP("Exp_Claim",CF_Gen_4[#All],MATCH($B409,CF_Gen_4[[#All],[Incurred]],0),0),0)-IFERROR(HLOOKUP("Exp_NPR",CF_Gen_4[#All],MATCH($B409,CF_Gen_4[[#All],[Incurred]],0),0),0)</f>
        <v>-13207.262064625338</v>
      </c>
      <c r="F409" s="21">
        <f>-IFERROR(HLOOKUP("Exp_RA",CF_Gen_4[#All],MATCH($B409,CF_Gen_4[[#All],[Incurred]],0),0),0)</f>
        <v>-1766.4033625527716</v>
      </c>
      <c r="G409" s="21">
        <f>-IFERROR(HLOOKUP("Exp_Expense",CF_Gen_4[#All],MATCH($B409,CF_Gen_4[[#All],[Incurred]],0),0),0)</f>
        <v>0</v>
      </c>
      <c r="H409" s="21">
        <f>-IFERROR(HLOOKUP("Exp_Commission",CF_Gen_4[#All],MATCH($B409,CF_Gen_4[[#All],[Incurred]],0),0),0)-IFERROR(HLOOKUP("Exp_Acquisition",CF_Gen_4[#All],MATCH($B409,CF_Gen_4[[#All],[Incurred]],0),0),0)</f>
        <v>656.02841351174686</v>
      </c>
      <c r="I409" s="22">
        <f>IF(AND($J409&lt;YEAR($A409),$B409&lt;=$A409),-IFERROR(HLOOKUP("Actual_Commission",CF_Gen_4[#All],MATCH($B409,CF_Gen_4[[#All],[Incurred]],0),0),0)-IFERROR(HLOOKUP("Actual_Acquisition",CF_Gen_4[#All],MATCH($B409,CF_Gen_4[[#All],[Incurred]],0),0),0),0)</f>
        <v>0</v>
      </c>
      <c r="J409" s="27">
        <f>VLOOKUP(L409,ICG[#All],2,0)</f>
        <v>2025</v>
      </c>
      <c r="K409" s="27" t="str">
        <f>VLOOKUP(L409,ICG[#All],3,0)</f>
        <v>RC-Property</v>
      </c>
      <c r="L409" s="27" t="str">
        <f t="shared" si="33"/>
        <v>#2025#RC-Property</v>
      </c>
    </row>
    <row r="410" spans="1:12">
      <c r="A410" s="26">
        <f t="shared" si="31"/>
        <v>45930</v>
      </c>
      <c r="B410" s="26">
        <f t="shared" si="32"/>
        <v>54239</v>
      </c>
      <c r="C410" s="21">
        <f>IFERROR(HLOOKUP("Exp_Premium",CF_Gen_4[#All],MATCH($B410,CF_Gen_4[[#All],[Incurred]],0),0),0)</f>
        <v>625.75017904197375</v>
      </c>
      <c r="D410" s="22">
        <f>IF(AND($J410&lt;YEAR($A410),$B410&lt;=$A410),IFERROR(HLOOKUP("Actual_Premium",CF_Gen_4[#All],MATCH($B410,CF_Gen_4[[#All],[Incurred]],0),0),0),0)</f>
        <v>0</v>
      </c>
      <c r="E410" s="21">
        <f>-IFERROR(HLOOKUP("Exp_Claim",CF_Gen_4[#All],MATCH($B410,CF_Gen_4[[#All],[Incurred]],0),0),0)-IFERROR(HLOOKUP("Exp_NPR",CF_Gen_4[#All],MATCH($B410,CF_Gen_4[[#All],[Incurred]],0),0),0)</f>
        <v>-6141.3768600507819</v>
      </c>
      <c r="F410" s="21">
        <f>-IFERROR(HLOOKUP("Exp_RA",CF_Gen_4[#All],MATCH($B410,CF_Gen_4[[#All],[Incurred]],0),0),0)</f>
        <v>-821.37756358703882</v>
      </c>
      <c r="G410" s="21">
        <f>-IFERROR(HLOOKUP("Exp_Expense",CF_Gen_4[#All],MATCH($B410,CF_Gen_4[[#All],[Incurred]],0),0),0)</f>
        <v>0</v>
      </c>
      <c r="H410" s="21">
        <f>-IFERROR(HLOOKUP("Exp_Commission",CF_Gen_4[#All],MATCH($B410,CF_Gen_4[[#All],[Incurred]],0),0),0)-IFERROR(HLOOKUP("Exp_Acquisition",CF_Gen_4[#All],MATCH($B410,CF_Gen_4[[#All],[Incurred]],0),0),0)</f>
        <v>203.36880818864154</v>
      </c>
      <c r="I410" s="22">
        <f>IF(AND($J410&lt;YEAR($A410),$B410&lt;=$A410),-IFERROR(HLOOKUP("Actual_Commission",CF_Gen_4[#All],MATCH($B410,CF_Gen_4[[#All],[Incurred]],0),0),0)-IFERROR(HLOOKUP("Actual_Acquisition",CF_Gen_4[#All],MATCH($B410,CF_Gen_4[[#All],[Incurred]],0),0),0),0)</f>
        <v>0</v>
      </c>
      <c r="J410" s="27">
        <f>VLOOKUP(L410,ICG[#All],2,0)</f>
        <v>2025</v>
      </c>
      <c r="K410" s="27" t="str">
        <f>VLOOKUP(L410,ICG[#All],3,0)</f>
        <v>RC-Property</v>
      </c>
      <c r="L410" s="27" t="str">
        <f t="shared" si="33"/>
        <v>#2025#RC-Property</v>
      </c>
    </row>
    <row r="411" spans="1:12">
      <c r="A411" s="26">
        <f t="shared" si="31"/>
        <v>45930</v>
      </c>
      <c r="B411" s="26">
        <f t="shared" si="32"/>
        <v>54331</v>
      </c>
      <c r="C411" s="21">
        <f>IFERROR(HLOOKUP("Exp_Premium",CF_Gen_4[#All],MATCH($B411,CF_Gen_4[[#All],[Incurred]],0),0),0)</f>
        <v>0</v>
      </c>
      <c r="D411" s="22">
        <f>IF(AND($J411&lt;YEAR($A411),$B411&lt;=$A411),IFERROR(HLOOKUP("Actual_Premium",CF_Gen_4[#All],MATCH($B411,CF_Gen_4[[#All],[Incurred]],0),0),0),0)</f>
        <v>0</v>
      </c>
      <c r="E411" s="21">
        <f>-IFERROR(HLOOKUP("Exp_Claim",CF_Gen_4[#All],MATCH($B411,CF_Gen_4[[#All],[Incurred]],0),0),0)-IFERROR(HLOOKUP("Exp_NPR",CF_Gen_4[#All],MATCH($B411,CF_Gen_4[[#All],[Incurred]],0),0),0)</f>
        <v>0</v>
      </c>
      <c r="F411" s="21">
        <f>-IFERROR(HLOOKUP("Exp_RA",CF_Gen_4[#All],MATCH($B411,CF_Gen_4[[#All],[Incurred]],0),0),0)</f>
        <v>0</v>
      </c>
      <c r="G411" s="21">
        <f>-IFERROR(HLOOKUP("Exp_Expense",CF_Gen_4[#All],MATCH($B411,CF_Gen_4[[#All],[Incurred]],0),0),0)</f>
        <v>0</v>
      </c>
      <c r="H411" s="21">
        <f>-IFERROR(HLOOKUP("Exp_Commission",CF_Gen_4[#All],MATCH($B411,CF_Gen_4[[#All],[Incurred]],0),0),0)-IFERROR(HLOOKUP("Exp_Acquisition",CF_Gen_4[#All],MATCH($B411,CF_Gen_4[[#All],[Incurred]],0),0),0)</f>
        <v>0</v>
      </c>
      <c r="I411" s="22">
        <f>IF(AND($J411&lt;YEAR($A411),$B411&lt;=$A411),-IFERROR(HLOOKUP("Actual_Commission",CF_Gen_4[#All],MATCH($B411,CF_Gen_4[[#All],[Incurred]],0),0),0)-IFERROR(HLOOKUP("Actual_Acquisition",CF_Gen_4[#All],MATCH($B411,CF_Gen_4[[#All],[Incurred]],0),0),0),0)</f>
        <v>0</v>
      </c>
      <c r="J411" s="27">
        <f>VLOOKUP(L411,ICG[#All],2,0)</f>
        <v>2025</v>
      </c>
      <c r="K411" s="27" t="str">
        <f>VLOOKUP(L411,ICG[#All],3,0)</f>
        <v>RC-Property</v>
      </c>
      <c r="L411" s="27" t="str">
        <f t="shared" si="33"/>
        <v>#2025#RC-Property</v>
      </c>
    </row>
    <row r="412" spans="1:12">
      <c r="A412" s="26">
        <f t="shared" si="31"/>
        <v>45930</v>
      </c>
      <c r="B412" s="26">
        <f t="shared" si="32"/>
        <v>54423</v>
      </c>
      <c r="C412" s="21">
        <f>IFERROR(HLOOKUP("Exp_Premium",CF_Gen_4[#All],MATCH($B412,CF_Gen_4[[#All],[Incurred]],0),0),0)</f>
        <v>0</v>
      </c>
      <c r="D412" s="22">
        <f>IF(AND($J412&lt;YEAR($A412),$B412&lt;=$A412),IFERROR(HLOOKUP("Actual_Premium",CF_Gen_4[#All],MATCH($B412,CF_Gen_4[[#All],[Incurred]],0),0),0),0)</f>
        <v>0</v>
      </c>
      <c r="E412" s="21">
        <f>-IFERROR(HLOOKUP("Exp_Claim",CF_Gen_4[#All],MATCH($B412,CF_Gen_4[[#All],[Incurred]],0),0),0)-IFERROR(HLOOKUP("Exp_NPR",CF_Gen_4[#All],MATCH($B412,CF_Gen_4[[#All],[Incurred]],0),0),0)</f>
        <v>0</v>
      </c>
      <c r="F412" s="21">
        <f>-IFERROR(HLOOKUP("Exp_RA",CF_Gen_4[#All],MATCH($B412,CF_Gen_4[[#All],[Incurred]],0),0),0)</f>
        <v>0</v>
      </c>
      <c r="G412" s="21">
        <f>-IFERROR(HLOOKUP("Exp_Expense",CF_Gen_4[#All],MATCH($B412,CF_Gen_4[[#All],[Incurred]],0),0),0)</f>
        <v>0</v>
      </c>
      <c r="H412" s="21">
        <f>-IFERROR(HLOOKUP("Exp_Commission",CF_Gen_4[#All],MATCH($B412,CF_Gen_4[[#All],[Incurred]],0),0),0)-IFERROR(HLOOKUP("Exp_Acquisition",CF_Gen_4[#All],MATCH($B412,CF_Gen_4[[#All],[Incurred]],0),0),0)</f>
        <v>0</v>
      </c>
      <c r="I412" s="22">
        <f>IF(AND($J412&lt;YEAR($A412),$B412&lt;=$A412),-IFERROR(HLOOKUP("Actual_Commission",CF_Gen_4[#All],MATCH($B412,CF_Gen_4[[#All],[Incurred]],0),0),0)-IFERROR(HLOOKUP("Actual_Acquisition",CF_Gen_4[#All],MATCH($B412,CF_Gen_4[[#All],[Incurred]],0),0),0),0)</f>
        <v>0</v>
      </c>
      <c r="J412" s="27">
        <f>VLOOKUP(L412,ICG[#All],2,0)</f>
        <v>2025</v>
      </c>
      <c r="K412" s="27" t="str">
        <f>VLOOKUP(L412,ICG[#All],3,0)</f>
        <v>RC-Property</v>
      </c>
      <c r="L412" s="27" t="str">
        <f t="shared" si="33"/>
        <v>#2025#RC-Property</v>
      </c>
    </row>
    <row r="413" spans="1:12">
      <c r="A413" s="26">
        <f t="shared" ref="A413:A420" si="34">ValuationDate</f>
        <v>45930</v>
      </c>
      <c r="B413" s="26">
        <f t="shared" si="32"/>
        <v>54513</v>
      </c>
      <c r="C413" s="21">
        <f>IFERROR(HLOOKUP("Exp_Premium",CF_Gen_4[#All],MATCH($B413,CF_Gen_4[[#All],[Incurred]],0),0),0)</f>
        <v>0</v>
      </c>
      <c r="D413" s="22">
        <f>IF(AND($J413&lt;YEAR($A413),$B413&lt;=$A413),IFERROR(HLOOKUP("Actual_Premium",CF_Gen_4[#All],MATCH($B413,CF_Gen_4[[#All],[Incurred]],0),0),0),0)</f>
        <v>0</v>
      </c>
      <c r="E413" s="21">
        <f>-IFERROR(HLOOKUP("Exp_Claim",CF_Gen_4[#All],MATCH($B413,CF_Gen_4[[#All],[Incurred]],0),0),0)-IFERROR(HLOOKUP("Exp_NPR",CF_Gen_4[#All],MATCH($B413,CF_Gen_4[[#All],[Incurred]],0),0),0)</f>
        <v>0</v>
      </c>
      <c r="F413" s="21">
        <f>-IFERROR(HLOOKUP("Exp_RA",CF_Gen_4[#All],MATCH($B413,CF_Gen_4[[#All],[Incurred]],0),0),0)</f>
        <v>0</v>
      </c>
      <c r="G413" s="21">
        <f>-IFERROR(HLOOKUP("Exp_Expense",CF_Gen_4[#All],MATCH($B413,CF_Gen_4[[#All],[Incurred]],0),0),0)</f>
        <v>0</v>
      </c>
      <c r="H413" s="21">
        <f>-IFERROR(HLOOKUP("Exp_Commission",CF_Gen_4[#All],MATCH($B413,CF_Gen_4[[#All],[Incurred]],0),0),0)-IFERROR(HLOOKUP("Exp_Acquisition",CF_Gen_4[#All],MATCH($B413,CF_Gen_4[[#All],[Incurred]],0),0),0)</f>
        <v>0</v>
      </c>
      <c r="I413" s="22">
        <f>IF(AND($J413&lt;YEAR($A413),$B413&lt;=$A413),-IFERROR(HLOOKUP("Actual_Commission",CF_Gen_4[#All],MATCH($B413,CF_Gen_4[[#All],[Incurred]],0),0),0)-IFERROR(HLOOKUP("Actual_Acquisition",CF_Gen_4[#All],MATCH($B413,CF_Gen_4[[#All],[Incurred]],0),0),0),0)</f>
        <v>0</v>
      </c>
      <c r="J413" s="27">
        <f>VLOOKUP(L413,ICG[#All],2,0)</f>
        <v>2025</v>
      </c>
      <c r="K413" s="27" t="str">
        <f>VLOOKUP(L413,ICG[#All],3,0)</f>
        <v>RC-Property</v>
      </c>
      <c r="L413" s="27" t="str">
        <f t="shared" si="33"/>
        <v>#2025#RC-Property</v>
      </c>
    </row>
    <row r="414" spans="1:12">
      <c r="A414" s="26">
        <f t="shared" si="34"/>
        <v>45930</v>
      </c>
      <c r="B414" s="26">
        <f t="shared" ref="B414:B420" si="35">EOMONTH(B413,3)</f>
        <v>54604</v>
      </c>
      <c r="C414" s="21">
        <f>IFERROR(HLOOKUP("Exp_Premium",CF_Gen_4[#All],MATCH($B414,CF_Gen_4[[#All],[Incurred]],0),0),0)</f>
        <v>0</v>
      </c>
      <c r="D414" s="22">
        <f>IF(AND($J414&lt;YEAR($A414),$B414&lt;=$A414),IFERROR(HLOOKUP("Actual_Premium",CF_Gen_4[#All],MATCH($B414,CF_Gen_4[[#All],[Incurred]],0),0),0),0)</f>
        <v>0</v>
      </c>
      <c r="E414" s="21">
        <f>-IFERROR(HLOOKUP("Exp_Claim",CF_Gen_4[#All],MATCH($B414,CF_Gen_4[[#All],[Incurred]],0),0),0)-IFERROR(HLOOKUP("Exp_NPR",CF_Gen_4[#All],MATCH($B414,CF_Gen_4[[#All],[Incurred]],0),0),0)</f>
        <v>0</v>
      </c>
      <c r="F414" s="21">
        <f>-IFERROR(HLOOKUP("Exp_RA",CF_Gen_4[#All],MATCH($B414,CF_Gen_4[[#All],[Incurred]],0),0),0)</f>
        <v>0</v>
      </c>
      <c r="G414" s="21">
        <f>-IFERROR(HLOOKUP("Exp_Expense",CF_Gen_4[#All],MATCH($B414,CF_Gen_4[[#All],[Incurred]],0),0),0)</f>
        <v>0</v>
      </c>
      <c r="H414" s="21">
        <f>-IFERROR(HLOOKUP("Exp_Commission",CF_Gen_4[#All],MATCH($B414,CF_Gen_4[[#All],[Incurred]],0),0),0)-IFERROR(HLOOKUP("Exp_Acquisition",CF_Gen_4[#All],MATCH($B414,CF_Gen_4[[#All],[Incurred]],0),0),0)</f>
        <v>0</v>
      </c>
      <c r="I414" s="22">
        <f>IF(AND($J414&lt;YEAR($A414),$B414&lt;=$A414),-IFERROR(HLOOKUP("Actual_Commission",CF_Gen_4[#All],MATCH($B414,CF_Gen_4[[#All],[Incurred]],0),0),0)-IFERROR(HLOOKUP("Actual_Acquisition",CF_Gen_4[#All],MATCH($B414,CF_Gen_4[[#All],[Incurred]],0),0),0),0)</f>
        <v>0</v>
      </c>
      <c r="J414" s="27">
        <f>VLOOKUP(L414,ICG[#All],2,0)</f>
        <v>2025</v>
      </c>
      <c r="K414" s="27" t="str">
        <f>VLOOKUP(L414,ICG[#All],3,0)</f>
        <v>RC-Property</v>
      </c>
      <c r="L414" s="27" t="str">
        <f t="shared" si="33"/>
        <v>#2025#RC-Property</v>
      </c>
    </row>
    <row r="415" spans="1:12">
      <c r="A415" s="26">
        <f t="shared" si="34"/>
        <v>45930</v>
      </c>
      <c r="B415" s="26">
        <f t="shared" si="35"/>
        <v>54696</v>
      </c>
      <c r="C415" s="21">
        <f>IFERROR(HLOOKUP("Exp_Premium",CF_Gen_4[#All],MATCH($B415,CF_Gen_4[[#All],[Incurred]],0),0),0)</f>
        <v>0</v>
      </c>
      <c r="D415" s="22">
        <f>IF(AND($J415&lt;YEAR($A415),$B415&lt;=$A415),IFERROR(HLOOKUP("Actual_Premium",CF_Gen_4[#All],MATCH($B415,CF_Gen_4[[#All],[Incurred]],0),0),0),0)</f>
        <v>0</v>
      </c>
      <c r="E415" s="21">
        <f>-IFERROR(HLOOKUP("Exp_Claim",CF_Gen_4[#All],MATCH($B415,CF_Gen_4[[#All],[Incurred]],0),0),0)-IFERROR(HLOOKUP("Exp_NPR",CF_Gen_4[#All],MATCH($B415,CF_Gen_4[[#All],[Incurred]],0),0),0)</f>
        <v>0</v>
      </c>
      <c r="F415" s="21">
        <f>-IFERROR(HLOOKUP("Exp_RA",CF_Gen_4[#All],MATCH($B415,CF_Gen_4[[#All],[Incurred]],0),0),0)</f>
        <v>0</v>
      </c>
      <c r="G415" s="21">
        <f>-IFERROR(HLOOKUP("Exp_Expense",CF_Gen_4[#All],MATCH($B415,CF_Gen_4[[#All],[Incurred]],0),0),0)</f>
        <v>0</v>
      </c>
      <c r="H415" s="21">
        <f>-IFERROR(HLOOKUP("Exp_Commission",CF_Gen_4[#All],MATCH($B415,CF_Gen_4[[#All],[Incurred]],0),0),0)-IFERROR(HLOOKUP("Exp_Acquisition",CF_Gen_4[#All],MATCH($B415,CF_Gen_4[[#All],[Incurred]],0),0),0)</f>
        <v>0</v>
      </c>
      <c r="I415" s="22">
        <f>IF(AND($J415&lt;YEAR($A415),$B415&lt;=$A415),-IFERROR(HLOOKUP("Actual_Commission",CF_Gen_4[#All],MATCH($B415,CF_Gen_4[[#All],[Incurred]],0),0),0)-IFERROR(HLOOKUP("Actual_Acquisition",CF_Gen_4[#All],MATCH($B415,CF_Gen_4[[#All],[Incurred]],0),0),0),0)</f>
        <v>0</v>
      </c>
      <c r="J415" s="27">
        <f>VLOOKUP(L415,ICG[#All],2,0)</f>
        <v>2025</v>
      </c>
      <c r="K415" s="27" t="str">
        <f>VLOOKUP(L415,ICG[#All],3,0)</f>
        <v>RC-Property</v>
      </c>
      <c r="L415" s="27" t="str">
        <f t="shared" si="33"/>
        <v>#2025#RC-Property</v>
      </c>
    </row>
    <row r="416" spans="1:12">
      <c r="A416" s="26">
        <f t="shared" si="34"/>
        <v>45930</v>
      </c>
      <c r="B416" s="26">
        <f t="shared" si="35"/>
        <v>54788</v>
      </c>
      <c r="C416" s="21">
        <f>IFERROR(HLOOKUP("Exp_Premium",CF_Gen_4[#All],MATCH($B416,CF_Gen_4[[#All],[Incurred]],0),0),0)</f>
        <v>0</v>
      </c>
      <c r="D416" s="22">
        <f>IF(AND($J416&lt;YEAR($A416),$B416&lt;=$A416),IFERROR(HLOOKUP("Actual_Premium",CF_Gen_4[#All],MATCH($B416,CF_Gen_4[[#All],[Incurred]],0),0),0),0)</f>
        <v>0</v>
      </c>
      <c r="E416" s="21">
        <f>-IFERROR(HLOOKUP("Exp_Claim",CF_Gen_4[#All],MATCH($B416,CF_Gen_4[[#All],[Incurred]],0),0),0)-IFERROR(HLOOKUP("Exp_NPR",CF_Gen_4[#All],MATCH($B416,CF_Gen_4[[#All],[Incurred]],0),0),0)</f>
        <v>0</v>
      </c>
      <c r="F416" s="21">
        <f>-IFERROR(HLOOKUP("Exp_RA",CF_Gen_4[#All],MATCH($B416,CF_Gen_4[[#All],[Incurred]],0),0),0)</f>
        <v>0</v>
      </c>
      <c r="G416" s="21">
        <f>-IFERROR(HLOOKUP("Exp_Expense",CF_Gen_4[#All],MATCH($B416,CF_Gen_4[[#All],[Incurred]],0),0),0)</f>
        <v>0</v>
      </c>
      <c r="H416" s="21">
        <f>-IFERROR(HLOOKUP("Exp_Commission",CF_Gen_4[#All],MATCH($B416,CF_Gen_4[[#All],[Incurred]],0),0),0)-IFERROR(HLOOKUP("Exp_Acquisition",CF_Gen_4[#All],MATCH($B416,CF_Gen_4[[#All],[Incurred]],0),0),0)</f>
        <v>0</v>
      </c>
      <c r="I416" s="22">
        <f>IF(AND($J416&lt;YEAR($A416),$B416&lt;=$A416),-IFERROR(HLOOKUP("Actual_Commission",CF_Gen_4[#All],MATCH($B416,CF_Gen_4[[#All],[Incurred]],0),0),0)-IFERROR(HLOOKUP("Actual_Acquisition",CF_Gen_4[#All],MATCH($B416,CF_Gen_4[[#All],[Incurred]],0),0),0),0)</f>
        <v>0</v>
      </c>
      <c r="J416" s="27">
        <f>VLOOKUP(L416,ICG[#All],2,0)</f>
        <v>2025</v>
      </c>
      <c r="K416" s="27" t="str">
        <f>VLOOKUP(L416,ICG[#All],3,0)</f>
        <v>RC-Property</v>
      </c>
      <c r="L416" s="27" t="str">
        <f t="shared" si="33"/>
        <v>#2025#RC-Property</v>
      </c>
    </row>
    <row r="417" spans="1:12">
      <c r="A417" s="26">
        <f t="shared" si="34"/>
        <v>45930</v>
      </c>
      <c r="B417" s="26">
        <f t="shared" si="35"/>
        <v>54878</v>
      </c>
      <c r="C417" s="21">
        <f>IFERROR(HLOOKUP("Exp_Premium",CF_Gen_4[#All],MATCH($B417,CF_Gen_4[[#All],[Incurred]],0),0),0)</f>
        <v>0</v>
      </c>
      <c r="D417" s="22">
        <f>IF(AND($J417&lt;YEAR($A417),$B417&lt;=$A417),IFERROR(HLOOKUP("Actual_Premium",CF_Gen_4[#All],MATCH($B417,CF_Gen_4[[#All],[Incurred]],0),0),0),0)</f>
        <v>0</v>
      </c>
      <c r="E417" s="21">
        <f>-IFERROR(HLOOKUP("Exp_Claim",CF_Gen_4[#All],MATCH($B417,CF_Gen_4[[#All],[Incurred]],0),0),0)-IFERROR(HLOOKUP("Exp_NPR",CF_Gen_4[#All],MATCH($B417,CF_Gen_4[[#All],[Incurred]],0),0),0)</f>
        <v>0</v>
      </c>
      <c r="F417" s="21">
        <f>-IFERROR(HLOOKUP("Exp_RA",CF_Gen_4[#All],MATCH($B417,CF_Gen_4[[#All],[Incurred]],0),0),0)</f>
        <v>0</v>
      </c>
      <c r="G417" s="21">
        <f>-IFERROR(HLOOKUP("Exp_Expense",CF_Gen_4[#All],MATCH($B417,CF_Gen_4[[#All],[Incurred]],0),0),0)</f>
        <v>0</v>
      </c>
      <c r="H417" s="21">
        <f>-IFERROR(HLOOKUP("Exp_Commission",CF_Gen_4[#All],MATCH($B417,CF_Gen_4[[#All],[Incurred]],0),0),0)-IFERROR(HLOOKUP("Exp_Acquisition",CF_Gen_4[#All],MATCH($B417,CF_Gen_4[[#All],[Incurred]],0),0),0)</f>
        <v>0</v>
      </c>
      <c r="I417" s="22">
        <f>IF(AND($J417&lt;YEAR($A417),$B417&lt;=$A417),-IFERROR(HLOOKUP("Actual_Commission",CF_Gen_4[#All],MATCH($B417,CF_Gen_4[[#All],[Incurred]],0),0),0)-IFERROR(HLOOKUP("Actual_Acquisition",CF_Gen_4[#All],MATCH($B417,CF_Gen_4[[#All],[Incurred]],0),0),0),0)</f>
        <v>0</v>
      </c>
      <c r="J417" s="27">
        <f>VLOOKUP(L417,ICG[#All],2,0)</f>
        <v>2025</v>
      </c>
      <c r="K417" s="27" t="str">
        <f>VLOOKUP(L417,ICG[#All],3,0)</f>
        <v>RC-Property</v>
      </c>
      <c r="L417" s="27" t="str">
        <f t="shared" si="33"/>
        <v>#2025#RC-Property</v>
      </c>
    </row>
    <row r="418" spans="1:12">
      <c r="A418" s="26">
        <f t="shared" si="34"/>
        <v>45930</v>
      </c>
      <c r="B418" s="26">
        <f t="shared" si="35"/>
        <v>54969</v>
      </c>
      <c r="C418" s="21">
        <f>IFERROR(HLOOKUP("Exp_Premium",CF_Gen_4[#All],MATCH($B418,CF_Gen_4[[#All],[Incurred]],0),0),0)</f>
        <v>0</v>
      </c>
      <c r="D418" s="22">
        <f>IF(AND($J418&lt;YEAR($A418),$B418&lt;=$A418),IFERROR(HLOOKUP("Actual_Premium",CF_Gen_4[#All],MATCH($B418,CF_Gen_4[[#All],[Incurred]],0),0),0),0)</f>
        <v>0</v>
      </c>
      <c r="E418" s="21">
        <f>-IFERROR(HLOOKUP("Exp_Claim",CF_Gen_4[#All],MATCH($B418,CF_Gen_4[[#All],[Incurred]],0),0),0)-IFERROR(HLOOKUP("Exp_NPR",CF_Gen_4[#All],MATCH($B418,CF_Gen_4[[#All],[Incurred]],0),0),0)</f>
        <v>0</v>
      </c>
      <c r="F418" s="21">
        <f>-IFERROR(HLOOKUP("Exp_RA",CF_Gen_4[#All],MATCH($B418,CF_Gen_4[[#All],[Incurred]],0),0),0)</f>
        <v>0</v>
      </c>
      <c r="G418" s="21">
        <f>-IFERROR(HLOOKUP("Exp_Expense",CF_Gen_4[#All],MATCH($B418,CF_Gen_4[[#All],[Incurred]],0),0),0)</f>
        <v>0</v>
      </c>
      <c r="H418" s="21">
        <f>-IFERROR(HLOOKUP("Exp_Commission",CF_Gen_4[#All],MATCH($B418,CF_Gen_4[[#All],[Incurred]],0),0),0)-IFERROR(HLOOKUP("Exp_Acquisition",CF_Gen_4[#All],MATCH($B418,CF_Gen_4[[#All],[Incurred]],0),0),0)</f>
        <v>0</v>
      </c>
      <c r="I418" s="22">
        <f>IF(AND($J418&lt;YEAR($A418),$B418&lt;=$A418),-IFERROR(HLOOKUP("Actual_Commission",CF_Gen_4[#All],MATCH($B418,CF_Gen_4[[#All],[Incurred]],0),0),0)-IFERROR(HLOOKUP("Actual_Acquisition",CF_Gen_4[#All],MATCH($B418,CF_Gen_4[[#All],[Incurred]],0),0),0),0)</f>
        <v>0</v>
      </c>
      <c r="J418" s="27">
        <f>VLOOKUP(L418,ICG[#All],2,0)</f>
        <v>2025</v>
      </c>
      <c r="K418" s="27" t="str">
        <f>VLOOKUP(L418,ICG[#All],3,0)</f>
        <v>RC-Property</v>
      </c>
      <c r="L418" s="27" t="str">
        <f t="shared" si="33"/>
        <v>#2025#RC-Property</v>
      </c>
    </row>
    <row r="419" spans="1:12">
      <c r="A419" s="26">
        <f t="shared" si="34"/>
        <v>45930</v>
      </c>
      <c r="B419" s="26">
        <f t="shared" si="35"/>
        <v>55061</v>
      </c>
      <c r="C419" s="21">
        <f>IFERROR(HLOOKUP("Exp_Premium",CF_Gen_4[#All],MATCH($B419,CF_Gen_4[[#All],[Incurred]],0),0),0)</f>
        <v>0</v>
      </c>
      <c r="D419" s="22">
        <f>IF(AND($J419&lt;YEAR($A419),$B419&lt;=$A419),IFERROR(HLOOKUP("Actual_Premium",CF_Gen_4[#All],MATCH($B419,CF_Gen_4[[#All],[Incurred]],0),0),0),0)</f>
        <v>0</v>
      </c>
      <c r="E419" s="21">
        <f>-IFERROR(HLOOKUP("Exp_Claim",CF_Gen_4[#All],MATCH($B419,CF_Gen_4[[#All],[Incurred]],0),0),0)-IFERROR(HLOOKUP("Exp_NPR",CF_Gen_4[#All],MATCH($B419,CF_Gen_4[[#All],[Incurred]],0),0),0)</f>
        <v>0</v>
      </c>
      <c r="F419" s="21">
        <f>-IFERROR(HLOOKUP("Exp_RA",CF_Gen_4[#All],MATCH($B419,CF_Gen_4[[#All],[Incurred]],0),0),0)</f>
        <v>0</v>
      </c>
      <c r="G419" s="21">
        <f>-IFERROR(HLOOKUP("Exp_Expense",CF_Gen_4[#All],MATCH($B419,CF_Gen_4[[#All],[Incurred]],0),0),0)</f>
        <v>0</v>
      </c>
      <c r="H419" s="21">
        <f>-IFERROR(HLOOKUP("Exp_Commission",CF_Gen_4[#All],MATCH($B419,CF_Gen_4[[#All],[Incurred]],0),0),0)-IFERROR(HLOOKUP("Exp_Acquisition",CF_Gen_4[#All],MATCH($B419,CF_Gen_4[[#All],[Incurred]],0),0),0)</f>
        <v>0</v>
      </c>
      <c r="I419" s="22">
        <f>IF(AND($J419&lt;YEAR($A419),$B419&lt;=$A419),-IFERROR(HLOOKUP("Actual_Commission",CF_Gen_4[#All],MATCH($B419,CF_Gen_4[[#All],[Incurred]],0),0),0)-IFERROR(HLOOKUP("Actual_Acquisition",CF_Gen_4[#All],MATCH($B419,CF_Gen_4[[#All],[Incurred]],0),0),0),0)</f>
        <v>0</v>
      </c>
      <c r="J419" s="27">
        <f>VLOOKUP(L419,ICG[#All],2,0)</f>
        <v>2025</v>
      </c>
      <c r="K419" s="27" t="str">
        <f>VLOOKUP(L419,ICG[#All],3,0)</f>
        <v>RC-Property</v>
      </c>
      <c r="L419" s="27" t="str">
        <f t="shared" si="33"/>
        <v>#2025#RC-Property</v>
      </c>
    </row>
    <row r="420" spans="1:12">
      <c r="A420" s="26">
        <f t="shared" si="34"/>
        <v>45930</v>
      </c>
      <c r="B420" s="26">
        <f t="shared" si="35"/>
        <v>55153</v>
      </c>
      <c r="C420" s="21">
        <f>IFERROR(HLOOKUP("Exp_Premium",CF_Gen_4[#All],MATCH($B420,CF_Gen_4[[#All],[Incurred]],0),0),0)</f>
        <v>0</v>
      </c>
      <c r="D420" s="22">
        <f>IF(AND($J420&lt;YEAR($A420),$B420&lt;=$A420),IFERROR(HLOOKUP("Actual_Premium",CF_Gen_4[#All],MATCH($B420,CF_Gen_4[[#All],[Incurred]],0),0),0),0)</f>
        <v>0</v>
      </c>
      <c r="E420" s="21">
        <f>-IFERROR(HLOOKUP("Exp_Claim",CF_Gen_4[#All],MATCH($B420,CF_Gen_4[[#All],[Incurred]],0),0),0)-IFERROR(HLOOKUP("Exp_NPR",CF_Gen_4[#All],MATCH($B420,CF_Gen_4[[#All],[Incurred]],0),0),0)</f>
        <v>0</v>
      </c>
      <c r="F420" s="21">
        <f>-IFERROR(HLOOKUP("Exp_RA",CF_Gen_4[#All],MATCH($B420,CF_Gen_4[[#All],[Incurred]],0),0),0)</f>
        <v>0</v>
      </c>
      <c r="G420" s="21">
        <f>-IFERROR(HLOOKUP("Exp_Expense",CF_Gen_4[#All],MATCH($B420,CF_Gen_4[[#All],[Incurred]],0),0),0)</f>
        <v>0</v>
      </c>
      <c r="H420" s="21">
        <f>-IFERROR(HLOOKUP("Exp_Commission",CF_Gen_4[#All],MATCH($B420,CF_Gen_4[[#All],[Incurred]],0),0),0)-IFERROR(HLOOKUP("Exp_Acquisition",CF_Gen_4[#All],MATCH($B420,CF_Gen_4[[#All],[Incurred]],0),0),0)</f>
        <v>0</v>
      </c>
      <c r="I420" s="22">
        <f>IF(AND($J420&lt;YEAR($A420),$B420&lt;=$A420),-IFERROR(HLOOKUP("Actual_Commission",CF_Gen_4[#All],MATCH($B420,CF_Gen_4[[#All],[Incurred]],0),0),0)-IFERROR(HLOOKUP("Actual_Acquisition",CF_Gen_4[#All],MATCH($B420,CF_Gen_4[[#All],[Incurred]],0),0),0),0)</f>
        <v>0</v>
      </c>
      <c r="J420" s="27">
        <f>VLOOKUP(L420,ICG[#All],2,0)</f>
        <v>2025</v>
      </c>
      <c r="K420" s="27" t="str">
        <f>VLOOKUP(L420,ICG[#All],3,0)</f>
        <v>RC-Property</v>
      </c>
      <c r="L420" s="27" t="str">
        <f t="shared" si="33"/>
        <v>#2025#RC-Property</v>
      </c>
    </row>
  </sheetData>
  <autoFilter ref="A1:L210" xr:uid="{E5421991-77E6-9C49-8ED0-C8260F43C74E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01F2-6B78-4114-AABD-1E96EA9975D5}">
  <dimension ref="A1:F16"/>
  <sheetViews>
    <sheetView showGridLines="0" zoomScale="80" zoomScaleNormal="80" workbookViewId="0">
      <pane ySplit="1" topLeftCell="A2" activePane="bottomLeft" state="frozen"/>
      <selection activeCell="E1" sqref="E1"/>
      <selection pane="bottomLeft" activeCell="B2" sqref="B2"/>
    </sheetView>
  </sheetViews>
  <sheetFormatPr defaultColWidth="13.81640625" defaultRowHeight="14.5"/>
  <cols>
    <col min="1" max="1" width="15" style="25" bestFit="1" customWidth="1"/>
    <col min="2" max="3" width="21.1796875" style="24" bestFit="1" customWidth="1"/>
    <col min="4" max="4" width="13.7265625" style="25" bestFit="1" customWidth="1"/>
    <col min="5" max="5" width="14.1796875" style="25" bestFit="1" customWidth="1"/>
    <col min="6" max="6" width="22.26953125" style="25" bestFit="1" customWidth="1"/>
    <col min="7" max="16384" width="13.81640625" style="25"/>
  </cols>
  <sheetData>
    <row r="1" spans="1:6">
      <c r="A1" s="38" t="s">
        <v>15</v>
      </c>
      <c r="B1" s="20" t="s">
        <v>18</v>
      </c>
      <c r="C1" s="20" t="s">
        <v>17</v>
      </c>
      <c r="D1" s="39" t="s">
        <v>5</v>
      </c>
      <c r="E1" s="39" t="s">
        <v>9</v>
      </c>
      <c r="F1" s="39" t="s">
        <v>8</v>
      </c>
    </row>
    <row r="2" spans="1:6">
      <c r="A2" s="26">
        <f>DATE(YEAR(ValuationDate),3,31)</f>
        <v>45747</v>
      </c>
      <c r="B2" s="21">
        <f>IFERROR(HLOOKUP("Actual_Premium",CF_Gen_1[#All],MATCH($A2,CF_Gen_1[[#All],[Incurred]],0),0),0)</f>
        <v>1150571771.1111634</v>
      </c>
      <c r="C2" s="21">
        <f>-IFERROR(HLOOKUP("Actual_Commission",CF_Gen_1[#All],MATCH($A2,CF_Gen_1[[#All],[Incurred]],0),0),0)-IFERROR(HLOOKUP("Actual_Acquisition",CF_Gen_1[#All],MATCH($A2,CF_Gen_1[[#All],[Incurred]],0),0),0)</f>
        <v>172585765.66667449</v>
      </c>
      <c r="D2" s="27">
        <f>VLOOKUP(F2,ICG[#All],2,0)</f>
        <v>2024</v>
      </c>
      <c r="E2" s="27" t="str">
        <f>VLOOKUP(F2,ICG[#All],3,0)</f>
        <v>IC-Property</v>
      </c>
      <c r="F2" s="27" t="str">
        <f>'CF_Gen_1'!$A$2</f>
        <v>#2024#IC-Property</v>
      </c>
    </row>
    <row r="3" spans="1:6">
      <c r="A3" s="26">
        <f t="shared" ref="A3:A4" si="0">EOMONTH(A2,3)</f>
        <v>45838</v>
      </c>
      <c r="B3" s="21">
        <f>IFERROR(HLOOKUP("Actual_Premium",CF_Gen_1[#All],MATCH($A3,CF_Gen_1[[#All],[Incurred]],0),0),0)</f>
        <v>325150240.73605597</v>
      </c>
      <c r="C3" s="21">
        <f>-IFERROR(HLOOKUP("Actual_Commission",CF_Gen_1[#All],MATCH($A3,CF_Gen_1[[#All],[Incurred]],0),0),0)-IFERROR(HLOOKUP("Actual_Acquisition",CF_Gen_1[#All],MATCH($A3,CF_Gen_1[[#All],[Incurred]],0),0),0)</f>
        <v>45521033.703047842</v>
      </c>
      <c r="D3" s="27">
        <f>VLOOKUP(F3,ICG[#All],2,0)</f>
        <v>2024</v>
      </c>
      <c r="E3" s="27" t="str">
        <f>VLOOKUP(F3,ICG[#All],3,0)</f>
        <v>IC-Property</v>
      </c>
      <c r="F3" s="27" t="str">
        <f>F2</f>
        <v>#2024#IC-Property</v>
      </c>
    </row>
    <row r="4" spans="1:6">
      <c r="A4" s="26">
        <f t="shared" si="0"/>
        <v>45930</v>
      </c>
      <c r="B4" s="21">
        <f>IFERROR(HLOOKUP("Actual_Premium",CF_Gen_1[#All],MATCH($A4,CF_Gen_1[[#All],[Incurred]],0),0),0)</f>
        <v>-949626465.18407106</v>
      </c>
      <c r="C4" s="21">
        <f>-IFERROR(HLOOKUP("Actual_Commission",CF_Gen_1[#All],MATCH($A4,CF_Gen_1[[#All],[Incurred]],0),0),0)-IFERROR(HLOOKUP("Actual_Acquisition",CF_Gen_1[#All],MATCH($A4,CF_Gen_1[[#All],[Incurred]],0),0),0)</f>
        <v>-137695837.45169029</v>
      </c>
      <c r="D4" s="27">
        <f>VLOOKUP(F4,ICG[#All],2,0)</f>
        <v>2024</v>
      </c>
      <c r="E4" s="27" t="str">
        <f>VLOOKUP(F4,ICG[#All],3,0)</f>
        <v>IC-Property</v>
      </c>
      <c r="F4" s="27" t="str">
        <f t="shared" ref="F4" si="1">F3</f>
        <v>#2024#IC-Property</v>
      </c>
    </row>
    <row r="5" spans="1:6" s="23" customFormat="1"/>
    <row r="6" spans="1:6">
      <c r="A6" s="26">
        <f>DATE(YEAR(ValuationDate),3,31)</f>
        <v>45747</v>
      </c>
      <c r="B6" s="21">
        <f>IFERROR(HLOOKUP("Actual_Premium",CF_Gen_2[#All],MATCH($A6,CF_Gen_2[[#All],[Incurred]],0),0),0)</f>
        <v>-517757297.0000236</v>
      </c>
      <c r="C6" s="21">
        <f>-IFERROR(HLOOKUP("Actual_Commission",CF_Gen_2[#All],MATCH($A6,CF_Gen_2[[#All],[Incurred]],0),0),0)-IFERROR(HLOOKUP("Actual_Acquisition",CF_Gen_2[#All],MATCH($A6,CF_Gen_2[[#All],[Incurred]],0),0),0)</f>
        <v>-168271121.52500767</v>
      </c>
      <c r="D6" s="27">
        <f>VLOOKUP(F6,ICG[#All],2,0)</f>
        <v>2024</v>
      </c>
      <c r="E6" s="27" t="str">
        <f>VLOOKUP(F6,ICG[#All],3,0)</f>
        <v>RC-Property</v>
      </c>
      <c r="F6" s="27" t="str">
        <f>'CF_Gen_2'!$A$2</f>
        <v>#2024#RC-Property</v>
      </c>
    </row>
    <row r="7" spans="1:6">
      <c r="A7" s="26">
        <f>EOMONTH(A6,3)</f>
        <v>45838</v>
      </c>
      <c r="B7" s="21">
        <f>IFERROR(HLOOKUP("Actual_Premium",CF_Gen_2[#All],MATCH($A7,CF_Gen_2[[#All],[Incurred]],0),0),0)</f>
        <v>-146317608.33122519</v>
      </c>
      <c r="C7" s="21">
        <f>-IFERROR(HLOOKUP("Actual_Commission",CF_Gen_2[#All],MATCH($A7,CF_Gen_2[[#All],[Incurred]],0),0),0)-IFERROR(HLOOKUP("Actual_Acquisition",CF_Gen_2[#All],MATCH($A7,CF_Gen_2[[#All],[Incurred]],0),0),0)</f>
        <v>-47553222.707648195</v>
      </c>
      <c r="D7" s="27">
        <f>VLOOKUP(F7,ICG[#All],2,0)</f>
        <v>2024</v>
      </c>
      <c r="E7" s="27" t="str">
        <f>VLOOKUP(F7,ICG[#All],3,0)</f>
        <v>RC-Property</v>
      </c>
      <c r="F7" s="27" t="str">
        <f t="shared" ref="F7:F8" si="2">F6</f>
        <v>#2024#RC-Property</v>
      </c>
    </row>
    <row r="8" spans="1:6">
      <c r="A8" s="26">
        <f>EOMONTH(A7,3)</f>
        <v>45930</v>
      </c>
      <c r="B8" s="21">
        <f>IFERROR(HLOOKUP("Actual_Premium",CF_Gen_2[#All],MATCH($A8,CF_Gen_2[[#All],[Incurred]],0),0),0)</f>
        <v>427331909.33283198</v>
      </c>
      <c r="C8" s="21">
        <f>-IFERROR(HLOOKUP("Actual_Commission",CF_Gen_2[#All],MATCH($A8,CF_Gen_2[[#All],[Incurred]],0),0),0)-IFERROR(HLOOKUP("Actual_Acquisition",CF_Gen_2[#All],MATCH($A8,CF_Gen_2[[#All],[Incurred]],0),0),0)</f>
        <v>138882870.5331704</v>
      </c>
      <c r="D8" s="27">
        <f>VLOOKUP(F8,ICG[#All],2,0)</f>
        <v>2024</v>
      </c>
      <c r="E8" s="27" t="str">
        <f>VLOOKUP(F8,ICG[#All],3,0)</f>
        <v>RC-Property</v>
      </c>
      <c r="F8" s="27" t="str">
        <f t="shared" si="2"/>
        <v>#2024#RC-Property</v>
      </c>
    </row>
    <row r="9" spans="1:6" s="23" customFormat="1"/>
    <row r="10" spans="1:6">
      <c r="A10" s="26">
        <f>DATE(YEAR(ValuationDate),3,31)</f>
        <v>45747</v>
      </c>
      <c r="B10" s="21">
        <f>IFERROR(HLOOKUP("Actual_Premium",CF_Gen_3[#All],MATCH($A10,CF_Gen_3[[#All],[Incurred]],0),0),0)</f>
        <v>25082464610.223362</v>
      </c>
      <c r="C10" s="21">
        <f>-IFERROR(HLOOKUP("Actual_Commission",CF_Gen_3[#All],MATCH($A10,CF_Gen_3[[#All],[Incurred]],0),0),0)-IFERROR(HLOOKUP("Actual_Acquisition",CF_Gen_3[#All],MATCH($A10,CF_Gen_3[[#All],[Incurred]],0),0),0)</f>
        <v>5016492922.044673</v>
      </c>
      <c r="D10" s="27">
        <f>VLOOKUP(F10,ICG[#All],2,0)</f>
        <v>2025</v>
      </c>
      <c r="E10" s="27" t="str">
        <f>VLOOKUP(F10,ICG[#All],3,0)</f>
        <v>IC-Property</v>
      </c>
      <c r="F10" s="27" t="str">
        <f>'CF_Gen_3'!$A$2</f>
        <v>#2025#IC-Property</v>
      </c>
    </row>
    <row r="11" spans="1:6">
      <c r="A11" s="26">
        <f t="shared" ref="A11:A12" si="3">EOMONTH(A10,3)</f>
        <v>45838</v>
      </c>
      <c r="B11" s="21">
        <f>IFERROR(HLOOKUP("Actual_Premium",CF_Gen_3[#All],MATCH($A11,CF_Gen_3[[#All],[Incurred]],0),0),0)</f>
        <v>35441376240.230103</v>
      </c>
      <c r="C11" s="21">
        <f>-IFERROR(HLOOKUP("Actual_Commission",CF_Gen_3[#All],MATCH($A11,CF_Gen_3[[#All],[Incurred]],0),0),0)-IFERROR(HLOOKUP("Actual_Acquisition",CF_Gen_3[#All],MATCH($A11,CF_Gen_3[[#All],[Incurred]],0),0),0)</f>
        <v>6556654604.4425688</v>
      </c>
      <c r="D11" s="27">
        <f>VLOOKUP(F11,ICG[#All],2,0)</f>
        <v>2025</v>
      </c>
      <c r="E11" s="27" t="str">
        <f>VLOOKUP(F11,ICG[#All],3,0)</f>
        <v>IC-Property</v>
      </c>
      <c r="F11" s="27" t="str">
        <f>F10</f>
        <v>#2025#IC-Property</v>
      </c>
    </row>
    <row r="12" spans="1:6">
      <c r="A12" s="26">
        <f t="shared" si="3"/>
        <v>45930</v>
      </c>
      <c r="B12" s="21">
        <f>IFERROR(HLOOKUP("Actual_Premium",CF_Gen_3[#All],MATCH($A12,CF_Gen_3[[#All],[Incurred]],0),0),0)</f>
        <v>51754642352.531876</v>
      </c>
      <c r="C12" s="21">
        <f>-IFERROR(HLOOKUP("Actual_Commission",CF_Gen_3[#All],MATCH($A12,CF_Gen_3[[#All],[Incurred]],0),0),0)-IFERROR(HLOOKUP("Actual_Acquisition",CF_Gen_3[#All],MATCH($A12,CF_Gen_3[[#All],[Incurred]],0),0),0)</f>
        <v>9574608835.2183971</v>
      </c>
      <c r="D12" s="27">
        <f>VLOOKUP(F12,ICG[#All],2,0)</f>
        <v>2025</v>
      </c>
      <c r="E12" s="27" t="str">
        <f>VLOOKUP(F12,ICG[#All],3,0)</f>
        <v>IC-Property</v>
      </c>
      <c r="F12" s="27" t="str">
        <f t="shared" ref="F12" si="4">F11</f>
        <v>#2025#IC-Property</v>
      </c>
    </row>
    <row r="13" spans="1:6" s="23" customFormat="1"/>
    <row r="14" spans="1:6">
      <c r="A14" s="26">
        <f>DATE(YEAR(ValuationDate),3,31)</f>
        <v>45747</v>
      </c>
      <c r="B14" s="21">
        <f>IFERROR(HLOOKUP("Actual_Premium",CF_Gen_4[#All],MATCH($A14,CF_Gen_4[[#All],[Incurred]],0),0),0)</f>
        <v>-11287109074.600513</v>
      </c>
      <c r="C14" s="21">
        <f>-IFERROR(HLOOKUP("Actual_Commission",CF_Gen_4[#All],MATCH($A14,CF_Gen_4[[#All],[Incurred]],0),0),0)-IFERROR(HLOOKUP("Actual_Acquisition",CF_Gen_4[#All],MATCH($A14,CF_Gen_4[[#All],[Incurred]],0),0),0)</f>
        <v>-3668310449.2451673</v>
      </c>
      <c r="D14" s="27">
        <f>VLOOKUP(F14,ICG[#All],2,0)</f>
        <v>2025</v>
      </c>
      <c r="E14" s="27" t="str">
        <f>VLOOKUP(F14,ICG[#All],3,0)</f>
        <v>RC-Property</v>
      </c>
      <c r="F14" s="27" t="str">
        <f>'CF_Gen_4'!$A$2</f>
        <v>#2025#RC-Property</v>
      </c>
    </row>
    <row r="15" spans="1:6">
      <c r="A15" s="26">
        <f>EOMONTH(A14,3)</f>
        <v>45838</v>
      </c>
      <c r="B15" s="21">
        <f>IFERROR(HLOOKUP("Actual_Premium",CF_Gen_4[#All],MATCH($A15,CF_Gen_4[[#All],[Incurred]],0),0),0)</f>
        <v>-15948619308.103546</v>
      </c>
      <c r="C15" s="21">
        <f>-IFERROR(HLOOKUP("Actual_Commission",CF_Gen_4[#All],MATCH($A15,CF_Gen_4[[#All],[Incurred]],0),0),0)-IFERROR(HLOOKUP("Actual_Acquisition",CF_Gen_4[#All],MATCH($A15,CF_Gen_4[[#All],[Incurred]],0),0),0)</f>
        <v>-5183301275.1336536</v>
      </c>
      <c r="D15" s="27">
        <f>VLOOKUP(F15,ICG[#All],2,0)</f>
        <v>2025</v>
      </c>
      <c r="E15" s="27" t="str">
        <f>VLOOKUP(F15,ICG[#All],3,0)</f>
        <v>RC-Property</v>
      </c>
      <c r="F15" s="27" t="str">
        <f t="shared" ref="F15:F16" si="5">F14</f>
        <v>#2025#RC-Property</v>
      </c>
    </row>
    <row r="16" spans="1:6">
      <c r="A16" s="26">
        <f>EOMONTH(A15,3)</f>
        <v>45930</v>
      </c>
      <c r="B16" s="21">
        <f>IFERROR(HLOOKUP("Actual_Premium",CF_Gen_4[#All],MATCH($A16,CF_Gen_4[[#All],[Incurred]],0),0),0)</f>
        <v>-23289589058.639343</v>
      </c>
      <c r="C16" s="21">
        <f>-IFERROR(HLOOKUP("Actual_Commission",CF_Gen_4[#All],MATCH($A16,CF_Gen_4[[#All],[Incurred]],0),0),0)-IFERROR(HLOOKUP("Actual_Acquisition",CF_Gen_4[#All],MATCH($A16,CF_Gen_4[[#All],[Incurred]],0),0),0)</f>
        <v>-7569116444.0577869</v>
      </c>
      <c r="D16" s="27">
        <f>VLOOKUP(F16,ICG[#All],2,0)</f>
        <v>2025</v>
      </c>
      <c r="E16" s="27" t="str">
        <f>VLOOKUP(F16,ICG[#All],3,0)</f>
        <v>RC-Property</v>
      </c>
      <c r="F16" s="27" t="str">
        <f t="shared" si="5"/>
        <v>#2025#RC-Property</v>
      </c>
    </row>
  </sheetData>
  <autoFilter ref="A1:F8" xr:uid="{E5421991-77E6-9C49-8ED0-C8260F43C74E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EBC4-11AD-4AD0-94FD-D20364F91CFD}">
  <dimension ref="A1:F5"/>
  <sheetViews>
    <sheetView showGridLines="0" zoomScale="80" zoomScaleNormal="80" workbookViewId="0">
      <pane ySplit="1" topLeftCell="A2" activePane="bottomLeft" state="frozen"/>
      <selection pane="bottomLeft" activeCell="B2" sqref="B2"/>
    </sheetView>
  </sheetViews>
  <sheetFormatPr defaultColWidth="13.81640625" defaultRowHeight="14.5"/>
  <cols>
    <col min="1" max="1" width="13.81640625" style="25"/>
    <col min="2" max="3" width="21.1796875" style="30" customWidth="1"/>
    <col min="4" max="4" width="13.7265625" style="25" bestFit="1" customWidth="1"/>
    <col min="5" max="5" width="14.1796875" style="25" bestFit="1" customWidth="1"/>
    <col min="6" max="6" width="22.26953125" style="25" bestFit="1" customWidth="1"/>
    <col min="7" max="16384" width="13.81640625" style="25"/>
  </cols>
  <sheetData>
    <row r="1" spans="1:6">
      <c r="A1" s="38" t="s">
        <v>16</v>
      </c>
      <c r="B1" s="28" t="s">
        <v>20</v>
      </c>
      <c r="C1" s="28" t="s">
        <v>19</v>
      </c>
      <c r="D1" s="39" t="s">
        <v>5</v>
      </c>
      <c r="E1" s="39" t="s">
        <v>9</v>
      </c>
      <c r="F1" s="39" t="s">
        <v>8</v>
      </c>
    </row>
    <row r="2" spans="1:6">
      <c r="A2" s="26">
        <f>ValuationDate</f>
        <v>45930</v>
      </c>
      <c r="B2" s="29">
        <f>VLOOKUP($F2,Locked_in_Rate[#All],2,0)</f>
        <v>6.3730499999999995E-2</v>
      </c>
      <c r="C2" s="29">
        <f>VLOOKUP($F2,Current_Rate[#All],2,0)</f>
        <v>4.8974000000000004E-2</v>
      </c>
      <c r="D2" s="27">
        <f>VLOOKUP(F2,ICG[#All],2,0)</f>
        <v>2024</v>
      </c>
      <c r="E2" s="27" t="str">
        <f>VLOOKUP(F2,ICG[#All],3,0)</f>
        <v>IC-Property</v>
      </c>
      <c r="F2" s="27" t="str">
        <f>'CF_Gen_1'!$A$2</f>
        <v>#2024#IC-Property</v>
      </c>
    </row>
    <row r="3" spans="1:6">
      <c r="A3" s="26">
        <f>ValuationDate</f>
        <v>45930</v>
      </c>
      <c r="B3" s="29">
        <f>VLOOKUP($F3,Locked_in_Rate[#All],2,0)</f>
        <v>6.3730499999999995E-2</v>
      </c>
      <c r="C3" s="29">
        <f>VLOOKUP($F3,Current_Rate[#All],2,0)</f>
        <v>4.8974000000000004E-2</v>
      </c>
      <c r="D3" s="27">
        <f>VLOOKUP(F3,ICG[#All],2,0)</f>
        <v>2024</v>
      </c>
      <c r="E3" s="27" t="str">
        <f>VLOOKUP(F3,ICG[#All],3,0)</f>
        <v>RC-Property</v>
      </c>
      <c r="F3" s="27" t="str">
        <f>'CF_Gen_2'!$A$2</f>
        <v>#2024#RC-Property</v>
      </c>
    </row>
    <row r="4" spans="1:6">
      <c r="A4" s="26">
        <f>ValuationDate</f>
        <v>45930</v>
      </c>
      <c r="B4" s="29">
        <f>VLOOKUP($F4,Locked_in_Rate[#All],2,0)</f>
        <v>5.9441333333333318E-2</v>
      </c>
      <c r="C4" s="29">
        <f>VLOOKUP($F4,Current_Rate[#All],2,0)</f>
        <v>4.8974000000000004E-2</v>
      </c>
      <c r="D4" s="27">
        <f>VLOOKUP(F4,ICG[#All],2,0)</f>
        <v>2025</v>
      </c>
      <c r="E4" s="27" t="str">
        <f>VLOOKUP(F4,ICG[#All],3,0)</f>
        <v>IC-Property</v>
      </c>
      <c r="F4" s="27" t="str">
        <f>'CF_Gen_3'!$A$2</f>
        <v>#2025#IC-Property</v>
      </c>
    </row>
    <row r="5" spans="1:6">
      <c r="A5" s="26">
        <f>ValuationDate</f>
        <v>45930</v>
      </c>
      <c r="B5" s="29">
        <f>VLOOKUP($F5,Locked_in_Rate[#All],2,0)</f>
        <v>5.9441333333333318E-2</v>
      </c>
      <c r="C5" s="29">
        <f>VLOOKUP($F5,Current_Rate[#All],2,0)</f>
        <v>4.8974000000000004E-2</v>
      </c>
      <c r="D5" s="27">
        <f>VLOOKUP(F5,ICG[#All],2,0)</f>
        <v>2025</v>
      </c>
      <c r="E5" s="27" t="str">
        <f>VLOOKUP(F5,ICG[#All],3,0)</f>
        <v>RC-Property</v>
      </c>
      <c r="F5" s="27" t="str">
        <f>'CF_Gen_4'!$A$2</f>
        <v>#2025#RC-Property</v>
      </c>
    </row>
  </sheetData>
  <autoFilter ref="A1:A2" xr:uid="{E5421991-77E6-9C49-8ED0-C8260F43C7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Dropdown COB</vt:lpstr>
      <vt:lpstr>Instructions</vt:lpstr>
      <vt:lpstr>User Input&gt;&gt;</vt:lpstr>
      <vt:lpstr>ValuationDate</vt:lpstr>
      <vt:lpstr>ICG</vt:lpstr>
      <vt:lpstr>Earned</vt:lpstr>
      <vt:lpstr>Expected_CF</vt:lpstr>
      <vt:lpstr>Actual_CF</vt:lpstr>
      <vt:lpstr>Locked_in_Rate</vt:lpstr>
      <vt:lpstr>Current_Rate</vt:lpstr>
      <vt:lpstr>Assumptions</vt:lpstr>
      <vt:lpstr>Cashflow Generator &gt;&gt;</vt:lpstr>
      <vt:lpstr>CF_Gen_1</vt:lpstr>
      <vt:lpstr>CF_Gen_2</vt:lpstr>
      <vt:lpstr>CF_Gen_3</vt:lpstr>
      <vt:lpstr>CF_Gen_4</vt:lpstr>
      <vt:lpstr>CSM Engine Input &gt;&gt;</vt:lpstr>
      <vt:lpstr>Expected Cashflow</vt:lpstr>
      <vt:lpstr>Actual</vt:lpstr>
      <vt:lpstr>Asumsi</vt:lpstr>
      <vt:lpstr>ValuationDate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 Firmansyah</cp:lastModifiedBy>
  <dcterms:created xsi:type="dcterms:W3CDTF">2024-04-16T15:05:51Z</dcterms:created>
  <dcterms:modified xsi:type="dcterms:W3CDTF">2025-12-10T04:49:58Z</dcterms:modified>
</cp:coreProperties>
</file>